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0.xml" ContentType="application/vnd.openxmlformats-officedocument.spreadsheetml.externalLink+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externalLinks/externalLink8.xml" ContentType="application/vnd.openxmlformats-officedocument.spreadsheetml.externalLink+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8980" yWindow="-250" windowWidth="19420" windowHeight="11020" tabRatio="930"/>
  </bookViews>
  <sheets>
    <sheet name="INDICE" sheetId="69" r:id="rId1"/>
    <sheet name="A.1.1" sheetId="111" r:id="rId2"/>
    <sheet name="A.1.2" sheetId="95" r:id="rId3"/>
    <sheet name="A.1.3" sheetId="79" r:id="rId4"/>
    <sheet name="A.1.4" sheetId="13" r:id="rId5"/>
    <sheet name="A.1.5" sheetId="126" r:id="rId6"/>
    <sheet name="A.1.6" sheetId="101" r:id="rId7"/>
    <sheet name="A.1.7" sheetId="98" r:id="rId8"/>
    <sheet name="A.1.8" sheetId="99" r:id="rId9"/>
    <sheet name="A.1.9" sheetId="100" r:id="rId10"/>
    <sheet name="A.1.10" sheetId="93" r:id="rId11"/>
    <sheet name="A.2.1" sheetId="17" r:id="rId12"/>
    <sheet name="A.2.2" sheetId="88" r:id="rId13"/>
    <sheet name="A.2.3" sheetId="134" r:id="rId14"/>
    <sheet name="A.2.4" sheetId="102" r:id="rId15"/>
    <sheet name="A.2.5" sheetId="135" r:id="rId16"/>
    <sheet name="A.3.1" sheetId="103" r:id="rId17"/>
    <sheet name="A.3.2" sheetId="123" r:id="rId18"/>
    <sheet name="A.3.3" sheetId="132" r:id="rId19"/>
    <sheet name="A.3.4" sheetId="122" r:id="rId20"/>
    <sheet name="A.3.5" sheetId="124" r:id="rId21"/>
    <sheet name="A.3.6" sheetId="108" r:id="rId22"/>
    <sheet name="A.3.7" sheetId="109" r:id="rId23"/>
    <sheet name="A.3.8" sheetId="125"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A.1.1!$B$2:$D$98</definedName>
    <definedName name="_xlnm.Print_Area" localSheetId="10">A.1.10!$B$2:$G$183</definedName>
    <definedName name="_xlnm.Print_Area" localSheetId="2">A.1.2!$B$2:$C$60</definedName>
    <definedName name="_xlnm.Print_Area" localSheetId="3">A.1.3!$B$2:$D$80</definedName>
    <definedName name="_xlnm.Print_Area" localSheetId="4">A.1.4!$B$2:$H$56</definedName>
    <definedName name="_xlnm.Print_Area" localSheetId="5">A.1.5!$B$2:$C$62</definedName>
    <definedName name="_xlnm.Print_Area" localSheetId="6">A.1.6!$B$2:$C$38</definedName>
    <definedName name="_xlnm.Print_Area" localSheetId="7">A.1.7!$B$2:$H$79</definedName>
    <definedName name="_xlnm.Print_Area" localSheetId="8">A.1.8!$B$2:$H$65</definedName>
    <definedName name="_xlnm.Print_Area" localSheetId="9">A.1.9!$B$2:$H$113</definedName>
    <definedName name="_xlnm.Print_Area" localSheetId="11">A.2.1!$B$2:$G$88</definedName>
    <definedName name="_xlnm.Print_Area" localSheetId="12">A.2.2!$B$2:$E$94</definedName>
    <definedName name="_xlnm.Print_Area" localSheetId="13">A.2.3!$B$2:$D$76</definedName>
    <definedName name="_xlnm.Print_Area" localSheetId="14">A.2.4!$B$2:$F$85</definedName>
    <definedName name="_xlnm.Print_Area" localSheetId="15">A.2.5!$B$2:$AD$54</definedName>
    <definedName name="_xlnm.Print_Area" localSheetId="16">A.3.1!$B$2:$O$65</definedName>
    <definedName name="_xlnm.Print_Area" localSheetId="17">A.3.2!$B$2:$O$77</definedName>
    <definedName name="_xlnm.Print_Area" localSheetId="18">A.3.3!$B$2:$O$135</definedName>
    <definedName name="_xlnm.Print_Area" localSheetId="19">A.3.4!#REF!</definedName>
    <definedName name="_xlnm.Print_Area" localSheetId="20">A.3.5!$B$2:$O$133</definedName>
    <definedName name="_xlnm.Print_Area" localSheetId="21">A.3.6!$B$2:$N$79</definedName>
    <definedName name="_xlnm.Print_Area" localSheetId="22">A.3.7!$B$2:$AI$150</definedName>
    <definedName name="_xlnm.Print_Area" localSheetId="23">A.3.8!$B$2:$AI$136</definedName>
    <definedName name="_xlnm.Print_Area" localSheetId="24">A.4.1!$B$2:$F$31</definedName>
    <definedName name="_xlnm.Print_Area" localSheetId="25">A.4.2!$B$2:$C$60</definedName>
    <definedName name="_xlnm.Print_Area" localSheetId="26">A.4.3!$B$2:$C$44</definedName>
    <definedName name="_xlnm.Print_Area" localSheetId="27">A.4.4!$B$2:$AE$39</definedName>
    <definedName name="_xlnm.Print_Area" localSheetId="28">A.4.5!$B$2:$F$106</definedName>
    <definedName name="_xlnm.Print_Area" localSheetId="29">A.4.6!#REF!</definedName>
    <definedName name="_xlnm.Print_Area" localSheetId="30">A.4.7!$B$2:$O$64</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25725"/>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O38" i="132"/>
  <c r="N38"/>
  <c r="M38"/>
  <c r="L38"/>
  <c r="K38"/>
  <c r="J38"/>
  <c r="I38"/>
  <c r="H38"/>
  <c r="G38"/>
  <c r="F38"/>
  <c r="E38"/>
  <c r="D38"/>
  <c r="C38"/>
  <c r="O137" i="122"/>
  <c r="O136"/>
  <c r="O135"/>
  <c r="N134"/>
  <c r="M134"/>
  <c r="L134"/>
  <c r="K134"/>
  <c r="J134"/>
  <c r="I134"/>
  <c r="H134"/>
  <c r="G134"/>
  <c r="F134"/>
  <c r="E134"/>
  <c r="D134"/>
  <c r="C134"/>
  <c r="O134" s="1"/>
  <c r="O131"/>
  <c r="O130"/>
  <c r="N129"/>
  <c r="M129"/>
  <c r="L129"/>
  <c r="K129"/>
  <c r="J129"/>
  <c r="I129"/>
  <c r="H129"/>
  <c r="G129"/>
  <c r="F129"/>
  <c r="E129"/>
  <c r="D129"/>
  <c r="C129"/>
  <c r="O129" s="1"/>
  <c r="O128"/>
  <c r="O127"/>
  <c r="N126"/>
  <c r="M126"/>
  <c r="L126"/>
  <c r="K126"/>
  <c r="J126"/>
  <c r="I126"/>
  <c r="H126"/>
  <c r="G126"/>
  <c r="F126"/>
  <c r="E126"/>
  <c r="D126"/>
  <c r="C126"/>
  <c r="O126" s="1"/>
  <c r="O125"/>
  <c r="O124"/>
  <c r="N123"/>
  <c r="N122" s="1"/>
  <c r="N121" s="1"/>
  <c r="M123"/>
  <c r="M122" s="1"/>
  <c r="M121" s="1"/>
  <c r="L123"/>
  <c r="K123"/>
  <c r="J123"/>
  <c r="J122" s="1"/>
  <c r="J121" s="1"/>
  <c r="I123"/>
  <c r="I122" s="1"/>
  <c r="I121" s="1"/>
  <c r="H123"/>
  <c r="G123"/>
  <c r="F123"/>
  <c r="F122" s="1"/>
  <c r="F121" s="1"/>
  <c r="E123"/>
  <c r="E122" s="1"/>
  <c r="E121" s="1"/>
  <c r="D123"/>
  <c r="C123"/>
  <c r="O123" s="1"/>
  <c r="L122"/>
  <c r="K122"/>
  <c r="K121" s="1"/>
  <c r="H122"/>
  <c r="G122"/>
  <c r="G121" s="1"/>
  <c r="D122"/>
  <c r="C122"/>
  <c r="C121" s="1"/>
  <c r="L121"/>
  <c r="H121"/>
  <c r="D121"/>
  <c r="O120"/>
  <c r="O119"/>
  <c r="N118"/>
  <c r="M118"/>
  <c r="L118"/>
  <c r="K118"/>
  <c r="J118"/>
  <c r="I118"/>
  <c r="H118"/>
  <c r="G118"/>
  <c r="F118"/>
  <c r="E118"/>
  <c r="D118"/>
  <c r="C118"/>
  <c r="O118" s="1"/>
  <c r="O117"/>
  <c r="O116"/>
  <c r="O115"/>
  <c r="O114"/>
  <c r="O113"/>
  <c r="O112"/>
  <c r="O111"/>
  <c r="O110"/>
  <c r="O109"/>
  <c r="O108"/>
  <c r="O107"/>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N67"/>
  <c r="M67"/>
  <c r="L67"/>
  <c r="K67"/>
  <c r="J67"/>
  <c r="I67"/>
  <c r="H67"/>
  <c r="G67"/>
  <c r="F67"/>
  <c r="E67"/>
  <c r="D67"/>
  <c r="C67"/>
  <c r="O67" s="1"/>
  <c r="O66"/>
  <c r="O65"/>
  <c r="N64"/>
  <c r="M64"/>
  <c r="M53" s="1"/>
  <c r="L64"/>
  <c r="K64"/>
  <c r="J64"/>
  <c r="I64"/>
  <c r="I53" s="1"/>
  <c r="H64"/>
  <c r="G64"/>
  <c r="F64"/>
  <c r="E64"/>
  <c r="E53" s="1"/>
  <c r="D64"/>
  <c r="C64"/>
  <c r="O64" s="1"/>
  <c r="O63"/>
  <c r="O62"/>
  <c r="N61"/>
  <c r="M61"/>
  <c r="L61"/>
  <c r="K61"/>
  <c r="J61"/>
  <c r="I61"/>
  <c r="H61"/>
  <c r="G61"/>
  <c r="F61"/>
  <c r="E61"/>
  <c r="D61"/>
  <c r="C61"/>
  <c r="O61" s="1"/>
  <c r="O60"/>
  <c r="O59"/>
  <c r="N58"/>
  <c r="N57" s="1"/>
  <c r="M58"/>
  <c r="L58"/>
  <c r="K58"/>
  <c r="K57" s="1"/>
  <c r="J58"/>
  <c r="J57" s="1"/>
  <c r="I58"/>
  <c r="H58"/>
  <c r="G58"/>
  <c r="G57" s="1"/>
  <c r="F58"/>
  <c r="F57" s="1"/>
  <c r="E58"/>
  <c r="D58"/>
  <c r="C58"/>
  <c r="C57" s="1"/>
  <c r="M57"/>
  <c r="L57"/>
  <c r="I57"/>
  <c r="H57"/>
  <c r="E57"/>
  <c r="D57"/>
  <c r="O56"/>
  <c r="O55"/>
  <c r="N54"/>
  <c r="N53" s="1"/>
  <c r="M54"/>
  <c r="L54"/>
  <c r="K54"/>
  <c r="K53" s="1"/>
  <c r="J54"/>
  <c r="J53" s="1"/>
  <c r="I54"/>
  <c r="H54"/>
  <c r="G54"/>
  <c r="G53" s="1"/>
  <c r="F54"/>
  <c r="F53" s="1"/>
  <c r="E54"/>
  <c r="D54"/>
  <c r="C54"/>
  <c r="C53" s="1"/>
  <c r="L53"/>
  <c r="H53"/>
  <c r="D53"/>
  <c r="O52"/>
  <c r="O51"/>
  <c r="N50"/>
  <c r="M50"/>
  <c r="L50"/>
  <c r="K50"/>
  <c r="J50"/>
  <c r="I50"/>
  <c r="H50"/>
  <c r="G50"/>
  <c r="F50"/>
  <c r="E50"/>
  <c r="D50"/>
  <c r="C50"/>
  <c r="O50" s="1"/>
  <c r="O49"/>
  <c r="O48"/>
  <c r="N47"/>
  <c r="N36" s="1"/>
  <c r="M47"/>
  <c r="L47"/>
  <c r="K47"/>
  <c r="J47"/>
  <c r="J36" s="1"/>
  <c r="I47"/>
  <c r="H47"/>
  <c r="G47"/>
  <c r="F47"/>
  <c r="F36" s="1"/>
  <c r="E47"/>
  <c r="D47"/>
  <c r="C47"/>
  <c r="O47" s="1"/>
  <c r="O46"/>
  <c r="O45"/>
  <c r="N44"/>
  <c r="M44"/>
  <c r="L44"/>
  <c r="K44"/>
  <c r="J44"/>
  <c r="I44"/>
  <c r="H44"/>
  <c r="G44"/>
  <c r="F44"/>
  <c r="E44"/>
  <c r="D44"/>
  <c r="C44"/>
  <c r="O44" s="1"/>
  <c r="O43"/>
  <c r="O42"/>
  <c r="N41"/>
  <c r="M41"/>
  <c r="L41"/>
  <c r="L40" s="1"/>
  <c r="K41"/>
  <c r="K40" s="1"/>
  <c r="J41"/>
  <c r="I41"/>
  <c r="H41"/>
  <c r="H40" s="1"/>
  <c r="G41"/>
  <c r="G40" s="1"/>
  <c r="F41"/>
  <c r="E41"/>
  <c r="D41"/>
  <c r="D40" s="1"/>
  <c r="C41"/>
  <c r="C40" s="1"/>
  <c r="N40"/>
  <c r="M40"/>
  <c r="J40"/>
  <c r="I40"/>
  <c r="F40"/>
  <c r="E40"/>
  <c r="O39"/>
  <c r="O38"/>
  <c r="N37"/>
  <c r="M37"/>
  <c r="L37"/>
  <c r="L36" s="1"/>
  <c r="L35" s="1"/>
  <c r="K37"/>
  <c r="K36" s="1"/>
  <c r="J37"/>
  <c r="I37"/>
  <c r="H37"/>
  <c r="H36" s="1"/>
  <c r="H35" s="1"/>
  <c r="G37"/>
  <c r="G36" s="1"/>
  <c r="F37"/>
  <c r="E37"/>
  <c r="D37"/>
  <c r="D36" s="1"/>
  <c r="D35" s="1"/>
  <c r="C37"/>
  <c r="C36" s="1"/>
  <c r="M36"/>
  <c r="M35" s="1"/>
  <c r="I36"/>
  <c r="I35" s="1"/>
  <c r="E36"/>
  <c r="E35" s="1"/>
  <c r="O33"/>
  <c r="O31"/>
  <c r="O30"/>
  <c r="O29" s="1"/>
  <c r="N29"/>
  <c r="M29"/>
  <c r="L29"/>
  <c r="K29"/>
  <c r="J29"/>
  <c r="I29"/>
  <c r="H29"/>
  <c r="G29"/>
  <c r="F29"/>
  <c r="E29"/>
  <c r="D29"/>
  <c r="C29"/>
  <c r="O28"/>
  <c r="O27" s="1"/>
  <c r="N27"/>
  <c r="M27"/>
  <c r="L27"/>
  <c r="L26" s="1"/>
  <c r="K27"/>
  <c r="K26" s="1"/>
  <c r="J27"/>
  <c r="I27"/>
  <c r="H27"/>
  <c r="H26" s="1"/>
  <c r="G27"/>
  <c r="G26" s="1"/>
  <c r="F27"/>
  <c r="E27"/>
  <c r="D27"/>
  <c r="D26" s="1"/>
  <c r="C27"/>
  <c r="C26" s="1"/>
  <c r="N26"/>
  <c r="M26"/>
  <c r="J26"/>
  <c r="I26"/>
  <c r="F26"/>
  <c r="E26"/>
  <c r="O25"/>
  <c r="O24"/>
  <c r="N23"/>
  <c r="M23"/>
  <c r="L23"/>
  <c r="K23"/>
  <c r="K17" s="1"/>
  <c r="J23"/>
  <c r="I23"/>
  <c r="H23"/>
  <c r="G23"/>
  <c r="G17" s="1"/>
  <c r="F23"/>
  <c r="E23"/>
  <c r="D23"/>
  <c r="C23"/>
  <c r="C17" s="1"/>
  <c r="O22"/>
  <c r="O21"/>
  <c r="O20"/>
  <c r="O19"/>
  <c r="O18" s="1"/>
  <c r="N18"/>
  <c r="M18"/>
  <c r="M17" s="1"/>
  <c r="L18"/>
  <c r="L17" s="1"/>
  <c r="K18"/>
  <c r="J18"/>
  <c r="I18"/>
  <c r="I17" s="1"/>
  <c r="H18"/>
  <c r="H17" s="1"/>
  <c r="G18"/>
  <c r="F18"/>
  <c r="E18"/>
  <c r="E17" s="1"/>
  <c r="D18"/>
  <c r="D17" s="1"/>
  <c r="C18"/>
  <c r="N17"/>
  <c r="J17"/>
  <c r="F17"/>
  <c r="O15"/>
  <c r="O14"/>
  <c r="O13" s="1"/>
  <c r="N13"/>
  <c r="M13"/>
  <c r="L13"/>
  <c r="K13"/>
  <c r="J13"/>
  <c r="I13"/>
  <c r="H13"/>
  <c r="G13"/>
  <c r="F13"/>
  <c r="E13"/>
  <c r="D13"/>
  <c r="C13"/>
  <c r="O36" l="1"/>
  <c r="C35"/>
  <c r="O17"/>
  <c r="O26"/>
  <c r="G35"/>
  <c r="K35"/>
  <c r="O40"/>
  <c r="O121"/>
  <c r="F35"/>
  <c r="J35"/>
  <c r="N35"/>
  <c r="O53"/>
  <c r="O57"/>
  <c r="O58"/>
  <c r="O122"/>
  <c r="O23"/>
  <c r="O54"/>
  <c r="O37"/>
  <c r="O41"/>
  <c r="O35" l="1"/>
  <c r="AE35" i="76" l="1"/>
  <c r="AE36"/>
  <c r="AE37"/>
  <c r="AE38"/>
  <c r="AE39"/>
  <c r="B2" i="133"/>
  <c r="B2" i="129"/>
  <c r="B2" i="128"/>
  <c r="B2" i="76"/>
  <c r="B2" i="121"/>
  <c r="B2" i="120"/>
  <c r="B2" i="42"/>
  <c r="B2" i="125"/>
  <c r="B2" i="109"/>
  <c r="B2" i="108"/>
  <c r="B2" i="124"/>
  <c r="B2" i="132"/>
  <c r="B2" i="123"/>
  <c r="B2" i="103"/>
  <c r="B2" i="135"/>
  <c r="B2" i="102"/>
  <c r="B2" i="134"/>
  <c r="B2" i="88"/>
  <c r="B2" i="17"/>
  <c r="B2" i="93"/>
  <c r="B2" i="100"/>
  <c r="B2" i="99"/>
  <c r="B2" i="98"/>
  <c r="B2" i="101"/>
  <c r="B2" i="126"/>
  <c r="B2" i="13"/>
  <c r="B2" i="79"/>
  <c r="B2" i="95"/>
  <c r="C22" i="129" l="1"/>
  <c r="C20"/>
  <c r="C18"/>
  <c r="C16"/>
  <c r="C10" s="1"/>
  <c r="C14"/>
  <c r="C12"/>
  <c r="I10"/>
  <c r="H10"/>
  <c r="G10"/>
  <c r="F10"/>
  <c r="E10"/>
  <c r="D10"/>
  <c r="AC39" i="76"/>
  <c r="AB39"/>
  <c r="AA39"/>
  <c r="Z39"/>
  <c r="Y39"/>
  <c r="X39"/>
  <c r="W39"/>
  <c r="V39"/>
  <c r="U39"/>
  <c r="T39"/>
  <c r="S39"/>
  <c r="R39"/>
  <c r="Q39"/>
  <c r="P39"/>
  <c r="O39"/>
  <c r="N39"/>
  <c r="M39"/>
  <c r="L39"/>
  <c r="K39"/>
  <c r="J39"/>
  <c r="I39"/>
  <c r="H39"/>
  <c r="G39"/>
  <c r="F39"/>
  <c r="E39"/>
  <c r="D39"/>
  <c r="AD38"/>
  <c r="AC38"/>
  <c r="AB38"/>
  <c r="AA38"/>
  <c r="Z38"/>
  <c r="Y38"/>
  <c r="X38"/>
  <c r="W38"/>
  <c r="V38"/>
  <c r="U38"/>
  <c r="T38"/>
  <c r="S38"/>
  <c r="R38"/>
  <c r="Q38"/>
  <c r="P38"/>
  <c r="O38"/>
  <c r="N38"/>
  <c r="M38"/>
  <c r="L38"/>
  <c r="K38"/>
  <c r="J38"/>
  <c r="I38"/>
  <c r="H38"/>
  <c r="G38"/>
  <c r="F38"/>
  <c r="E38"/>
  <c r="D38"/>
  <c r="AC37"/>
  <c r="AB37"/>
  <c r="AA37"/>
  <c r="Z37"/>
  <c r="Y37"/>
  <c r="X37"/>
  <c r="W37"/>
  <c r="V37"/>
  <c r="U37"/>
  <c r="T37"/>
  <c r="S37"/>
  <c r="R37"/>
  <c r="Q37"/>
  <c r="P37"/>
  <c r="O37"/>
  <c r="N37"/>
  <c r="M37"/>
  <c r="L37"/>
  <c r="K37"/>
  <c r="J37"/>
  <c r="I37"/>
  <c r="H37"/>
  <c r="G37"/>
  <c r="F37"/>
  <c r="E37"/>
  <c r="D37"/>
  <c r="AD36"/>
  <c r="AC36"/>
  <c r="AB36"/>
  <c r="AA36"/>
  <c r="Z36"/>
  <c r="Y36"/>
  <c r="X36"/>
  <c r="W36"/>
  <c r="V36"/>
  <c r="U36"/>
  <c r="T36"/>
  <c r="S36"/>
  <c r="R36"/>
  <c r="Q36"/>
  <c r="P36"/>
  <c r="O36"/>
  <c r="N36"/>
  <c r="M36"/>
  <c r="L36"/>
  <c r="K36"/>
  <c r="J36"/>
  <c r="I36"/>
  <c r="H36"/>
  <c r="G36"/>
  <c r="F36"/>
  <c r="E36"/>
  <c r="D36"/>
  <c r="AD35"/>
  <c r="AC35"/>
  <c r="AB35"/>
  <c r="AA35"/>
  <c r="Z35"/>
  <c r="Y35"/>
  <c r="X35"/>
  <c r="W35"/>
  <c r="V35"/>
  <c r="U35"/>
  <c r="T35"/>
  <c r="S35"/>
  <c r="R35"/>
  <c r="Q35"/>
  <c r="P35"/>
  <c r="O35"/>
  <c r="N35"/>
  <c r="M35"/>
  <c r="L35"/>
  <c r="K35"/>
  <c r="J35"/>
  <c r="I35"/>
  <c r="H35"/>
  <c r="G35"/>
  <c r="F35"/>
  <c r="E35"/>
  <c r="D35"/>
  <c r="AE32"/>
  <c r="AE31"/>
  <c r="AD31"/>
  <c r="AD33" s="1"/>
  <c r="AE33" s="1"/>
  <c r="AE30"/>
  <c r="AE29"/>
  <c r="AE26"/>
  <c r="AE25"/>
  <c r="AD25"/>
  <c r="AD27" s="1"/>
  <c r="AE27" s="1"/>
  <c r="AE24"/>
  <c r="AE23"/>
  <c r="AE20"/>
  <c r="AD19"/>
  <c r="AE19" s="1"/>
  <c r="AE18"/>
  <c r="AE17"/>
  <c r="AE14"/>
  <c r="AE13"/>
  <c r="AD13"/>
  <c r="AD37" s="1"/>
  <c r="AE12"/>
  <c r="AE11"/>
  <c r="AD15" l="1"/>
  <c r="AE15" s="1"/>
  <c r="AD39"/>
  <c r="AD21"/>
  <c r="AE21" s="1"/>
  <c r="O33" i="124" l="1"/>
  <c r="N32"/>
  <c r="M32"/>
  <c r="L32"/>
  <c r="K32"/>
  <c r="J32"/>
  <c r="I32"/>
  <c r="H32"/>
  <c r="G32"/>
  <c r="F32"/>
  <c r="E32"/>
  <c r="D32"/>
  <c r="C32"/>
  <c r="O32" s="1"/>
  <c r="C87" i="111" l="1"/>
  <c r="O133" i="132" l="1"/>
  <c r="O132"/>
  <c r="O131"/>
  <c r="O130"/>
  <c r="D123"/>
  <c r="D122" s="1"/>
  <c r="E123"/>
  <c r="F123"/>
  <c r="G123"/>
  <c r="G122" s="1"/>
  <c r="G121" s="1"/>
  <c r="H123"/>
  <c r="H122" s="1"/>
  <c r="I123"/>
  <c r="J123"/>
  <c r="K123"/>
  <c r="K122" s="1"/>
  <c r="L123"/>
  <c r="L122" s="1"/>
  <c r="M123"/>
  <c r="N123"/>
  <c r="D130"/>
  <c r="E130"/>
  <c r="F130"/>
  <c r="G130"/>
  <c r="H130"/>
  <c r="I130"/>
  <c r="J130"/>
  <c r="K130"/>
  <c r="L130"/>
  <c r="M130"/>
  <c r="N130"/>
  <c r="D127"/>
  <c r="E127"/>
  <c r="F127"/>
  <c r="G127"/>
  <c r="H127"/>
  <c r="I127"/>
  <c r="J127"/>
  <c r="K127"/>
  <c r="L127"/>
  <c r="M127"/>
  <c r="N127"/>
  <c r="D125"/>
  <c r="E125"/>
  <c r="F125"/>
  <c r="F122" s="1"/>
  <c r="G125"/>
  <c r="H125"/>
  <c r="I125"/>
  <c r="J125"/>
  <c r="K125"/>
  <c r="L125"/>
  <c r="M125"/>
  <c r="N125"/>
  <c r="E122"/>
  <c r="I122"/>
  <c r="J122"/>
  <c r="N118"/>
  <c r="M118"/>
  <c r="L118"/>
  <c r="K118"/>
  <c r="J118"/>
  <c r="I118"/>
  <c r="H118"/>
  <c r="G118"/>
  <c r="F118"/>
  <c r="E118"/>
  <c r="D118"/>
  <c r="O116"/>
  <c r="O102"/>
  <c r="O103"/>
  <c r="O104"/>
  <c r="O105"/>
  <c r="O106"/>
  <c r="O107"/>
  <c r="O108"/>
  <c r="O109"/>
  <c r="O110"/>
  <c r="O111"/>
  <c r="O112"/>
  <c r="O113"/>
  <c r="O114"/>
  <c r="O115"/>
  <c r="N70"/>
  <c r="M70"/>
  <c r="L70"/>
  <c r="K70"/>
  <c r="J70"/>
  <c r="I70"/>
  <c r="H70"/>
  <c r="G70"/>
  <c r="F70"/>
  <c r="E70"/>
  <c r="D70"/>
  <c r="C70"/>
  <c r="N67"/>
  <c r="M67"/>
  <c r="L67"/>
  <c r="K67"/>
  <c r="J67"/>
  <c r="I67"/>
  <c r="H67"/>
  <c r="G67"/>
  <c r="F67"/>
  <c r="E67"/>
  <c r="D67"/>
  <c r="C67"/>
  <c r="N64"/>
  <c r="M64"/>
  <c r="L64"/>
  <c r="K64"/>
  <c r="J64"/>
  <c r="I64"/>
  <c r="H64"/>
  <c r="G64"/>
  <c r="F64"/>
  <c r="E64"/>
  <c r="D64"/>
  <c r="C64"/>
  <c r="N61"/>
  <c r="N60" s="1"/>
  <c r="M61"/>
  <c r="L61"/>
  <c r="L60" s="1"/>
  <c r="K61"/>
  <c r="K60" s="1"/>
  <c r="J61"/>
  <c r="I61"/>
  <c r="H61"/>
  <c r="H60" s="1"/>
  <c r="G61"/>
  <c r="G60" s="1"/>
  <c r="F61"/>
  <c r="F60" s="1"/>
  <c r="E61"/>
  <c r="D61"/>
  <c r="D60" s="1"/>
  <c r="M60"/>
  <c r="M56" s="1"/>
  <c r="I60"/>
  <c r="I56" s="1"/>
  <c r="E60"/>
  <c r="C61"/>
  <c r="C60"/>
  <c r="N57"/>
  <c r="M57"/>
  <c r="L57"/>
  <c r="K57"/>
  <c r="J57"/>
  <c r="I57"/>
  <c r="H57"/>
  <c r="G57"/>
  <c r="F57"/>
  <c r="E57"/>
  <c r="D57"/>
  <c r="C57"/>
  <c r="C56" s="1"/>
  <c r="O55"/>
  <c r="O54"/>
  <c r="O52"/>
  <c r="O51"/>
  <c r="O49"/>
  <c r="O48"/>
  <c r="O46"/>
  <c r="O45"/>
  <c r="O42"/>
  <c r="O41"/>
  <c r="N53"/>
  <c r="M53"/>
  <c r="L53"/>
  <c r="K53"/>
  <c r="J53"/>
  <c r="I53"/>
  <c r="H53"/>
  <c r="G53"/>
  <c r="F53"/>
  <c r="E53"/>
  <c r="D53"/>
  <c r="N50"/>
  <c r="M50"/>
  <c r="L50"/>
  <c r="K50"/>
  <c r="J50"/>
  <c r="I50"/>
  <c r="H50"/>
  <c r="G50"/>
  <c r="F50"/>
  <c r="E50"/>
  <c r="D50"/>
  <c r="O50" s="1"/>
  <c r="N47"/>
  <c r="M47"/>
  <c r="L47"/>
  <c r="K47"/>
  <c r="J47"/>
  <c r="I47"/>
  <c r="H47"/>
  <c r="G47"/>
  <c r="F47"/>
  <c r="E47"/>
  <c r="D47"/>
  <c r="D43" s="1"/>
  <c r="N44"/>
  <c r="N43" s="1"/>
  <c r="M44"/>
  <c r="M43" s="1"/>
  <c r="L44"/>
  <c r="K44"/>
  <c r="J44"/>
  <c r="J43" s="1"/>
  <c r="I44"/>
  <c r="I43" s="1"/>
  <c r="H44"/>
  <c r="G44"/>
  <c r="F44"/>
  <c r="F43" s="1"/>
  <c r="E44"/>
  <c r="E43" s="1"/>
  <c r="D44"/>
  <c r="L43"/>
  <c r="H43"/>
  <c r="N40"/>
  <c r="M40"/>
  <c r="L40"/>
  <c r="K40"/>
  <c r="J40"/>
  <c r="I40"/>
  <c r="H40"/>
  <c r="G40"/>
  <c r="F40"/>
  <c r="E40"/>
  <c r="D40"/>
  <c r="C53"/>
  <c r="O53" s="1"/>
  <c r="C50"/>
  <c r="C47"/>
  <c r="O47" s="1"/>
  <c r="C44"/>
  <c r="O44" s="1"/>
  <c r="C43"/>
  <c r="C39" s="1"/>
  <c r="C40"/>
  <c r="O40" s="1"/>
  <c r="O71"/>
  <c r="O69"/>
  <c r="O68"/>
  <c r="O65"/>
  <c r="O63"/>
  <c r="O62"/>
  <c r="O58"/>
  <c r="O128"/>
  <c r="O126"/>
  <c r="O124"/>
  <c r="O120"/>
  <c r="O119"/>
  <c r="O117"/>
  <c r="O101"/>
  <c r="O100"/>
  <c r="O99"/>
  <c r="O98"/>
  <c r="O97"/>
  <c r="O96"/>
  <c r="O95"/>
  <c r="O94"/>
  <c r="O93"/>
  <c r="O92"/>
  <c r="O91"/>
  <c r="O90"/>
  <c r="O89"/>
  <c r="O88"/>
  <c r="O87"/>
  <c r="O86"/>
  <c r="O85"/>
  <c r="O84"/>
  <c r="O83"/>
  <c r="O82"/>
  <c r="O81"/>
  <c r="O80"/>
  <c r="O79"/>
  <c r="O78"/>
  <c r="O77"/>
  <c r="O76"/>
  <c r="O75"/>
  <c r="O74"/>
  <c r="O73"/>
  <c r="O72"/>
  <c r="O66"/>
  <c r="O59"/>
  <c r="O36"/>
  <c r="O35"/>
  <c r="O33"/>
  <c r="O30"/>
  <c r="O29"/>
  <c r="O27"/>
  <c r="O24"/>
  <c r="O22"/>
  <c r="O21"/>
  <c r="O20"/>
  <c r="O19"/>
  <c r="D34"/>
  <c r="E34"/>
  <c r="F34"/>
  <c r="G34"/>
  <c r="H34"/>
  <c r="I34"/>
  <c r="J34"/>
  <c r="K34"/>
  <c r="L34"/>
  <c r="M34"/>
  <c r="N34"/>
  <c r="N32"/>
  <c r="N31" s="1"/>
  <c r="M32"/>
  <c r="L32"/>
  <c r="L31" s="1"/>
  <c r="K32"/>
  <c r="K31" s="1"/>
  <c r="J32"/>
  <c r="J31" s="1"/>
  <c r="I32"/>
  <c r="H32"/>
  <c r="H31" s="1"/>
  <c r="G32"/>
  <c r="G31" s="1"/>
  <c r="F32"/>
  <c r="F31" s="1"/>
  <c r="E32"/>
  <c r="D32"/>
  <c r="D31" s="1"/>
  <c r="M31"/>
  <c r="I31"/>
  <c r="E31"/>
  <c r="C32"/>
  <c r="C31" s="1"/>
  <c r="O31" s="1"/>
  <c r="D28"/>
  <c r="D25" s="1"/>
  <c r="E28"/>
  <c r="F28"/>
  <c r="G28"/>
  <c r="G25" s="1"/>
  <c r="H28"/>
  <c r="I28"/>
  <c r="J28"/>
  <c r="K28"/>
  <c r="L28"/>
  <c r="L25" s="1"/>
  <c r="M28"/>
  <c r="N28"/>
  <c r="N26"/>
  <c r="M26"/>
  <c r="L26"/>
  <c r="K26"/>
  <c r="J26"/>
  <c r="J25" s="1"/>
  <c r="I26"/>
  <c r="H26"/>
  <c r="G26"/>
  <c r="F26"/>
  <c r="F25" s="1"/>
  <c r="E26"/>
  <c r="O26" s="1"/>
  <c r="D26"/>
  <c r="C26"/>
  <c r="K25"/>
  <c r="I25"/>
  <c r="H25"/>
  <c r="D23"/>
  <c r="E23"/>
  <c r="F23"/>
  <c r="G23"/>
  <c r="H23"/>
  <c r="I23"/>
  <c r="J23"/>
  <c r="K23"/>
  <c r="L23"/>
  <c r="M23"/>
  <c r="N23"/>
  <c r="D13"/>
  <c r="E13"/>
  <c r="F13"/>
  <c r="G13"/>
  <c r="H13"/>
  <c r="I13"/>
  <c r="J13"/>
  <c r="K13"/>
  <c r="L13"/>
  <c r="M13"/>
  <c r="N13"/>
  <c r="D18"/>
  <c r="E18"/>
  <c r="F18"/>
  <c r="G18"/>
  <c r="H18"/>
  <c r="H17" s="1"/>
  <c r="I18"/>
  <c r="J18"/>
  <c r="K18"/>
  <c r="L18"/>
  <c r="M18"/>
  <c r="N18"/>
  <c r="J121" l="1"/>
  <c r="F121"/>
  <c r="K121"/>
  <c r="L121"/>
  <c r="H121"/>
  <c r="D121"/>
  <c r="E121"/>
  <c r="I121"/>
  <c r="K17"/>
  <c r="G56"/>
  <c r="D56"/>
  <c r="H56"/>
  <c r="L56"/>
  <c r="E25"/>
  <c r="E17"/>
  <c r="O32"/>
  <c r="E56"/>
  <c r="G17"/>
  <c r="K56"/>
  <c r="I17"/>
  <c r="F17"/>
  <c r="J17"/>
  <c r="L17"/>
  <c r="D17"/>
  <c r="F56"/>
  <c r="N56"/>
  <c r="J60"/>
  <c r="J56" s="1"/>
  <c r="E39"/>
  <c r="I39"/>
  <c r="M39"/>
  <c r="F39"/>
  <c r="J39"/>
  <c r="N39"/>
  <c r="G43"/>
  <c r="O43" s="1"/>
  <c r="K43"/>
  <c r="D39"/>
  <c r="O39" s="1"/>
  <c r="H39"/>
  <c r="L39"/>
  <c r="G39"/>
  <c r="K39"/>
  <c r="O45" i="123"/>
  <c r="O44"/>
  <c r="O49"/>
  <c r="O67"/>
  <c r="O66"/>
  <c r="N65"/>
  <c r="M65"/>
  <c r="L65"/>
  <c r="K65"/>
  <c r="J65"/>
  <c r="I65"/>
  <c r="H65"/>
  <c r="G65"/>
  <c r="F65"/>
  <c r="E65"/>
  <c r="D65"/>
  <c r="C65"/>
  <c r="O52"/>
  <c r="O53"/>
  <c r="O54"/>
  <c r="O55"/>
  <c r="O51"/>
  <c r="O50"/>
  <c r="O48"/>
  <c r="O47"/>
  <c r="O46"/>
  <c r="O35"/>
  <c r="O33"/>
  <c r="N34"/>
  <c r="M34"/>
  <c r="L34"/>
  <c r="K34"/>
  <c r="J34"/>
  <c r="I34"/>
  <c r="H34"/>
  <c r="G34"/>
  <c r="F34"/>
  <c r="E34"/>
  <c r="D34"/>
  <c r="C34"/>
  <c r="N32"/>
  <c r="N31" s="1"/>
  <c r="M32"/>
  <c r="L32"/>
  <c r="L31" s="1"/>
  <c r="K32"/>
  <c r="K31" s="1"/>
  <c r="J32"/>
  <c r="J31" s="1"/>
  <c r="I32"/>
  <c r="H32"/>
  <c r="H31" s="1"/>
  <c r="G32"/>
  <c r="G31" s="1"/>
  <c r="F32"/>
  <c r="F31" s="1"/>
  <c r="E32"/>
  <c r="D32"/>
  <c r="D31" s="1"/>
  <c r="C32"/>
  <c r="I31" l="1"/>
  <c r="E31"/>
  <c r="M31"/>
  <c r="O32"/>
  <c r="O34"/>
  <c r="C31"/>
  <c r="N18"/>
  <c r="M18"/>
  <c r="L18"/>
  <c r="H18"/>
  <c r="G18"/>
  <c r="F18"/>
  <c r="E18"/>
  <c r="D18"/>
  <c r="C18"/>
  <c r="C22"/>
  <c r="D22"/>
  <c r="E22"/>
  <c r="F22"/>
  <c r="C25"/>
  <c r="D25"/>
  <c r="E25"/>
  <c r="F25"/>
  <c r="C28"/>
  <c r="D28"/>
  <c r="E28"/>
  <c r="F28"/>
  <c r="N72"/>
  <c r="M72"/>
  <c r="L72"/>
  <c r="H72"/>
  <c r="G72"/>
  <c r="F72"/>
  <c r="E72"/>
  <c r="D72"/>
  <c r="C72"/>
  <c r="N68"/>
  <c r="M68"/>
  <c r="L68"/>
  <c r="H68"/>
  <c r="G68"/>
  <c r="F68"/>
  <c r="E68"/>
  <c r="D68"/>
  <c r="C68"/>
  <c r="N62"/>
  <c r="M62"/>
  <c r="L62"/>
  <c r="H62"/>
  <c r="G62"/>
  <c r="F62"/>
  <c r="F61" s="1"/>
  <c r="E62"/>
  <c r="D62"/>
  <c r="C62"/>
  <c r="E61"/>
  <c r="N57"/>
  <c r="M57"/>
  <c r="L57"/>
  <c r="H57"/>
  <c r="G57"/>
  <c r="F57"/>
  <c r="E57"/>
  <c r="D57"/>
  <c r="C57"/>
  <c r="N36"/>
  <c r="M36"/>
  <c r="L36"/>
  <c r="H36"/>
  <c r="G36"/>
  <c r="F36"/>
  <c r="E36"/>
  <c r="D36"/>
  <c r="C36"/>
  <c r="N28"/>
  <c r="M28"/>
  <c r="L28"/>
  <c r="H28"/>
  <c r="G28"/>
  <c r="N25"/>
  <c r="M25"/>
  <c r="L25"/>
  <c r="H25"/>
  <c r="G25"/>
  <c r="N22"/>
  <c r="M22"/>
  <c r="L22"/>
  <c r="H22"/>
  <c r="G22"/>
  <c r="O75"/>
  <c r="O74"/>
  <c r="O73"/>
  <c r="O58"/>
  <c r="O59"/>
  <c r="O63"/>
  <c r="O64"/>
  <c r="O69"/>
  <c r="O70"/>
  <c r="O43"/>
  <c r="O56"/>
  <c r="O40"/>
  <c r="O38"/>
  <c r="O37"/>
  <c r="O30"/>
  <c r="O29"/>
  <c r="O27"/>
  <c r="O26"/>
  <c r="O23"/>
  <c r="O21"/>
  <c r="O20"/>
  <c r="O19"/>
  <c r="O15"/>
  <c r="O14"/>
  <c r="N13"/>
  <c r="M13"/>
  <c r="L13"/>
  <c r="H13"/>
  <c r="G13"/>
  <c r="F13"/>
  <c r="E13"/>
  <c r="D13"/>
  <c r="C13"/>
  <c r="L61" l="1"/>
  <c r="O31"/>
  <c r="L24"/>
  <c r="L17" s="1"/>
  <c r="H61"/>
  <c r="M24"/>
  <c r="E60"/>
  <c r="D61"/>
  <c r="F60"/>
  <c r="C61"/>
  <c r="G61"/>
  <c r="N61"/>
  <c r="D24"/>
  <c r="G24"/>
  <c r="G17" s="1"/>
  <c r="C24"/>
  <c r="E24"/>
  <c r="F24"/>
  <c r="N24"/>
  <c r="N17" s="1"/>
  <c r="H24"/>
  <c r="H17" s="1"/>
  <c r="M61"/>
  <c r="H92" i="100"/>
  <c r="G92"/>
  <c r="F92"/>
  <c r="H73" i="98"/>
  <c r="G73"/>
  <c r="F73"/>
  <c r="H41"/>
  <c r="G41"/>
  <c r="F41"/>
  <c r="E42" i="123" l="1"/>
  <c r="F42"/>
  <c r="H60"/>
  <c r="D60"/>
  <c r="E17"/>
  <c r="F17"/>
  <c r="G60"/>
  <c r="C17"/>
  <c r="L60"/>
  <c r="M17"/>
  <c r="D17"/>
  <c r="N60"/>
  <c r="M60"/>
  <c r="C60"/>
  <c r="L42" l="1"/>
  <c r="M42"/>
  <c r="N42"/>
  <c r="D42"/>
  <c r="G42"/>
  <c r="H42"/>
  <c r="C42"/>
  <c r="M64" i="108"/>
  <c r="L64"/>
  <c r="K64"/>
  <c r="J64"/>
  <c r="I64"/>
  <c r="H64"/>
  <c r="G64"/>
  <c r="F64"/>
  <c r="E64"/>
  <c r="J54"/>
  <c r="K54"/>
  <c r="L54"/>
  <c r="M54"/>
  <c r="L59" l="1"/>
  <c r="K59"/>
  <c r="J59"/>
  <c r="L49"/>
  <c r="K49"/>
  <c r="J49"/>
  <c r="L44"/>
  <c r="K44"/>
  <c r="J44"/>
  <c r="L39"/>
  <c r="K39"/>
  <c r="J39"/>
  <c r="L34"/>
  <c r="K34"/>
  <c r="J34"/>
  <c r="L31"/>
  <c r="L73" s="1"/>
  <c r="K31"/>
  <c r="K73" s="1"/>
  <c r="J31"/>
  <c r="J73" s="1"/>
  <c r="L30"/>
  <c r="K30"/>
  <c r="K72" s="1"/>
  <c r="J30"/>
  <c r="J72" s="1"/>
  <c r="L23"/>
  <c r="K23"/>
  <c r="J23"/>
  <c r="L18"/>
  <c r="K18"/>
  <c r="J18"/>
  <c r="L13"/>
  <c r="K13"/>
  <c r="J13"/>
  <c r="M13"/>
  <c r="M18"/>
  <c r="M23"/>
  <c r="M30"/>
  <c r="M72" s="1"/>
  <c r="M31"/>
  <c r="M34"/>
  <c r="M39"/>
  <c r="M44"/>
  <c r="M49"/>
  <c r="M59"/>
  <c r="M73"/>
  <c r="J70" l="1"/>
  <c r="M28"/>
  <c r="K28"/>
  <c r="J28"/>
  <c r="L28"/>
  <c r="M70"/>
  <c r="K70"/>
  <c r="L72"/>
  <c r="L70" s="1"/>
  <c r="C40" i="13" l="1"/>
  <c r="G20"/>
  <c r="G21"/>
  <c r="G22"/>
  <c r="G39"/>
  <c r="C29" i="95" l="1"/>
  <c r="O56" i="103" l="1"/>
  <c r="O55"/>
  <c r="O54" s="1"/>
  <c r="O51"/>
  <c r="O50"/>
  <c r="O49" s="1"/>
  <c r="O46"/>
  <c r="O44" s="1"/>
  <c r="O45"/>
  <c r="O41"/>
  <c r="O40"/>
  <c r="O39" s="1"/>
  <c r="O36"/>
  <c r="O35"/>
  <c r="O34" s="1"/>
  <c r="O31"/>
  <c r="O30"/>
  <c r="O29" s="1"/>
  <c r="O26"/>
  <c r="O25"/>
  <c r="O21"/>
  <c r="O20"/>
  <c r="O16"/>
  <c r="O15"/>
  <c r="O14" s="1"/>
  <c r="B3"/>
  <c r="K61"/>
  <c r="J61"/>
  <c r="I61"/>
  <c r="K60"/>
  <c r="J60"/>
  <c r="I60"/>
  <c r="K54"/>
  <c r="J54"/>
  <c r="I54"/>
  <c r="K49"/>
  <c r="J49"/>
  <c r="I49"/>
  <c r="K44"/>
  <c r="J44"/>
  <c r="I44"/>
  <c r="K39"/>
  <c r="J39"/>
  <c r="I39"/>
  <c r="K34"/>
  <c r="J34"/>
  <c r="I34"/>
  <c r="K29"/>
  <c r="J29"/>
  <c r="I29"/>
  <c r="K24"/>
  <c r="J24"/>
  <c r="I24"/>
  <c r="K19"/>
  <c r="J19"/>
  <c r="I19"/>
  <c r="K14"/>
  <c r="J14"/>
  <c r="I14"/>
  <c r="O24" l="1"/>
  <c r="J59"/>
  <c r="K59"/>
  <c r="I59"/>
  <c r="AI36" i="109" l="1"/>
  <c r="AH35"/>
  <c r="AG35"/>
  <c r="AF35"/>
  <c r="AE35"/>
  <c r="AD35"/>
  <c r="AC35"/>
  <c r="AB35"/>
  <c r="AA35"/>
  <c r="Z35"/>
  <c r="Y35"/>
  <c r="X35"/>
  <c r="W35"/>
  <c r="V35"/>
  <c r="U35"/>
  <c r="T35"/>
  <c r="S35"/>
  <c r="R35"/>
  <c r="Q35"/>
  <c r="P35"/>
  <c r="O35"/>
  <c r="N35"/>
  <c r="M35"/>
  <c r="L35"/>
  <c r="K35"/>
  <c r="J35"/>
  <c r="I35"/>
  <c r="H35"/>
  <c r="G35"/>
  <c r="F35"/>
  <c r="E35"/>
  <c r="D35"/>
  <c r="C35"/>
  <c r="AI35" l="1"/>
  <c r="C46" i="111"/>
  <c r="D46"/>
  <c r="B3" i="108" l="1"/>
  <c r="B3" i="109" s="1"/>
  <c r="B3" i="125" s="1"/>
  <c r="B3" i="101" l="1"/>
  <c r="B3" i="121" l="1"/>
  <c r="B3" i="42"/>
  <c r="B3" i="17" l="1"/>
  <c r="B3" i="88" s="1"/>
  <c r="B3" i="134"/>
  <c r="B3" i="135"/>
  <c r="AC40" l="1"/>
  <c r="AC24"/>
  <c r="AC20" s="1"/>
  <c r="AC17" s="1"/>
  <c r="AC14" s="1"/>
  <c r="F74" i="17" l="1"/>
  <c r="F66"/>
  <c r="F61"/>
  <c r="F53"/>
  <c r="F32"/>
  <c r="F28" s="1"/>
  <c r="F22"/>
  <c r="D66" i="134"/>
  <c r="C66"/>
  <c r="C20"/>
  <c r="C32"/>
  <c r="F20" i="17" l="1"/>
  <c r="F17" s="1"/>
  <c r="F14" s="1"/>
  <c r="C20" i="88"/>
  <c r="AD40" i="135" l="1"/>
  <c r="AB40"/>
  <c r="AA40"/>
  <c r="Z40"/>
  <c r="Y40"/>
  <c r="X40"/>
  <c r="W40"/>
  <c r="V40"/>
  <c r="U40"/>
  <c r="T40"/>
  <c r="S40"/>
  <c r="R40"/>
  <c r="Q40"/>
  <c r="P40"/>
  <c r="O40"/>
  <c r="N40"/>
  <c r="M40"/>
  <c r="AD24"/>
  <c r="AD20" s="1"/>
  <c r="AB24"/>
  <c r="AA24"/>
  <c r="Z24"/>
  <c r="Y24"/>
  <c r="X24"/>
  <c r="W24"/>
  <c r="V24"/>
  <c r="U24"/>
  <c r="T24"/>
  <c r="S24"/>
  <c r="R24"/>
  <c r="Q24"/>
  <c r="P24"/>
  <c r="O24"/>
  <c r="N24"/>
  <c r="M24"/>
  <c r="L24"/>
  <c r="K24"/>
  <c r="J24"/>
  <c r="I24"/>
  <c r="H24"/>
  <c r="G24"/>
  <c r="F24"/>
  <c r="E24"/>
  <c r="D24"/>
  <c r="C24"/>
  <c r="AB20"/>
  <c r="AA20"/>
  <c r="Z20"/>
  <c r="Y20"/>
  <c r="X20"/>
  <c r="W20"/>
  <c r="V20"/>
  <c r="U20"/>
  <c r="T20"/>
  <c r="S20"/>
  <c r="R20"/>
  <c r="Q20"/>
  <c r="P20"/>
  <c r="O20"/>
  <c r="N20"/>
  <c r="M20"/>
  <c r="L20"/>
  <c r="K20"/>
  <c r="J20"/>
  <c r="I20"/>
  <c r="H20"/>
  <c r="G20"/>
  <c r="F20"/>
  <c r="E20"/>
  <c r="D20"/>
  <c r="C20"/>
  <c r="AB17"/>
  <c r="AA17"/>
  <c r="AA14" s="1"/>
  <c r="Z17"/>
  <c r="Y17"/>
  <c r="X17"/>
  <c r="W17"/>
  <c r="V17"/>
  <c r="U17"/>
  <c r="T17"/>
  <c r="S17"/>
  <c r="S14" s="1"/>
  <c r="R17"/>
  <c r="Q17"/>
  <c r="P17"/>
  <c r="O17"/>
  <c r="O14" s="1"/>
  <c r="N17"/>
  <c r="M17"/>
  <c r="L17"/>
  <c r="K17"/>
  <c r="K14" s="1"/>
  <c r="J17"/>
  <c r="I17"/>
  <c r="H17"/>
  <c r="G17"/>
  <c r="G14" s="1"/>
  <c r="F17"/>
  <c r="E17"/>
  <c r="D17"/>
  <c r="C17"/>
  <c r="C14" s="1"/>
  <c r="AB14"/>
  <c r="Z14"/>
  <c r="Y14"/>
  <c r="X14"/>
  <c r="W14"/>
  <c r="V14"/>
  <c r="U14"/>
  <c r="T14"/>
  <c r="R14"/>
  <c r="Q14"/>
  <c r="P14"/>
  <c r="N14"/>
  <c r="M14"/>
  <c r="L14"/>
  <c r="J14"/>
  <c r="I14"/>
  <c r="H14"/>
  <c r="F14"/>
  <c r="E14"/>
  <c r="D14"/>
  <c r="AD17" l="1"/>
  <c r="AD14" s="1"/>
  <c r="B2" i="111" l="1"/>
  <c r="O121" i="124" l="1"/>
  <c r="O120"/>
  <c r="N119"/>
  <c r="M119"/>
  <c r="L119"/>
  <c r="K119"/>
  <c r="J119"/>
  <c r="I119"/>
  <c r="H119"/>
  <c r="G119"/>
  <c r="F119"/>
  <c r="E119"/>
  <c r="D119"/>
  <c r="C119"/>
  <c r="O119" l="1"/>
  <c r="AI116" i="125"/>
  <c r="AI111"/>
  <c r="N25" i="132"/>
  <c r="N17" s="1"/>
  <c r="M25"/>
  <c r="M17" s="1"/>
  <c r="C28"/>
  <c r="O28" s="1"/>
  <c r="K62" i="123"/>
  <c r="J62"/>
  <c r="I62"/>
  <c r="K28"/>
  <c r="J28"/>
  <c r="I28"/>
  <c r="K22"/>
  <c r="J22"/>
  <c r="I22"/>
  <c r="K61" l="1"/>
  <c r="J61"/>
  <c r="O65"/>
  <c r="I61"/>
  <c r="O62"/>
  <c r="O28"/>
  <c r="O22"/>
  <c r="D60" i="134"/>
  <c r="C60"/>
  <c r="D53"/>
  <c r="C53"/>
  <c r="D32"/>
  <c r="D20"/>
  <c r="O61" i="123" l="1"/>
  <c r="C45" i="134"/>
  <c r="D45"/>
  <c r="G74" i="17" l="1"/>
  <c r="G66"/>
  <c r="G61"/>
  <c r="G53"/>
  <c r="G32"/>
  <c r="G22"/>
  <c r="G28" l="1"/>
  <c r="G20"/>
  <c r="G17" l="1"/>
  <c r="L54" i="103"/>
  <c r="E54"/>
  <c r="N54"/>
  <c r="M54"/>
  <c r="H54"/>
  <c r="G54"/>
  <c r="F54"/>
  <c r="D54"/>
  <c r="C54"/>
  <c r="N49"/>
  <c r="M49"/>
  <c r="G49"/>
  <c r="F49"/>
  <c r="L49"/>
  <c r="H49"/>
  <c r="E49"/>
  <c r="D49"/>
  <c r="N44"/>
  <c r="H44"/>
  <c r="G44"/>
  <c r="D44"/>
  <c r="M44"/>
  <c r="L44"/>
  <c r="F44"/>
  <c r="E44"/>
  <c r="N39"/>
  <c r="L39"/>
  <c r="H39"/>
  <c r="G39"/>
  <c r="E39"/>
  <c r="D39"/>
  <c r="M39"/>
  <c r="F39"/>
  <c r="M34"/>
  <c r="L34"/>
  <c r="H34"/>
  <c r="F34"/>
  <c r="E34"/>
  <c r="D34"/>
  <c r="N34"/>
  <c r="G34"/>
  <c r="C34"/>
  <c r="N29"/>
  <c r="M29"/>
  <c r="L29"/>
  <c r="G29"/>
  <c r="F29"/>
  <c r="E29"/>
  <c r="H29"/>
  <c r="D29"/>
  <c r="N24"/>
  <c r="M24"/>
  <c r="H24"/>
  <c r="G24"/>
  <c r="F24"/>
  <c r="D24"/>
  <c r="L24"/>
  <c r="E24"/>
  <c r="N19"/>
  <c r="L19"/>
  <c r="H19"/>
  <c r="G19"/>
  <c r="E19"/>
  <c r="D19"/>
  <c r="M19"/>
  <c r="F19"/>
  <c r="N61"/>
  <c r="M61"/>
  <c r="L61"/>
  <c r="H61"/>
  <c r="G61"/>
  <c r="F61"/>
  <c r="E61"/>
  <c r="D61"/>
  <c r="C61"/>
  <c r="N60"/>
  <c r="M60"/>
  <c r="L60"/>
  <c r="L59" s="1"/>
  <c r="H60"/>
  <c r="G60"/>
  <c r="F60"/>
  <c r="E60"/>
  <c r="E59" s="1"/>
  <c r="D60"/>
  <c r="C60"/>
  <c r="N14"/>
  <c r="G14"/>
  <c r="C14"/>
  <c r="G14" i="17" l="1"/>
  <c r="O61" i="103"/>
  <c r="O60"/>
  <c r="O59" s="1"/>
  <c r="D59"/>
  <c r="H59"/>
  <c r="F59"/>
  <c r="M59"/>
  <c r="C59"/>
  <c r="G59"/>
  <c r="N59"/>
  <c r="E14"/>
  <c r="L14"/>
  <c r="C24"/>
  <c r="C44"/>
  <c r="F14"/>
  <c r="M14"/>
  <c r="C29"/>
  <c r="C49"/>
  <c r="D14"/>
  <c r="H14"/>
  <c r="C19"/>
  <c r="C39"/>
  <c r="N15" i="108"/>
  <c r="N16"/>
  <c r="O19" i="103" l="1"/>
  <c r="C15" i="121" l="1"/>
  <c r="E33" i="13" l="1"/>
  <c r="C33"/>
  <c r="G33" l="1"/>
  <c r="C99" i="128"/>
  <c r="AH23" i="125" l="1"/>
  <c r="AG23"/>
  <c r="AF23"/>
  <c r="AE23"/>
  <c r="AD23"/>
  <c r="AC23"/>
  <c r="AB23"/>
  <c r="AA23"/>
  <c r="Z23"/>
  <c r="Y23"/>
  <c r="X23"/>
  <c r="W23"/>
  <c r="V23"/>
  <c r="U23"/>
  <c r="T23"/>
  <c r="S23"/>
  <c r="R23"/>
  <c r="Q23"/>
  <c r="P23"/>
  <c r="O23"/>
  <c r="N23"/>
  <c r="M23"/>
  <c r="L23"/>
  <c r="K23"/>
  <c r="J23"/>
  <c r="I23"/>
  <c r="H23"/>
  <c r="G23"/>
  <c r="F23"/>
  <c r="E23"/>
  <c r="D23"/>
  <c r="C23"/>
  <c r="C23" i="132" l="1"/>
  <c r="O23" s="1"/>
  <c r="AH144" i="109" l="1"/>
  <c r="AG129" i="125" l="1"/>
  <c r="AG126"/>
  <c r="AG124"/>
  <c r="AG122"/>
  <c r="AG117"/>
  <c r="AG68"/>
  <c r="AG65"/>
  <c r="AG62"/>
  <c r="AG59"/>
  <c r="AG55"/>
  <c r="AG51"/>
  <c r="AG48"/>
  <c r="AG45"/>
  <c r="AG42"/>
  <c r="AG38"/>
  <c r="AG32"/>
  <c r="AG30"/>
  <c r="AG18"/>
  <c r="AG13"/>
  <c r="AG29" l="1"/>
  <c r="AG41"/>
  <c r="AG25"/>
  <c r="AG121"/>
  <c r="AG58"/>
  <c r="AG17" l="1"/>
  <c r="AG37"/>
  <c r="AG120"/>
  <c r="AG54"/>
  <c r="F22" i="99"/>
  <c r="G22"/>
  <c r="H22"/>
  <c r="AG36" i="125" l="1"/>
  <c r="C98" i="128" l="1"/>
  <c r="F98" s="1"/>
  <c r="C97" l="1"/>
  <c r="F97" s="1"/>
  <c r="C96"/>
  <c r="F96" s="1"/>
  <c r="C95"/>
  <c r="F95" s="1"/>
  <c r="C94"/>
  <c r="F94" s="1"/>
  <c r="C93"/>
  <c r="F93" s="1"/>
  <c r="C92"/>
  <c r="F92" s="1"/>
  <c r="C91"/>
  <c r="F91" s="1"/>
  <c r="C90"/>
  <c r="F90" s="1"/>
  <c r="C89"/>
  <c r="F89" s="1"/>
  <c r="C88"/>
  <c r="F88" s="1"/>
  <c r="C87"/>
  <c r="F87" s="1"/>
  <c r="C86"/>
  <c r="F86" s="1"/>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0"/>
  <c r="C29"/>
  <c r="C28"/>
  <c r="C27"/>
  <c r="C26"/>
  <c r="C25"/>
  <c r="C24"/>
  <c r="C23"/>
  <c r="C22"/>
  <c r="C21"/>
  <c r="C20"/>
  <c r="C19"/>
  <c r="C18"/>
  <c r="C17"/>
  <c r="C16"/>
  <c r="C15"/>
  <c r="C14"/>
  <c r="C13"/>
  <c r="C12"/>
  <c r="F83" l="1"/>
  <c r="F13"/>
  <c r="F29"/>
  <c r="F42"/>
  <c r="F46"/>
  <c r="F50"/>
  <c r="F54"/>
  <c r="F58"/>
  <c r="F62"/>
  <c r="F66"/>
  <c r="F70"/>
  <c r="F74"/>
  <c r="F78"/>
  <c r="F82"/>
  <c r="F21"/>
  <c r="F34"/>
  <c r="F30"/>
  <c r="F39"/>
  <c r="F47"/>
  <c r="F51"/>
  <c r="F59"/>
  <c r="F63"/>
  <c r="F67"/>
  <c r="F71"/>
  <c r="F75"/>
  <c r="F79"/>
  <c r="F17"/>
  <c r="F25"/>
  <c r="F38"/>
  <c r="F22"/>
  <c r="F26"/>
  <c r="F35"/>
  <c r="F43"/>
  <c r="F55"/>
  <c r="F18"/>
  <c r="F23"/>
  <c r="F32"/>
  <c r="F36"/>
  <c r="F40"/>
  <c r="F44"/>
  <c r="F48"/>
  <c r="F52"/>
  <c r="F56"/>
  <c r="F60"/>
  <c r="F64"/>
  <c r="F68"/>
  <c r="F72"/>
  <c r="F76"/>
  <c r="F80"/>
  <c r="F84"/>
  <c r="F14"/>
  <c r="F15"/>
  <c r="F19"/>
  <c r="F27"/>
  <c r="F12"/>
  <c r="F16"/>
  <c r="F20"/>
  <c r="F24"/>
  <c r="F28"/>
  <c r="F33"/>
  <c r="F37"/>
  <c r="F41"/>
  <c r="F45"/>
  <c r="F49"/>
  <c r="F53"/>
  <c r="F57"/>
  <c r="F61"/>
  <c r="F65"/>
  <c r="F69"/>
  <c r="F73"/>
  <c r="F77"/>
  <c r="F81"/>
  <c r="F85"/>
  <c r="C11"/>
  <c r="F11" s="1"/>
  <c r="C52" i="120" l="1"/>
  <c r="C28"/>
  <c r="C22"/>
  <c r="C17" l="1"/>
  <c r="C15" l="1"/>
  <c r="C37" s="1"/>
  <c r="F19" i="42" l="1"/>
  <c r="AI132" i="125"/>
  <c r="AI131"/>
  <c r="AI130"/>
  <c r="AH129" l="1"/>
  <c r="AF129"/>
  <c r="AE129"/>
  <c r="AD129"/>
  <c r="AC129"/>
  <c r="AB129"/>
  <c r="AA129"/>
  <c r="Z129"/>
  <c r="Y129"/>
  <c r="X129"/>
  <c r="W129"/>
  <c r="V129"/>
  <c r="U129"/>
  <c r="T129"/>
  <c r="S129"/>
  <c r="R129"/>
  <c r="Q129"/>
  <c r="P129"/>
  <c r="O129"/>
  <c r="N129"/>
  <c r="M129"/>
  <c r="L129"/>
  <c r="K129"/>
  <c r="J129"/>
  <c r="I129"/>
  <c r="H129"/>
  <c r="G129"/>
  <c r="F129"/>
  <c r="E129"/>
  <c r="D129"/>
  <c r="C129"/>
  <c r="AI127"/>
  <c r="AH126"/>
  <c r="AF126"/>
  <c r="AE126"/>
  <c r="AD126"/>
  <c r="AC126"/>
  <c r="AB126"/>
  <c r="AA126"/>
  <c r="Z126"/>
  <c r="Y126"/>
  <c r="X126"/>
  <c r="W126"/>
  <c r="V126"/>
  <c r="U126"/>
  <c r="T126"/>
  <c r="S126"/>
  <c r="R126"/>
  <c r="Q126"/>
  <c r="P126"/>
  <c r="O126"/>
  <c r="N126"/>
  <c r="M126"/>
  <c r="L126"/>
  <c r="K126"/>
  <c r="J126"/>
  <c r="I126"/>
  <c r="H126"/>
  <c r="G126"/>
  <c r="AI129" l="1"/>
  <c r="F126"/>
  <c r="E126"/>
  <c r="D126"/>
  <c r="C126"/>
  <c r="AI125"/>
  <c r="AH124"/>
  <c r="AF124"/>
  <c r="AE124"/>
  <c r="AD124"/>
  <c r="AC124"/>
  <c r="AB124"/>
  <c r="AA124"/>
  <c r="Z124"/>
  <c r="Y124"/>
  <c r="X124"/>
  <c r="W124"/>
  <c r="V124"/>
  <c r="U124"/>
  <c r="T124"/>
  <c r="S124"/>
  <c r="R124"/>
  <c r="Q124"/>
  <c r="P124"/>
  <c r="O124"/>
  <c r="N124"/>
  <c r="M124"/>
  <c r="L124"/>
  <c r="K124"/>
  <c r="J124"/>
  <c r="I124"/>
  <c r="H124"/>
  <c r="G124"/>
  <c r="F124"/>
  <c r="E124"/>
  <c r="D124"/>
  <c r="C124"/>
  <c r="AI123"/>
  <c r="AH122"/>
  <c r="AF122"/>
  <c r="AE122"/>
  <c r="AD122"/>
  <c r="AC122"/>
  <c r="AB122"/>
  <c r="AA122"/>
  <c r="Z122"/>
  <c r="Y122"/>
  <c r="X122"/>
  <c r="W122"/>
  <c r="V122"/>
  <c r="U122"/>
  <c r="T122"/>
  <c r="S122"/>
  <c r="R122"/>
  <c r="Q122"/>
  <c r="P122"/>
  <c r="O122"/>
  <c r="N122"/>
  <c r="M122"/>
  <c r="L122"/>
  <c r="K122"/>
  <c r="J122"/>
  <c r="I122"/>
  <c r="H122"/>
  <c r="G122"/>
  <c r="F122"/>
  <c r="E122"/>
  <c r="D122"/>
  <c r="C122"/>
  <c r="AB121" l="1"/>
  <c r="AF121"/>
  <c r="X121"/>
  <c r="D121"/>
  <c r="L121"/>
  <c r="P121"/>
  <c r="T121"/>
  <c r="G121"/>
  <c r="H121"/>
  <c r="W121"/>
  <c r="AI122"/>
  <c r="F121"/>
  <c r="J121"/>
  <c r="N121"/>
  <c r="R121"/>
  <c r="V121"/>
  <c r="Z121"/>
  <c r="AD121"/>
  <c r="E121"/>
  <c r="I121"/>
  <c r="M121"/>
  <c r="Q121"/>
  <c r="U121"/>
  <c r="Y121"/>
  <c r="C121"/>
  <c r="K121"/>
  <c r="O121"/>
  <c r="S121"/>
  <c r="AA121"/>
  <c r="AE121"/>
  <c r="AC121"/>
  <c r="AH121"/>
  <c r="AI124"/>
  <c r="AI126"/>
  <c r="H120" l="1"/>
  <c r="L120"/>
  <c r="AF120"/>
  <c r="AB120"/>
  <c r="P120"/>
  <c r="X120"/>
  <c r="N120"/>
  <c r="J120"/>
  <c r="K120"/>
  <c r="T120"/>
  <c r="S120"/>
  <c r="AC120"/>
  <c r="I120"/>
  <c r="M120"/>
  <c r="AI121"/>
  <c r="W120"/>
  <c r="AH120"/>
  <c r="Y120"/>
  <c r="Q120"/>
  <c r="AD120"/>
  <c r="V120"/>
  <c r="AE120"/>
  <c r="AA120"/>
  <c r="O120"/>
  <c r="U120"/>
  <c r="Z120"/>
  <c r="R120"/>
  <c r="G120"/>
  <c r="F120"/>
  <c r="E120"/>
  <c r="D120"/>
  <c r="C120"/>
  <c r="AI119" l="1"/>
  <c r="AI118"/>
  <c r="AH117"/>
  <c r="AF117"/>
  <c r="AE117"/>
  <c r="AD117"/>
  <c r="AC117"/>
  <c r="AB117"/>
  <c r="AA117"/>
  <c r="Z117"/>
  <c r="Y117"/>
  <c r="X117"/>
  <c r="W117"/>
  <c r="V117"/>
  <c r="U117"/>
  <c r="T117"/>
  <c r="S117"/>
  <c r="R117"/>
  <c r="Q117"/>
  <c r="P117"/>
  <c r="O117"/>
  <c r="N117"/>
  <c r="M117"/>
  <c r="L117"/>
  <c r="K117"/>
  <c r="J117"/>
  <c r="I117"/>
  <c r="H117"/>
  <c r="G117"/>
  <c r="F117"/>
  <c r="E117"/>
  <c r="D117"/>
  <c r="C117"/>
  <c r="AI120" l="1"/>
  <c r="AI117"/>
  <c r="AI115"/>
  <c r="AI114"/>
  <c r="AI113"/>
  <c r="AI112"/>
  <c r="AI110"/>
  <c r="AI109"/>
  <c r="AI108"/>
  <c r="AI107"/>
  <c r="AI106"/>
  <c r="AI105"/>
  <c r="AI104"/>
  <c r="AI103"/>
  <c r="AI102"/>
  <c r="AI101"/>
  <c r="AI100"/>
  <c r="AI99"/>
  <c r="AI98"/>
  <c r="AI97"/>
  <c r="AI96"/>
  <c r="AI95"/>
  <c r="AI94"/>
  <c r="AI93"/>
  <c r="AI92"/>
  <c r="AI91"/>
  <c r="AI90"/>
  <c r="AI89"/>
  <c r="AI88"/>
  <c r="AI87"/>
  <c r="AI86"/>
  <c r="AI85"/>
  <c r="AI84"/>
  <c r="AI83"/>
  <c r="AI82"/>
  <c r="AI81"/>
  <c r="AI80"/>
  <c r="AI79"/>
  <c r="AI78" l="1"/>
  <c r="AI77"/>
  <c r="AI76"/>
  <c r="AI75"/>
  <c r="AI74"/>
  <c r="AI73"/>
  <c r="AI72"/>
  <c r="AI71"/>
  <c r="AI70"/>
  <c r="AI69"/>
  <c r="AH68"/>
  <c r="AF68"/>
  <c r="AE68"/>
  <c r="AD68"/>
  <c r="AC68"/>
  <c r="AB68"/>
  <c r="AA68"/>
  <c r="Z68"/>
  <c r="Y68"/>
  <c r="X68"/>
  <c r="W68"/>
  <c r="V68"/>
  <c r="U68"/>
  <c r="T68"/>
  <c r="S68"/>
  <c r="R68"/>
  <c r="Q68"/>
  <c r="P68"/>
  <c r="O68"/>
  <c r="N68"/>
  <c r="M68"/>
  <c r="L68"/>
  <c r="K68"/>
  <c r="J68"/>
  <c r="I68"/>
  <c r="H68"/>
  <c r="G68"/>
  <c r="F68"/>
  <c r="E68"/>
  <c r="D68"/>
  <c r="C68"/>
  <c r="AI67"/>
  <c r="AI66"/>
  <c r="AH65"/>
  <c r="AF65"/>
  <c r="AE65"/>
  <c r="AD65"/>
  <c r="AC65"/>
  <c r="AB65"/>
  <c r="AA65"/>
  <c r="Z65"/>
  <c r="Y65"/>
  <c r="X65"/>
  <c r="W65"/>
  <c r="V65"/>
  <c r="U65"/>
  <c r="T65"/>
  <c r="S65"/>
  <c r="R65"/>
  <c r="Q65"/>
  <c r="P65"/>
  <c r="O65"/>
  <c r="N65"/>
  <c r="M65"/>
  <c r="L65"/>
  <c r="K65"/>
  <c r="J65"/>
  <c r="I65"/>
  <c r="H65"/>
  <c r="G65"/>
  <c r="F65"/>
  <c r="E65"/>
  <c r="D65"/>
  <c r="C65"/>
  <c r="AI64"/>
  <c r="AI63"/>
  <c r="AH62"/>
  <c r="AF62"/>
  <c r="AE62"/>
  <c r="AD62"/>
  <c r="AC62"/>
  <c r="AB62"/>
  <c r="AA62"/>
  <c r="Z62"/>
  <c r="Y62"/>
  <c r="X62"/>
  <c r="W62"/>
  <c r="V62"/>
  <c r="U62"/>
  <c r="T62"/>
  <c r="S62"/>
  <c r="R62"/>
  <c r="Q62"/>
  <c r="P62"/>
  <c r="O62"/>
  <c r="N62"/>
  <c r="M62"/>
  <c r="L62"/>
  <c r="K62"/>
  <c r="J62"/>
  <c r="I62"/>
  <c r="H62"/>
  <c r="G62"/>
  <c r="F62"/>
  <c r="E62"/>
  <c r="D62"/>
  <c r="C62"/>
  <c r="AI61"/>
  <c r="AI60"/>
  <c r="AH59"/>
  <c r="AF59"/>
  <c r="AE59"/>
  <c r="AD59"/>
  <c r="AC59"/>
  <c r="AB59"/>
  <c r="AA59"/>
  <c r="Z59"/>
  <c r="Y59"/>
  <c r="X59"/>
  <c r="W59"/>
  <c r="V59"/>
  <c r="U59"/>
  <c r="T59"/>
  <c r="S59"/>
  <c r="R59"/>
  <c r="Q59"/>
  <c r="P59"/>
  <c r="O59"/>
  <c r="N59"/>
  <c r="M59"/>
  <c r="L59"/>
  <c r="K59"/>
  <c r="J59"/>
  <c r="I59"/>
  <c r="H59"/>
  <c r="G59"/>
  <c r="F59"/>
  <c r="E59"/>
  <c r="D59"/>
  <c r="C59"/>
  <c r="AI57"/>
  <c r="AI56"/>
  <c r="AH55"/>
  <c r="AF55"/>
  <c r="AE55"/>
  <c r="AD55"/>
  <c r="AC55"/>
  <c r="AB55"/>
  <c r="AA55"/>
  <c r="Z55"/>
  <c r="Y55"/>
  <c r="X55"/>
  <c r="W55"/>
  <c r="V55"/>
  <c r="U55"/>
  <c r="T55"/>
  <c r="S55"/>
  <c r="R55"/>
  <c r="Q55"/>
  <c r="P55"/>
  <c r="O55"/>
  <c r="N55"/>
  <c r="M55"/>
  <c r="L55"/>
  <c r="K55"/>
  <c r="J55"/>
  <c r="I55"/>
  <c r="H55"/>
  <c r="G55"/>
  <c r="F55"/>
  <c r="E55"/>
  <c r="D55"/>
  <c r="C55"/>
  <c r="AI53"/>
  <c r="AI52"/>
  <c r="AH51"/>
  <c r="AF51"/>
  <c r="AE51"/>
  <c r="AD51"/>
  <c r="AC51"/>
  <c r="AB51"/>
  <c r="AA51"/>
  <c r="Z51"/>
  <c r="Y51"/>
  <c r="X51"/>
  <c r="W51"/>
  <c r="V51"/>
  <c r="U51"/>
  <c r="T51"/>
  <c r="S51"/>
  <c r="R51"/>
  <c r="Q51"/>
  <c r="P51"/>
  <c r="O51"/>
  <c r="N51"/>
  <c r="M51"/>
  <c r="L51"/>
  <c r="K51"/>
  <c r="J51"/>
  <c r="I51"/>
  <c r="H51"/>
  <c r="G51"/>
  <c r="F51"/>
  <c r="E51"/>
  <c r="D51"/>
  <c r="C51"/>
  <c r="AI50"/>
  <c r="AI49"/>
  <c r="AH48"/>
  <c r="AF48"/>
  <c r="AE48"/>
  <c r="AD48"/>
  <c r="AC48"/>
  <c r="AB48"/>
  <c r="AA48"/>
  <c r="Z48"/>
  <c r="Y48"/>
  <c r="X48"/>
  <c r="W48"/>
  <c r="V48"/>
  <c r="U48"/>
  <c r="T48"/>
  <c r="S48"/>
  <c r="R48"/>
  <c r="Q48"/>
  <c r="P48"/>
  <c r="O48"/>
  <c r="N48"/>
  <c r="M48"/>
  <c r="L48"/>
  <c r="K48"/>
  <c r="J48"/>
  <c r="I48"/>
  <c r="H48"/>
  <c r="G48"/>
  <c r="F48"/>
  <c r="E48"/>
  <c r="D48"/>
  <c r="C48"/>
  <c r="AI47"/>
  <c r="AI46"/>
  <c r="AH45"/>
  <c r="AF45"/>
  <c r="AE45"/>
  <c r="AD45"/>
  <c r="AC45"/>
  <c r="AB45"/>
  <c r="AA45"/>
  <c r="Z45"/>
  <c r="Y45"/>
  <c r="X45"/>
  <c r="W45"/>
  <c r="V45"/>
  <c r="U45"/>
  <c r="T45"/>
  <c r="S45"/>
  <c r="R45"/>
  <c r="Q45"/>
  <c r="P45"/>
  <c r="O45"/>
  <c r="N45"/>
  <c r="M45"/>
  <c r="L45"/>
  <c r="K45"/>
  <c r="J45"/>
  <c r="I45"/>
  <c r="H45"/>
  <c r="G45"/>
  <c r="F45"/>
  <c r="E45"/>
  <c r="D45"/>
  <c r="C45"/>
  <c r="AI44"/>
  <c r="AI43"/>
  <c r="AH42"/>
  <c r="AF42"/>
  <c r="AE42"/>
  <c r="AD42"/>
  <c r="AC42"/>
  <c r="AB42"/>
  <c r="AA42"/>
  <c r="Z42"/>
  <c r="Y42"/>
  <c r="X42"/>
  <c r="W42"/>
  <c r="V42"/>
  <c r="U42"/>
  <c r="T42"/>
  <c r="S42"/>
  <c r="R42"/>
  <c r="Q42"/>
  <c r="P42"/>
  <c r="O42"/>
  <c r="N42"/>
  <c r="M42"/>
  <c r="L42"/>
  <c r="K42"/>
  <c r="J42"/>
  <c r="I42"/>
  <c r="H42"/>
  <c r="G42"/>
  <c r="F42"/>
  <c r="E42"/>
  <c r="D42"/>
  <c r="C42"/>
  <c r="AI40"/>
  <c r="AI39"/>
  <c r="AH38"/>
  <c r="AF38"/>
  <c r="AE38"/>
  <c r="AD38"/>
  <c r="AC38"/>
  <c r="AB38"/>
  <c r="AA38"/>
  <c r="Z38"/>
  <c r="Y38"/>
  <c r="X38"/>
  <c r="W38"/>
  <c r="V38"/>
  <c r="U38"/>
  <c r="T38"/>
  <c r="S38"/>
  <c r="R38"/>
  <c r="Q38"/>
  <c r="P38"/>
  <c r="O38"/>
  <c r="N38"/>
  <c r="M38"/>
  <c r="L38"/>
  <c r="K38"/>
  <c r="J38"/>
  <c r="I38"/>
  <c r="H38"/>
  <c r="G38"/>
  <c r="F38"/>
  <c r="E38"/>
  <c r="D38"/>
  <c r="C38"/>
  <c r="AB58" l="1"/>
  <c r="AD58"/>
  <c r="T58"/>
  <c r="C58"/>
  <c r="G58"/>
  <c r="K58"/>
  <c r="O58"/>
  <c r="S58"/>
  <c r="W58"/>
  <c r="AA58"/>
  <c r="AE58"/>
  <c r="E58"/>
  <c r="Q58"/>
  <c r="U58"/>
  <c r="Y58"/>
  <c r="H58"/>
  <c r="L58"/>
  <c r="P58"/>
  <c r="X58"/>
  <c r="AF58"/>
  <c r="F58"/>
  <c r="J58"/>
  <c r="N58"/>
  <c r="R58"/>
  <c r="V58"/>
  <c r="Z58"/>
  <c r="C41"/>
  <c r="O41"/>
  <c r="S41"/>
  <c r="AE41"/>
  <c r="F41"/>
  <c r="D58"/>
  <c r="AH58"/>
  <c r="J41"/>
  <c r="V41"/>
  <c r="Z41"/>
  <c r="I58"/>
  <c r="E41"/>
  <c r="U41"/>
  <c r="AI38"/>
  <c r="Q41"/>
  <c r="AH41"/>
  <c r="AA41"/>
  <c r="M58"/>
  <c r="AC58"/>
  <c r="I41"/>
  <c r="M41"/>
  <c r="Y41"/>
  <c r="AC41"/>
  <c r="G41"/>
  <c r="K41"/>
  <c r="W41"/>
  <c r="N41"/>
  <c r="R41"/>
  <c r="AD41"/>
  <c r="AI42"/>
  <c r="AI48"/>
  <c r="AI55"/>
  <c r="AI62"/>
  <c r="AI68"/>
  <c r="D41"/>
  <c r="H41"/>
  <c r="L41"/>
  <c r="P41"/>
  <c r="T41"/>
  <c r="X41"/>
  <c r="AB41"/>
  <c r="AF41"/>
  <c r="AI45"/>
  <c r="AI51"/>
  <c r="AI59"/>
  <c r="AI65"/>
  <c r="Y54" l="1"/>
  <c r="G54"/>
  <c r="AE54"/>
  <c r="AB54"/>
  <c r="L54"/>
  <c r="W54"/>
  <c r="Q54"/>
  <c r="AF54"/>
  <c r="C54"/>
  <c r="H54"/>
  <c r="X54"/>
  <c r="O54"/>
  <c r="T54"/>
  <c r="J54"/>
  <c r="U54"/>
  <c r="K54"/>
  <c r="AD54"/>
  <c r="AA54"/>
  <c r="S54"/>
  <c r="E54"/>
  <c r="I54"/>
  <c r="D54"/>
  <c r="O37"/>
  <c r="J37"/>
  <c r="S37"/>
  <c r="C37"/>
  <c r="R54"/>
  <c r="AE37"/>
  <c r="Z54"/>
  <c r="P54"/>
  <c r="AH54"/>
  <c r="Z37"/>
  <c r="F37"/>
  <c r="AD37"/>
  <c r="K37"/>
  <c r="M37"/>
  <c r="Q37"/>
  <c r="U37"/>
  <c r="V54"/>
  <c r="N54"/>
  <c r="F54"/>
  <c r="X37"/>
  <c r="H37"/>
  <c r="R37"/>
  <c r="G37"/>
  <c r="I37"/>
  <c r="M54"/>
  <c r="E37"/>
  <c r="L37"/>
  <c r="N37"/>
  <c r="AC37"/>
  <c r="AA37"/>
  <c r="V37"/>
  <c r="AB37"/>
  <c r="T37"/>
  <c r="D37"/>
  <c r="AI58"/>
  <c r="AF37"/>
  <c r="P37"/>
  <c r="W37"/>
  <c r="Y37"/>
  <c r="AC54"/>
  <c r="AH37"/>
  <c r="AI41"/>
  <c r="AI34"/>
  <c r="AI33"/>
  <c r="AH32"/>
  <c r="AF32"/>
  <c r="AE32"/>
  <c r="AD32"/>
  <c r="AC32"/>
  <c r="AB32"/>
  <c r="AA32"/>
  <c r="Z32"/>
  <c r="Y32"/>
  <c r="X32"/>
  <c r="W32"/>
  <c r="V32"/>
  <c r="U32"/>
  <c r="T32"/>
  <c r="S32"/>
  <c r="R32"/>
  <c r="Q32"/>
  <c r="P32"/>
  <c r="O32"/>
  <c r="N32"/>
  <c r="M32"/>
  <c r="L32"/>
  <c r="K32"/>
  <c r="J32"/>
  <c r="I32"/>
  <c r="H32"/>
  <c r="G32"/>
  <c r="F32"/>
  <c r="E32"/>
  <c r="D32"/>
  <c r="C32"/>
  <c r="S36" l="1"/>
  <c r="O36"/>
  <c r="J36"/>
  <c r="C36"/>
  <c r="AE36"/>
  <c r="Z36"/>
  <c r="AA36"/>
  <c r="AI37"/>
  <c r="AH36"/>
  <c r="W36"/>
  <c r="D36"/>
  <c r="V36"/>
  <c r="AC36"/>
  <c r="L36"/>
  <c r="G36"/>
  <c r="H36"/>
  <c r="U36"/>
  <c r="AD36"/>
  <c r="P36"/>
  <c r="M36"/>
  <c r="AI54"/>
  <c r="Y36"/>
  <c r="AF36"/>
  <c r="T36"/>
  <c r="AB36"/>
  <c r="N36"/>
  <c r="E36"/>
  <c r="I36"/>
  <c r="R36"/>
  <c r="X36"/>
  <c r="F36"/>
  <c r="Q36"/>
  <c r="K36"/>
  <c r="AI32"/>
  <c r="AI31"/>
  <c r="AH30"/>
  <c r="AF30"/>
  <c r="AE30"/>
  <c r="AD30"/>
  <c r="AC30"/>
  <c r="AB30"/>
  <c r="AA30"/>
  <c r="Z30"/>
  <c r="Y30"/>
  <c r="X30"/>
  <c r="W30"/>
  <c r="V30"/>
  <c r="U30"/>
  <c r="T30"/>
  <c r="S30"/>
  <c r="R30"/>
  <c r="Q30"/>
  <c r="P30"/>
  <c r="O30"/>
  <c r="N30"/>
  <c r="M30"/>
  <c r="L30"/>
  <c r="K30"/>
  <c r="J30"/>
  <c r="I30"/>
  <c r="H30"/>
  <c r="G30"/>
  <c r="F30"/>
  <c r="E30"/>
  <c r="D30"/>
  <c r="C30"/>
  <c r="AI28"/>
  <c r="C29" l="1"/>
  <c r="G29"/>
  <c r="K29"/>
  <c r="O29"/>
  <c r="S29"/>
  <c r="W29"/>
  <c r="AA29"/>
  <c r="AE29"/>
  <c r="D29"/>
  <c r="H29"/>
  <c r="L29"/>
  <c r="P29"/>
  <c r="X29"/>
  <c r="AB29"/>
  <c r="I29"/>
  <c r="M29"/>
  <c r="Q29"/>
  <c r="U29"/>
  <c r="Y29"/>
  <c r="AC29"/>
  <c r="AI36"/>
  <c r="E29"/>
  <c r="AH29"/>
  <c r="F29"/>
  <c r="J29"/>
  <c r="N29"/>
  <c r="R29"/>
  <c r="V29"/>
  <c r="Z29"/>
  <c r="AD29"/>
  <c r="T29"/>
  <c r="AF29"/>
  <c r="AF25"/>
  <c r="D25"/>
  <c r="Y25"/>
  <c r="I25"/>
  <c r="M25"/>
  <c r="AC25"/>
  <c r="P25"/>
  <c r="T25"/>
  <c r="AE25"/>
  <c r="O25"/>
  <c r="G25"/>
  <c r="AA25"/>
  <c r="U25"/>
  <c r="AH25"/>
  <c r="K25"/>
  <c r="S25"/>
  <c r="W25"/>
  <c r="E25"/>
  <c r="Q25"/>
  <c r="H25"/>
  <c r="L25"/>
  <c r="X25"/>
  <c r="AB25"/>
  <c r="AI27"/>
  <c r="AI26"/>
  <c r="F25"/>
  <c r="J25"/>
  <c r="N25"/>
  <c r="R25"/>
  <c r="V25"/>
  <c r="Z25"/>
  <c r="AD25"/>
  <c r="AI30"/>
  <c r="C25"/>
  <c r="AI24"/>
  <c r="AI22"/>
  <c r="AI21"/>
  <c r="AI20"/>
  <c r="AI19"/>
  <c r="AH18"/>
  <c r="AF18"/>
  <c r="AE18"/>
  <c r="AD18"/>
  <c r="AC18"/>
  <c r="AB18"/>
  <c r="AA18"/>
  <c r="Z18"/>
  <c r="Y18"/>
  <c r="X18"/>
  <c r="W18"/>
  <c r="V18"/>
  <c r="U18"/>
  <c r="T18"/>
  <c r="S18"/>
  <c r="R18"/>
  <c r="Q18"/>
  <c r="P18"/>
  <c r="O18"/>
  <c r="N18"/>
  <c r="M18"/>
  <c r="L18"/>
  <c r="K18"/>
  <c r="J18"/>
  <c r="I18"/>
  <c r="H18"/>
  <c r="G18"/>
  <c r="F18"/>
  <c r="E18"/>
  <c r="D18"/>
  <c r="C18"/>
  <c r="AI15"/>
  <c r="AI14"/>
  <c r="AH17" l="1"/>
  <c r="T17"/>
  <c r="AF17"/>
  <c r="D17"/>
  <c r="P17"/>
  <c r="Y17"/>
  <c r="Z17"/>
  <c r="E17"/>
  <c r="L17"/>
  <c r="AE17"/>
  <c r="J17"/>
  <c r="V17"/>
  <c r="H17"/>
  <c r="U17"/>
  <c r="AB17"/>
  <c r="I17"/>
  <c r="Q17"/>
  <c r="X17"/>
  <c r="R17"/>
  <c r="F17"/>
  <c r="N17"/>
  <c r="M17"/>
  <c r="AC17"/>
  <c r="C17"/>
  <c r="G17"/>
  <c r="K17"/>
  <c r="O17"/>
  <c r="S17"/>
  <c r="W17"/>
  <c r="AA17"/>
  <c r="AD17"/>
  <c r="AI29"/>
  <c r="AI18"/>
  <c r="AI25"/>
  <c r="AI23"/>
  <c r="AH13"/>
  <c r="AF13"/>
  <c r="AE13"/>
  <c r="AD13"/>
  <c r="AC13"/>
  <c r="AB13"/>
  <c r="AA13"/>
  <c r="Z13"/>
  <c r="Y13"/>
  <c r="X13"/>
  <c r="W13"/>
  <c r="V13"/>
  <c r="U13"/>
  <c r="T13"/>
  <c r="S13"/>
  <c r="R13"/>
  <c r="Q13"/>
  <c r="P13"/>
  <c r="O13"/>
  <c r="N13"/>
  <c r="M13"/>
  <c r="L13"/>
  <c r="K13"/>
  <c r="J13"/>
  <c r="I13"/>
  <c r="H13"/>
  <c r="G13"/>
  <c r="F13"/>
  <c r="E13"/>
  <c r="D13"/>
  <c r="C13"/>
  <c r="AI147" i="109"/>
  <c r="AI146"/>
  <c r="AI145"/>
  <c r="AG144"/>
  <c r="AF144"/>
  <c r="AE144"/>
  <c r="AI17" i="125" l="1"/>
  <c r="AI13"/>
  <c r="AD144" i="109"/>
  <c r="AC144"/>
  <c r="AB144"/>
  <c r="AA144"/>
  <c r="Z144"/>
  <c r="Y144"/>
  <c r="X144"/>
  <c r="W144"/>
  <c r="V144"/>
  <c r="U144"/>
  <c r="T144"/>
  <c r="S144"/>
  <c r="R144"/>
  <c r="Q144"/>
  <c r="P144"/>
  <c r="O144"/>
  <c r="N144"/>
  <c r="M144"/>
  <c r="L144"/>
  <c r="K144"/>
  <c r="J144"/>
  <c r="I144"/>
  <c r="H144"/>
  <c r="G144"/>
  <c r="F144"/>
  <c r="E144"/>
  <c r="D144"/>
  <c r="C144"/>
  <c r="AI142"/>
  <c r="AI141"/>
  <c r="AH140"/>
  <c r="AG140"/>
  <c r="AF140"/>
  <c r="AE140"/>
  <c r="AD140"/>
  <c r="AC140"/>
  <c r="AB140"/>
  <c r="AA140"/>
  <c r="Z140"/>
  <c r="Y140"/>
  <c r="X140"/>
  <c r="W140"/>
  <c r="V140"/>
  <c r="U140"/>
  <c r="T140"/>
  <c r="S140"/>
  <c r="R140"/>
  <c r="Q140"/>
  <c r="P140"/>
  <c r="O140"/>
  <c r="N140"/>
  <c r="M140"/>
  <c r="L140"/>
  <c r="K140"/>
  <c r="J140"/>
  <c r="I140"/>
  <c r="H140"/>
  <c r="G140"/>
  <c r="F140"/>
  <c r="E140"/>
  <c r="D140"/>
  <c r="AI144" l="1"/>
  <c r="C140"/>
  <c r="AI139"/>
  <c r="AI138"/>
  <c r="AH137"/>
  <c r="AG137"/>
  <c r="AF137"/>
  <c r="AE137"/>
  <c r="AD137"/>
  <c r="AC137"/>
  <c r="AB137"/>
  <c r="AA137"/>
  <c r="Z137"/>
  <c r="Y137"/>
  <c r="X137"/>
  <c r="W137"/>
  <c r="V137"/>
  <c r="U137"/>
  <c r="T137"/>
  <c r="S137"/>
  <c r="R137"/>
  <c r="Q137"/>
  <c r="P137"/>
  <c r="O137"/>
  <c r="N137"/>
  <c r="M137"/>
  <c r="L137"/>
  <c r="K137"/>
  <c r="J137"/>
  <c r="I137"/>
  <c r="H137"/>
  <c r="G137"/>
  <c r="F137"/>
  <c r="E137"/>
  <c r="D137"/>
  <c r="C137"/>
  <c r="AI136"/>
  <c r="AI135"/>
  <c r="AH134"/>
  <c r="AG134"/>
  <c r="AF134"/>
  <c r="AE134"/>
  <c r="AD134"/>
  <c r="AC134"/>
  <c r="AB134"/>
  <c r="AA134"/>
  <c r="Z134"/>
  <c r="Y134"/>
  <c r="X134"/>
  <c r="W134"/>
  <c r="V134"/>
  <c r="U134"/>
  <c r="T134"/>
  <c r="S134"/>
  <c r="R134"/>
  <c r="Q134"/>
  <c r="P134"/>
  <c r="O134"/>
  <c r="N134"/>
  <c r="M134"/>
  <c r="L134"/>
  <c r="K134"/>
  <c r="J134"/>
  <c r="I134"/>
  <c r="H134"/>
  <c r="G134"/>
  <c r="F134"/>
  <c r="E134"/>
  <c r="D134"/>
  <c r="C134"/>
  <c r="AG133" l="1"/>
  <c r="J133"/>
  <c r="F133"/>
  <c r="R133"/>
  <c r="V133"/>
  <c r="Y133"/>
  <c r="Z133"/>
  <c r="N133"/>
  <c r="N132" s="1"/>
  <c r="Q133"/>
  <c r="AD133"/>
  <c r="L133"/>
  <c r="X133"/>
  <c r="X132" s="1"/>
  <c r="G133"/>
  <c r="K133"/>
  <c r="O133"/>
  <c r="S133"/>
  <c r="W133"/>
  <c r="AA133"/>
  <c r="AE133"/>
  <c r="AH133"/>
  <c r="D133"/>
  <c r="D132" s="1"/>
  <c r="T133"/>
  <c r="AF133"/>
  <c r="P133"/>
  <c r="P132" s="1"/>
  <c r="E133"/>
  <c r="I133"/>
  <c r="M133"/>
  <c r="U133"/>
  <c r="U132" s="1"/>
  <c r="AC133"/>
  <c r="AI140"/>
  <c r="H133"/>
  <c r="AB133"/>
  <c r="AI137"/>
  <c r="AI134"/>
  <c r="C133"/>
  <c r="AG132"/>
  <c r="S132"/>
  <c r="R132"/>
  <c r="AI131"/>
  <c r="AI130"/>
  <c r="AH129"/>
  <c r="AG129"/>
  <c r="AF129"/>
  <c r="AE129"/>
  <c r="AD129"/>
  <c r="AC129"/>
  <c r="AB129"/>
  <c r="AA129"/>
  <c r="Z129"/>
  <c r="Y129"/>
  <c r="X129"/>
  <c r="W129"/>
  <c r="V129"/>
  <c r="U129"/>
  <c r="T129"/>
  <c r="S129"/>
  <c r="R129"/>
  <c r="Q129"/>
  <c r="P129"/>
  <c r="O129"/>
  <c r="N129"/>
  <c r="M129"/>
  <c r="L129"/>
  <c r="K129"/>
  <c r="J129"/>
  <c r="I129"/>
  <c r="H129"/>
  <c r="G129"/>
  <c r="F129"/>
  <c r="E129"/>
  <c r="D129"/>
  <c r="C129"/>
  <c r="AI128"/>
  <c r="AI127"/>
  <c r="AI126"/>
  <c r="AI125"/>
  <c r="AI124"/>
  <c r="AI123"/>
  <c r="AI122"/>
  <c r="AI121"/>
  <c r="Z132" l="1"/>
  <c r="T132"/>
  <c r="H132"/>
  <c r="AF132"/>
  <c r="O132"/>
  <c r="AE132"/>
  <c r="AA132"/>
  <c r="K132"/>
  <c r="AD132"/>
  <c r="J132"/>
  <c r="AC132"/>
  <c r="E132"/>
  <c r="W132"/>
  <c r="G132"/>
  <c r="Q132"/>
  <c r="V132"/>
  <c r="C132"/>
  <c r="M132"/>
  <c r="L132"/>
  <c r="I132"/>
  <c r="Y132"/>
  <c r="F132"/>
  <c r="AI133"/>
  <c r="AH132"/>
  <c r="AB132"/>
  <c r="AI129"/>
  <c r="AI120"/>
  <c r="AI119"/>
  <c r="AI118"/>
  <c r="AI117"/>
  <c r="AI116"/>
  <c r="AI115"/>
  <c r="AI114"/>
  <c r="AI113"/>
  <c r="AI112"/>
  <c r="AI111"/>
  <c r="AI110"/>
  <c r="AI109"/>
  <c r="AI108"/>
  <c r="AI107"/>
  <c r="AI106"/>
  <c r="AI105"/>
  <c r="AI104"/>
  <c r="AI103"/>
  <c r="AI102"/>
  <c r="AI101"/>
  <c r="AI100"/>
  <c r="AI99"/>
  <c r="AI98"/>
  <c r="AI97"/>
  <c r="AI96"/>
  <c r="AI95"/>
  <c r="AI94"/>
  <c r="AI93"/>
  <c r="AI92"/>
  <c r="AI91"/>
  <c r="AI90"/>
  <c r="AI89"/>
  <c r="AI88"/>
  <c r="AI87"/>
  <c r="AI86"/>
  <c r="AI85"/>
  <c r="AI84"/>
  <c r="AI83"/>
  <c r="AI82"/>
  <c r="AI81"/>
  <c r="AI80"/>
  <c r="AI79"/>
  <c r="AI78"/>
  <c r="AH77"/>
  <c r="AG77"/>
  <c r="AF77"/>
  <c r="AE77"/>
  <c r="AD77"/>
  <c r="AC77"/>
  <c r="AB77"/>
  <c r="AA77"/>
  <c r="Z77"/>
  <c r="Y77"/>
  <c r="X77"/>
  <c r="W77"/>
  <c r="V77"/>
  <c r="U77"/>
  <c r="T77"/>
  <c r="S77"/>
  <c r="R77"/>
  <c r="Q77"/>
  <c r="P77"/>
  <c r="O77"/>
  <c r="N77"/>
  <c r="M77"/>
  <c r="L77"/>
  <c r="K77"/>
  <c r="J77"/>
  <c r="I77"/>
  <c r="H77"/>
  <c r="G77"/>
  <c r="F77"/>
  <c r="E77"/>
  <c r="D77"/>
  <c r="C77"/>
  <c r="AI76"/>
  <c r="AI75"/>
  <c r="AH74"/>
  <c r="AG74"/>
  <c r="AF74"/>
  <c r="AE74"/>
  <c r="AD74"/>
  <c r="AC74"/>
  <c r="AB74"/>
  <c r="AA74"/>
  <c r="Z74"/>
  <c r="Y74"/>
  <c r="X74"/>
  <c r="W74"/>
  <c r="V74"/>
  <c r="U74"/>
  <c r="T74"/>
  <c r="S74"/>
  <c r="R74"/>
  <c r="Q74"/>
  <c r="P74"/>
  <c r="O74"/>
  <c r="N74"/>
  <c r="M74"/>
  <c r="L74"/>
  <c r="K74"/>
  <c r="J74"/>
  <c r="I74"/>
  <c r="H74"/>
  <c r="G74"/>
  <c r="F74"/>
  <c r="E74"/>
  <c r="D74"/>
  <c r="C74"/>
  <c r="AI73"/>
  <c r="AI72"/>
  <c r="AH71"/>
  <c r="AG71"/>
  <c r="AF71"/>
  <c r="AE71"/>
  <c r="AD71"/>
  <c r="AC71"/>
  <c r="AB71"/>
  <c r="AA71"/>
  <c r="Z71"/>
  <c r="Y71"/>
  <c r="X71"/>
  <c r="W71"/>
  <c r="V71"/>
  <c r="U71"/>
  <c r="T71"/>
  <c r="S71"/>
  <c r="R71"/>
  <c r="Q71"/>
  <c r="P71"/>
  <c r="O71"/>
  <c r="N71"/>
  <c r="M71"/>
  <c r="L71"/>
  <c r="K71"/>
  <c r="J71"/>
  <c r="I71"/>
  <c r="H71"/>
  <c r="G71"/>
  <c r="F71"/>
  <c r="E71"/>
  <c r="D71"/>
  <c r="C71"/>
  <c r="AI70"/>
  <c r="AI69"/>
  <c r="AH68"/>
  <c r="AG68"/>
  <c r="AF68"/>
  <c r="AE68"/>
  <c r="AD68"/>
  <c r="AC68"/>
  <c r="AB68"/>
  <c r="AA68"/>
  <c r="Z68"/>
  <c r="Y68"/>
  <c r="X68"/>
  <c r="W68"/>
  <c r="V68"/>
  <c r="U68"/>
  <c r="T68"/>
  <c r="S68"/>
  <c r="R68"/>
  <c r="Q68"/>
  <c r="P68"/>
  <c r="O68"/>
  <c r="N68"/>
  <c r="M68"/>
  <c r="L68"/>
  <c r="K68"/>
  <c r="J68"/>
  <c r="I68"/>
  <c r="H68"/>
  <c r="G68"/>
  <c r="F68"/>
  <c r="E68"/>
  <c r="D68"/>
  <c r="C68"/>
  <c r="AI66"/>
  <c r="AI65"/>
  <c r="AH64"/>
  <c r="AG64"/>
  <c r="AF64"/>
  <c r="AE64"/>
  <c r="AD64"/>
  <c r="AC64"/>
  <c r="AB64"/>
  <c r="AA64"/>
  <c r="Z64"/>
  <c r="Y64"/>
  <c r="X64"/>
  <c r="W64"/>
  <c r="V64"/>
  <c r="U64"/>
  <c r="T64"/>
  <c r="S64"/>
  <c r="R64"/>
  <c r="Q64"/>
  <c r="P64"/>
  <c r="O64"/>
  <c r="N64"/>
  <c r="M64"/>
  <c r="L64"/>
  <c r="K64"/>
  <c r="J64"/>
  <c r="I64"/>
  <c r="H64"/>
  <c r="G64"/>
  <c r="F64"/>
  <c r="E64"/>
  <c r="D64"/>
  <c r="C64"/>
  <c r="D67" l="1"/>
  <c r="AI132"/>
  <c r="AB67"/>
  <c r="AB63" s="1"/>
  <c r="L67"/>
  <c r="T67"/>
  <c r="C67"/>
  <c r="K67"/>
  <c r="K63" s="1"/>
  <c r="S67"/>
  <c r="AA67"/>
  <c r="AH67"/>
  <c r="F67"/>
  <c r="J67"/>
  <c r="N67"/>
  <c r="R67"/>
  <c r="V67"/>
  <c r="Z67"/>
  <c r="AD67"/>
  <c r="G67"/>
  <c r="O67"/>
  <c r="O63" s="1"/>
  <c r="W67"/>
  <c r="AE67"/>
  <c r="H67"/>
  <c r="P67"/>
  <c r="X67"/>
  <c r="AF67"/>
  <c r="E67"/>
  <c r="I67"/>
  <c r="M67"/>
  <c r="Q67"/>
  <c r="U67"/>
  <c r="Y67"/>
  <c r="AC67"/>
  <c r="AG67"/>
  <c r="AI71"/>
  <c r="AI74"/>
  <c r="AI77"/>
  <c r="AI64"/>
  <c r="AD63"/>
  <c r="AI68"/>
  <c r="W63"/>
  <c r="T63"/>
  <c r="S63"/>
  <c r="P63"/>
  <c r="N63"/>
  <c r="I63"/>
  <c r="D63"/>
  <c r="AI62"/>
  <c r="AI61"/>
  <c r="AH60"/>
  <c r="AG60"/>
  <c r="AF60"/>
  <c r="AE60"/>
  <c r="AD60"/>
  <c r="AC60"/>
  <c r="AB60"/>
  <c r="AA60"/>
  <c r="Z60"/>
  <c r="Y60"/>
  <c r="X60"/>
  <c r="W60"/>
  <c r="V60"/>
  <c r="U60"/>
  <c r="T60"/>
  <c r="S60"/>
  <c r="R60"/>
  <c r="Q60"/>
  <c r="P60"/>
  <c r="O60"/>
  <c r="N60"/>
  <c r="M60"/>
  <c r="L60"/>
  <c r="K60"/>
  <c r="J60"/>
  <c r="I60"/>
  <c r="H60"/>
  <c r="G60"/>
  <c r="F60"/>
  <c r="E60"/>
  <c r="D60"/>
  <c r="C60"/>
  <c r="AI59"/>
  <c r="AI58"/>
  <c r="AH57"/>
  <c r="AG57"/>
  <c r="AF57"/>
  <c r="AE57"/>
  <c r="AD57"/>
  <c r="AC57"/>
  <c r="AB57"/>
  <c r="AA57"/>
  <c r="Z57"/>
  <c r="Y57"/>
  <c r="X57"/>
  <c r="W57"/>
  <c r="V57"/>
  <c r="U57"/>
  <c r="T57"/>
  <c r="S57"/>
  <c r="R57"/>
  <c r="Q57"/>
  <c r="P57"/>
  <c r="O57"/>
  <c r="N57"/>
  <c r="M57"/>
  <c r="L57"/>
  <c r="K57"/>
  <c r="J57"/>
  <c r="I57"/>
  <c r="H57"/>
  <c r="G57"/>
  <c r="F57"/>
  <c r="E57"/>
  <c r="D57"/>
  <c r="C57"/>
  <c r="AI56"/>
  <c r="AI55"/>
  <c r="AH54"/>
  <c r="AG54"/>
  <c r="AF54"/>
  <c r="AE54"/>
  <c r="AD54"/>
  <c r="AC54"/>
  <c r="AB54"/>
  <c r="AA54"/>
  <c r="Z54"/>
  <c r="Y54"/>
  <c r="X54"/>
  <c r="W54"/>
  <c r="V54"/>
  <c r="U54"/>
  <c r="T54"/>
  <c r="S54"/>
  <c r="R54"/>
  <c r="Q54"/>
  <c r="P54"/>
  <c r="O54"/>
  <c r="N54"/>
  <c r="M54"/>
  <c r="L54"/>
  <c r="K54"/>
  <c r="J54"/>
  <c r="I54"/>
  <c r="H54"/>
  <c r="G54"/>
  <c r="F54"/>
  <c r="E54"/>
  <c r="D54"/>
  <c r="C54"/>
  <c r="AI53"/>
  <c r="AI52"/>
  <c r="AH51"/>
  <c r="AG51"/>
  <c r="AF51"/>
  <c r="AE51"/>
  <c r="AD51"/>
  <c r="AC51"/>
  <c r="AB51"/>
  <c r="AA51"/>
  <c r="Z51"/>
  <c r="Y51"/>
  <c r="X51"/>
  <c r="W51"/>
  <c r="V51"/>
  <c r="U51"/>
  <c r="T51"/>
  <c r="S51"/>
  <c r="R51"/>
  <c r="Q51"/>
  <c r="P51"/>
  <c r="O51"/>
  <c r="N51"/>
  <c r="M51"/>
  <c r="L51"/>
  <c r="K51"/>
  <c r="J51"/>
  <c r="I51"/>
  <c r="H51"/>
  <c r="G51"/>
  <c r="F51"/>
  <c r="E51"/>
  <c r="D51"/>
  <c r="C51"/>
  <c r="AI49"/>
  <c r="AI48"/>
  <c r="AH47"/>
  <c r="AG47"/>
  <c r="AF47"/>
  <c r="AE47"/>
  <c r="AD47"/>
  <c r="AC47"/>
  <c r="AB47"/>
  <c r="AA47"/>
  <c r="Z47"/>
  <c r="Y47"/>
  <c r="X47"/>
  <c r="W47"/>
  <c r="V47"/>
  <c r="U47"/>
  <c r="T47"/>
  <c r="S47"/>
  <c r="R47"/>
  <c r="Q47"/>
  <c r="P47"/>
  <c r="O47"/>
  <c r="N47"/>
  <c r="M47"/>
  <c r="L47"/>
  <c r="K47"/>
  <c r="J47"/>
  <c r="I47"/>
  <c r="H47"/>
  <c r="G47"/>
  <c r="F47"/>
  <c r="E47"/>
  <c r="D47"/>
  <c r="C47"/>
  <c r="F63" l="1"/>
  <c r="C63"/>
  <c r="L63"/>
  <c r="M63"/>
  <c r="R63"/>
  <c r="Y63"/>
  <c r="Z63"/>
  <c r="V63"/>
  <c r="G63"/>
  <c r="Q63"/>
  <c r="E63"/>
  <c r="J63"/>
  <c r="U63"/>
  <c r="H63"/>
  <c r="X63"/>
  <c r="AA50"/>
  <c r="AC63"/>
  <c r="K50"/>
  <c r="AH63"/>
  <c r="O50"/>
  <c r="T50"/>
  <c r="AE50"/>
  <c r="AI51"/>
  <c r="P50"/>
  <c r="AF50"/>
  <c r="I50"/>
  <c r="Q50"/>
  <c r="U50"/>
  <c r="AC50"/>
  <c r="AG50"/>
  <c r="AF63"/>
  <c r="AE63"/>
  <c r="C50"/>
  <c r="L50"/>
  <c r="X50"/>
  <c r="AB50"/>
  <c r="G50"/>
  <c r="S50"/>
  <c r="E50"/>
  <c r="M50"/>
  <c r="Y50"/>
  <c r="H50"/>
  <c r="W50"/>
  <c r="AH50"/>
  <c r="F50"/>
  <c r="J50"/>
  <c r="N50"/>
  <c r="R50"/>
  <c r="V50"/>
  <c r="Z50"/>
  <c r="AD50"/>
  <c r="AG63"/>
  <c r="AI67"/>
  <c r="AA63"/>
  <c r="D50"/>
  <c r="AI47"/>
  <c r="AI54"/>
  <c r="AI57"/>
  <c r="AI60"/>
  <c r="AI43"/>
  <c r="AI41"/>
  <c r="AI40"/>
  <c r="AH39"/>
  <c r="AG39"/>
  <c r="AF39"/>
  <c r="AE39"/>
  <c r="AD39"/>
  <c r="AC39"/>
  <c r="AB39"/>
  <c r="AA39"/>
  <c r="Z39"/>
  <c r="Y39"/>
  <c r="X39"/>
  <c r="W39"/>
  <c r="V39"/>
  <c r="U39"/>
  <c r="T39"/>
  <c r="S39"/>
  <c r="R39"/>
  <c r="Q39"/>
  <c r="P39"/>
  <c r="O39"/>
  <c r="N39"/>
  <c r="M39"/>
  <c r="L39"/>
  <c r="K39"/>
  <c r="J39"/>
  <c r="I39"/>
  <c r="H39"/>
  <c r="G39"/>
  <c r="F39"/>
  <c r="E39"/>
  <c r="D39"/>
  <c r="C39"/>
  <c r="AI38"/>
  <c r="AH37"/>
  <c r="AG37"/>
  <c r="AF37"/>
  <c r="AE37"/>
  <c r="AD37"/>
  <c r="AC37"/>
  <c r="AB37"/>
  <c r="AA37"/>
  <c r="Z37"/>
  <c r="Y37"/>
  <c r="X37"/>
  <c r="W37"/>
  <c r="V37"/>
  <c r="U37"/>
  <c r="T37"/>
  <c r="S37"/>
  <c r="S32" s="1"/>
  <c r="R37"/>
  <c r="Q37"/>
  <c r="P37"/>
  <c r="O37"/>
  <c r="O32" s="1"/>
  <c r="N37"/>
  <c r="M37"/>
  <c r="L37"/>
  <c r="K37"/>
  <c r="K32" s="1"/>
  <c r="J37"/>
  <c r="I37"/>
  <c r="H37"/>
  <c r="G37"/>
  <c r="G32" s="1"/>
  <c r="F37"/>
  <c r="E37"/>
  <c r="D37"/>
  <c r="C37"/>
  <c r="C32" s="1"/>
  <c r="AI34"/>
  <c r="AH33"/>
  <c r="AG33"/>
  <c r="AF33"/>
  <c r="AE33"/>
  <c r="AD33"/>
  <c r="AC33"/>
  <c r="AB33"/>
  <c r="AA33"/>
  <c r="Z33"/>
  <c r="Y33"/>
  <c r="X33"/>
  <c r="W33"/>
  <c r="V33"/>
  <c r="U33"/>
  <c r="T33"/>
  <c r="S33"/>
  <c r="R33"/>
  <c r="Q33"/>
  <c r="P33"/>
  <c r="O33"/>
  <c r="N33"/>
  <c r="M33"/>
  <c r="L33"/>
  <c r="K33"/>
  <c r="J33"/>
  <c r="I33"/>
  <c r="H33"/>
  <c r="G33"/>
  <c r="F33"/>
  <c r="E33"/>
  <c r="D33"/>
  <c r="C33"/>
  <c r="H32" l="1"/>
  <c r="F32"/>
  <c r="J32"/>
  <c r="N32"/>
  <c r="R32"/>
  <c r="V32"/>
  <c r="Z32"/>
  <c r="AD32"/>
  <c r="AH32"/>
  <c r="W32"/>
  <c r="AA32"/>
  <c r="AE32"/>
  <c r="D32"/>
  <c r="L32"/>
  <c r="P32"/>
  <c r="T32"/>
  <c r="X32"/>
  <c r="AB32"/>
  <c r="AF32"/>
  <c r="E32"/>
  <c r="I32"/>
  <c r="M32"/>
  <c r="Q32"/>
  <c r="U32"/>
  <c r="Y32"/>
  <c r="AC32"/>
  <c r="AG32"/>
  <c r="E46"/>
  <c r="U46"/>
  <c r="U45" s="1"/>
  <c r="AA46"/>
  <c r="AG46"/>
  <c r="I46"/>
  <c r="K46"/>
  <c r="K45" s="1"/>
  <c r="AC46"/>
  <c r="M46"/>
  <c r="Q46"/>
  <c r="AI63"/>
  <c r="O46"/>
  <c r="S46"/>
  <c r="Q45"/>
  <c r="G46"/>
  <c r="E45"/>
  <c r="Y46"/>
  <c r="AD46"/>
  <c r="N46"/>
  <c r="R46"/>
  <c r="T46"/>
  <c r="D46"/>
  <c r="W46"/>
  <c r="AB46"/>
  <c r="L46"/>
  <c r="AF46"/>
  <c r="C46"/>
  <c r="H46"/>
  <c r="V46"/>
  <c r="AE46"/>
  <c r="Z46"/>
  <c r="F46"/>
  <c r="X46"/>
  <c r="AH46"/>
  <c r="P46"/>
  <c r="J46"/>
  <c r="AI39"/>
  <c r="AI33"/>
  <c r="AI37"/>
  <c r="AI50"/>
  <c r="AI31"/>
  <c r="AI30"/>
  <c r="AH29"/>
  <c r="AG29"/>
  <c r="AF29"/>
  <c r="AE29"/>
  <c r="AD29"/>
  <c r="AC29"/>
  <c r="AB29"/>
  <c r="AA29"/>
  <c r="Z29"/>
  <c r="Y29"/>
  <c r="X29"/>
  <c r="W29"/>
  <c r="V29"/>
  <c r="U29"/>
  <c r="T29"/>
  <c r="S29"/>
  <c r="R29"/>
  <c r="Q29"/>
  <c r="P29"/>
  <c r="O29"/>
  <c r="N29"/>
  <c r="M29"/>
  <c r="L29"/>
  <c r="K29"/>
  <c r="J29"/>
  <c r="I29"/>
  <c r="H29"/>
  <c r="G29"/>
  <c r="F29"/>
  <c r="E29"/>
  <c r="D29"/>
  <c r="C29"/>
  <c r="AI28"/>
  <c r="AI27"/>
  <c r="AH26"/>
  <c r="AG26"/>
  <c r="AF26"/>
  <c r="AE26"/>
  <c r="AD26"/>
  <c r="AC26"/>
  <c r="AB26"/>
  <c r="AA26"/>
  <c r="Z26"/>
  <c r="Y26"/>
  <c r="X26"/>
  <c r="W26"/>
  <c r="V26"/>
  <c r="U26"/>
  <c r="T26"/>
  <c r="S26"/>
  <c r="R26"/>
  <c r="Q26"/>
  <c r="P26"/>
  <c r="O26"/>
  <c r="N26"/>
  <c r="M26"/>
  <c r="L26"/>
  <c r="K26"/>
  <c r="J26"/>
  <c r="I26"/>
  <c r="H26"/>
  <c r="G26"/>
  <c r="F26"/>
  <c r="E26"/>
  <c r="D26"/>
  <c r="C26"/>
  <c r="AI24"/>
  <c r="AA45" l="1"/>
  <c r="AG45"/>
  <c r="M45"/>
  <c r="I45"/>
  <c r="AC45"/>
  <c r="Y45"/>
  <c r="S45"/>
  <c r="O45"/>
  <c r="G45"/>
  <c r="C45"/>
  <c r="H25"/>
  <c r="X25"/>
  <c r="O25"/>
  <c r="AE25"/>
  <c r="P25"/>
  <c r="E25"/>
  <c r="M25"/>
  <c r="Y25"/>
  <c r="D25"/>
  <c r="T25"/>
  <c r="AG25"/>
  <c r="F25"/>
  <c r="J25"/>
  <c r="N25"/>
  <c r="R25"/>
  <c r="V25"/>
  <c r="Z25"/>
  <c r="AD25"/>
  <c r="P45"/>
  <c r="W45"/>
  <c r="R45"/>
  <c r="K25"/>
  <c r="AH45"/>
  <c r="F45"/>
  <c r="V45"/>
  <c r="L45"/>
  <c r="W25"/>
  <c r="AH25"/>
  <c r="AI46"/>
  <c r="J45"/>
  <c r="Z45"/>
  <c r="N45"/>
  <c r="G25"/>
  <c r="S25"/>
  <c r="AA25"/>
  <c r="L25"/>
  <c r="AB25"/>
  <c r="AF25"/>
  <c r="I25"/>
  <c r="Q25"/>
  <c r="U25"/>
  <c r="AC25"/>
  <c r="X45"/>
  <c r="AE45"/>
  <c r="H45"/>
  <c r="AF45"/>
  <c r="AB45"/>
  <c r="D45"/>
  <c r="T45"/>
  <c r="AD45"/>
  <c r="AI32"/>
  <c r="AI29"/>
  <c r="C25"/>
  <c r="AI26"/>
  <c r="AH23"/>
  <c r="AG23"/>
  <c r="AF23"/>
  <c r="AE23"/>
  <c r="AD23"/>
  <c r="AC23"/>
  <c r="AB23"/>
  <c r="AA23"/>
  <c r="Z23"/>
  <c r="Y23"/>
  <c r="X23"/>
  <c r="W23"/>
  <c r="V23"/>
  <c r="U23"/>
  <c r="T23"/>
  <c r="S23"/>
  <c r="R23"/>
  <c r="Q23"/>
  <c r="P23"/>
  <c r="O23"/>
  <c r="N23"/>
  <c r="M23"/>
  <c r="L23"/>
  <c r="K23"/>
  <c r="J23"/>
  <c r="I23"/>
  <c r="H23"/>
  <c r="G23"/>
  <c r="F23"/>
  <c r="E23"/>
  <c r="D23"/>
  <c r="C23"/>
  <c r="AI22"/>
  <c r="AI21"/>
  <c r="AI20"/>
  <c r="AI19"/>
  <c r="AH18"/>
  <c r="AG18"/>
  <c r="AF18"/>
  <c r="AE18"/>
  <c r="AD18"/>
  <c r="AC18"/>
  <c r="AB18"/>
  <c r="AA18"/>
  <c r="Z18"/>
  <c r="Y18"/>
  <c r="X18"/>
  <c r="W18"/>
  <c r="V18"/>
  <c r="U18"/>
  <c r="T18"/>
  <c r="S18"/>
  <c r="R18"/>
  <c r="Q18"/>
  <c r="P18"/>
  <c r="O18"/>
  <c r="N18"/>
  <c r="M18"/>
  <c r="L18"/>
  <c r="K18"/>
  <c r="J18"/>
  <c r="I18"/>
  <c r="H18"/>
  <c r="G18"/>
  <c r="F18"/>
  <c r="E18"/>
  <c r="D18"/>
  <c r="C18"/>
  <c r="AI15"/>
  <c r="AI14"/>
  <c r="AH13"/>
  <c r="AG13"/>
  <c r="AF13"/>
  <c r="AE13"/>
  <c r="AD13"/>
  <c r="AC13"/>
  <c r="AB13"/>
  <c r="AA13"/>
  <c r="Z13"/>
  <c r="Y13"/>
  <c r="X13"/>
  <c r="W13"/>
  <c r="V13"/>
  <c r="U13"/>
  <c r="T13"/>
  <c r="S13"/>
  <c r="R13"/>
  <c r="Q13"/>
  <c r="P13"/>
  <c r="O13"/>
  <c r="N13"/>
  <c r="M13"/>
  <c r="L13"/>
  <c r="K13"/>
  <c r="J13"/>
  <c r="I13"/>
  <c r="H13"/>
  <c r="G13"/>
  <c r="F13"/>
  <c r="E13"/>
  <c r="D13"/>
  <c r="C13"/>
  <c r="V17" l="1"/>
  <c r="C17"/>
  <c r="AB17"/>
  <c r="Q17"/>
  <c r="E17"/>
  <c r="F17"/>
  <c r="I17"/>
  <c r="G17"/>
  <c r="K17"/>
  <c r="O17"/>
  <c r="S17"/>
  <c r="W17"/>
  <c r="AA17"/>
  <c r="AE17"/>
  <c r="AH17"/>
  <c r="J17"/>
  <c r="N17"/>
  <c r="R17"/>
  <c r="Z17"/>
  <c r="M17"/>
  <c r="Y17"/>
  <c r="D17"/>
  <c r="H17"/>
  <c r="L17"/>
  <c r="P17"/>
  <c r="T17"/>
  <c r="X17"/>
  <c r="AF17"/>
  <c r="AG17"/>
  <c r="AI45"/>
  <c r="U17"/>
  <c r="AC17"/>
  <c r="AI25"/>
  <c r="AD17"/>
  <c r="AI13"/>
  <c r="AI23"/>
  <c r="AI18"/>
  <c r="AI17" l="1"/>
  <c r="N67" i="108"/>
  <c r="N66" l="1"/>
  <c r="N64" l="1"/>
  <c r="D64"/>
  <c r="C64" l="1"/>
  <c r="N61"/>
  <c r="N60"/>
  <c r="I59"/>
  <c r="H59"/>
  <c r="G59"/>
  <c r="F59"/>
  <c r="E59"/>
  <c r="D59"/>
  <c r="C59"/>
  <c r="N56"/>
  <c r="N55"/>
  <c r="I54"/>
  <c r="H54"/>
  <c r="G54"/>
  <c r="F54"/>
  <c r="E54"/>
  <c r="D54"/>
  <c r="C54"/>
  <c r="N51"/>
  <c r="N50"/>
  <c r="I49"/>
  <c r="H49"/>
  <c r="G49"/>
  <c r="F49"/>
  <c r="E49"/>
  <c r="D49"/>
  <c r="C49"/>
  <c r="N46"/>
  <c r="N45"/>
  <c r="I44"/>
  <c r="H44"/>
  <c r="G44"/>
  <c r="F44"/>
  <c r="E44"/>
  <c r="D44"/>
  <c r="C44"/>
  <c r="N41"/>
  <c r="N40"/>
  <c r="I39"/>
  <c r="H39"/>
  <c r="G39"/>
  <c r="F39"/>
  <c r="E39"/>
  <c r="D39"/>
  <c r="C39"/>
  <c r="N36"/>
  <c r="N35"/>
  <c r="I34"/>
  <c r="H34"/>
  <c r="G34"/>
  <c r="F34"/>
  <c r="E34"/>
  <c r="D34"/>
  <c r="C34"/>
  <c r="N54" l="1"/>
  <c r="N34"/>
  <c r="N39"/>
  <c r="N59"/>
  <c r="N44"/>
  <c r="N49"/>
  <c r="I31"/>
  <c r="H31"/>
  <c r="G31"/>
  <c r="F31"/>
  <c r="E31"/>
  <c r="D31"/>
  <c r="C31"/>
  <c r="I30"/>
  <c r="H30"/>
  <c r="G30"/>
  <c r="F30"/>
  <c r="E30"/>
  <c r="D30"/>
  <c r="C30"/>
  <c r="N26"/>
  <c r="N25"/>
  <c r="I23"/>
  <c r="H23"/>
  <c r="G23"/>
  <c r="F23"/>
  <c r="E23"/>
  <c r="D23"/>
  <c r="C23"/>
  <c r="N21"/>
  <c r="N20"/>
  <c r="I18"/>
  <c r="H18"/>
  <c r="G18"/>
  <c r="F18"/>
  <c r="E18"/>
  <c r="D18"/>
  <c r="C18"/>
  <c r="G72" l="1"/>
  <c r="F73"/>
  <c r="D72"/>
  <c r="H72"/>
  <c r="G73"/>
  <c r="E72"/>
  <c r="I72"/>
  <c r="D73"/>
  <c r="H73"/>
  <c r="C72"/>
  <c r="F72"/>
  <c r="E73"/>
  <c r="I73"/>
  <c r="N18"/>
  <c r="I28"/>
  <c r="E28"/>
  <c r="N23"/>
  <c r="F28"/>
  <c r="D28"/>
  <c r="H28"/>
  <c r="G28"/>
  <c r="C28"/>
  <c r="N30"/>
  <c r="C73"/>
  <c r="N31"/>
  <c r="I13"/>
  <c r="H13"/>
  <c r="G13"/>
  <c r="F13"/>
  <c r="E13"/>
  <c r="D13"/>
  <c r="C13"/>
  <c r="O134" i="124"/>
  <c r="O133"/>
  <c r="O132"/>
  <c r="N131"/>
  <c r="M131"/>
  <c r="L131"/>
  <c r="K131"/>
  <c r="J131"/>
  <c r="I131"/>
  <c r="H131"/>
  <c r="G131"/>
  <c r="F131"/>
  <c r="E131"/>
  <c r="D131"/>
  <c r="C131"/>
  <c r="O129"/>
  <c r="N128"/>
  <c r="M128"/>
  <c r="L128"/>
  <c r="K128"/>
  <c r="J128"/>
  <c r="I128"/>
  <c r="H128"/>
  <c r="G128"/>
  <c r="F128"/>
  <c r="E128"/>
  <c r="D128"/>
  <c r="C128"/>
  <c r="O127"/>
  <c r="N126"/>
  <c r="M126"/>
  <c r="L126"/>
  <c r="K126"/>
  <c r="J126"/>
  <c r="I126"/>
  <c r="H126"/>
  <c r="G126"/>
  <c r="F126"/>
  <c r="E126"/>
  <c r="D126"/>
  <c r="C126"/>
  <c r="O125"/>
  <c r="N124"/>
  <c r="M124"/>
  <c r="L124"/>
  <c r="K124"/>
  <c r="J124"/>
  <c r="I124"/>
  <c r="H124"/>
  <c r="G124"/>
  <c r="F124"/>
  <c r="E124"/>
  <c r="D124"/>
  <c r="C124"/>
  <c r="O118"/>
  <c r="O117"/>
  <c r="O116"/>
  <c r="O115"/>
  <c r="O114"/>
  <c r="O113"/>
  <c r="O112"/>
  <c r="O111"/>
  <c r="O110"/>
  <c r="O109"/>
  <c r="O108"/>
  <c r="O107"/>
  <c r="O106"/>
  <c r="O105"/>
  <c r="O104"/>
  <c r="O103"/>
  <c r="O102"/>
  <c r="O101"/>
  <c r="O100"/>
  <c r="O99"/>
  <c r="O98"/>
  <c r="O97"/>
  <c r="O96"/>
  <c r="O95"/>
  <c r="O94"/>
  <c r="O93"/>
  <c r="O92"/>
  <c r="E70" i="108" l="1"/>
  <c r="G70"/>
  <c r="H70"/>
  <c r="N72"/>
  <c r="F70"/>
  <c r="D70"/>
  <c r="I70"/>
  <c r="N73"/>
  <c r="I123" i="124"/>
  <c r="D123"/>
  <c r="H123"/>
  <c r="H122" s="1"/>
  <c r="L123"/>
  <c r="L122" s="1"/>
  <c r="M123"/>
  <c r="M122" s="1"/>
  <c r="E123"/>
  <c r="O124"/>
  <c r="F123"/>
  <c r="J123"/>
  <c r="N123"/>
  <c r="N122" s="1"/>
  <c r="O131"/>
  <c r="C123"/>
  <c r="G123"/>
  <c r="K123"/>
  <c r="K122" s="1"/>
  <c r="O128"/>
  <c r="O126"/>
  <c r="C70" i="108"/>
  <c r="N28"/>
  <c r="O91" i="124"/>
  <c r="O90"/>
  <c r="O89"/>
  <c r="O88"/>
  <c r="O87"/>
  <c r="O86"/>
  <c r="O85"/>
  <c r="O84"/>
  <c r="O83"/>
  <c r="O82"/>
  <c r="O81"/>
  <c r="O80"/>
  <c r="O79"/>
  <c r="O78"/>
  <c r="O77"/>
  <c r="O76"/>
  <c r="O75"/>
  <c r="O74"/>
  <c r="O73"/>
  <c r="O72"/>
  <c r="O71"/>
  <c r="N70"/>
  <c r="M70"/>
  <c r="L70"/>
  <c r="K70"/>
  <c r="J70"/>
  <c r="I70"/>
  <c r="H70"/>
  <c r="G70"/>
  <c r="F70"/>
  <c r="E70"/>
  <c r="D70"/>
  <c r="C70"/>
  <c r="O69"/>
  <c r="O68"/>
  <c r="N67"/>
  <c r="M67"/>
  <c r="L67"/>
  <c r="K67"/>
  <c r="J67"/>
  <c r="I67"/>
  <c r="H67"/>
  <c r="G67"/>
  <c r="F67"/>
  <c r="E67"/>
  <c r="D67"/>
  <c r="C67"/>
  <c r="O66"/>
  <c r="O65"/>
  <c r="N64"/>
  <c r="M64"/>
  <c r="L64"/>
  <c r="K64"/>
  <c r="J64"/>
  <c r="I64"/>
  <c r="H64"/>
  <c r="G64"/>
  <c r="F64"/>
  <c r="E64"/>
  <c r="D64"/>
  <c r="C64"/>
  <c r="O63"/>
  <c r="O62"/>
  <c r="N61"/>
  <c r="M61"/>
  <c r="L61"/>
  <c r="K61"/>
  <c r="J61"/>
  <c r="I61"/>
  <c r="H61"/>
  <c r="G61"/>
  <c r="F61"/>
  <c r="E61"/>
  <c r="D61"/>
  <c r="C61"/>
  <c r="O59"/>
  <c r="O58"/>
  <c r="N57"/>
  <c r="M57"/>
  <c r="L57"/>
  <c r="K57"/>
  <c r="J57"/>
  <c r="I57"/>
  <c r="H57"/>
  <c r="G57"/>
  <c r="F57"/>
  <c r="E57"/>
  <c r="D57"/>
  <c r="C57"/>
  <c r="O55"/>
  <c r="O54"/>
  <c r="N53"/>
  <c r="M53"/>
  <c r="L53"/>
  <c r="K53"/>
  <c r="J53"/>
  <c r="I53"/>
  <c r="H53"/>
  <c r="G53"/>
  <c r="F53"/>
  <c r="E53"/>
  <c r="D53"/>
  <c r="C53"/>
  <c r="O52"/>
  <c r="O51"/>
  <c r="N50"/>
  <c r="M50"/>
  <c r="L50"/>
  <c r="K50"/>
  <c r="J50"/>
  <c r="I50"/>
  <c r="H50"/>
  <c r="G50"/>
  <c r="F50"/>
  <c r="E50"/>
  <c r="D50"/>
  <c r="C50"/>
  <c r="O49"/>
  <c r="O48"/>
  <c r="N47"/>
  <c r="M47"/>
  <c r="L47"/>
  <c r="K47"/>
  <c r="J47"/>
  <c r="I47"/>
  <c r="H47"/>
  <c r="G47"/>
  <c r="F47"/>
  <c r="E47"/>
  <c r="D47"/>
  <c r="C47"/>
  <c r="O46"/>
  <c r="O45"/>
  <c r="N44"/>
  <c r="M44"/>
  <c r="L44"/>
  <c r="K44"/>
  <c r="J44"/>
  <c r="I44"/>
  <c r="H44"/>
  <c r="G44"/>
  <c r="F44"/>
  <c r="E44"/>
  <c r="D44"/>
  <c r="C44"/>
  <c r="O42"/>
  <c r="O41"/>
  <c r="N40"/>
  <c r="M40"/>
  <c r="L40"/>
  <c r="K40"/>
  <c r="J40"/>
  <c r="I40"/>
  <c r="H40"/>
  <c r="G40"/>
  <c r="F40"/>
  <c r="E40"/>
  <c r="D40"/>
  <c r="C40"/>
  <c r="N70" i="108" l="1"/>
  <c r="G65" s="1"/>
  <c r="J60" i="124"/>
  <c r="G60"/>
  <c r="K60"/>
  <c r="J122"/>
  <c r="H60"/>
  <c r="D43"/>
  <c r="L43"/>
  <c r="N43"/>
  <c r="D60"/>
  <c r="L60"/>
  <c r="N60"/>
  <c r="O123"/>
  <c r="C43"/>
  <c r="E60"/>
  <c r="I60"/>
  <c r="M60"/>
  <c r="O64"/>
  <c r="O70"/>
  <c r="M43"/>
  <c r="F60"/>
  <c r="O47"/>
  <c r="O53"/>
  <c r="C60"/>
  <c r="G122"/>
  <c r="O61"/>
  <c r="O67"/>
  <c r="O40"/>
  <c r="O44"/>
  <c r="O50"/>
  <c r="O57"/>
  <c r="N71" i="108"/>
  <c r="E65"/>
  <c r="D65"/>
  <c r="I65"/>
  <c r="H65"/>
  <c r="C65"/>
  <c r="D24"/>
  <c r="F29"/>
  <c r="F19"/>
  <c r="G24"/>
  <c r="C24"/>
  <c r="I19"/>
  <c r="E19"/>
  <c r="E24"/>
  <c r="F24"/>
  <c r="E29"/>
  <c r="G19"/>
  <c r="I24"/>
  <c r="C19"/>
  <c r="I29"/>
  <c r="E71"/>
  <c r="F71"/>
  <c r="D19"/>
  <c r="C29"/>
  <c r="D29"/>
  <c r="H19"/>
  <c r="D71"/>
  <c r="I71"/>
  <c r="N19"/>
  <c r="G29"/>
  <c r="H29"/>
  <c r="N24"/>
  <c r="G71"/>
  <c r="H71"/>
  <c r="I14"/>
  <c r="E14"/>
  <c r="F14"/>
  <c r="K43" i="124"/>
  <c r="N29" i="108"/>
  <c r="H14"/>
  <c r="G14"/>
  <c r="H24" l="1"/>
  <c r="K19"/>
  <c r="K65"/>
  <c r="K24"/>
  <c r="K14"/>
  <c r="K29"/>
  <c r="L14"/>
  <c r="J65"/>
  <c r="L19"/>
  <c r="J24"/>
  <c r="J14"/>
  <c r="J29"/>
  <c r="J19"/>
  <c r="L24"/>
  <c r="L29"/>
  <c r="J71"/>
  <c r="K71"/>
  <c r="L65"/>
  <c r="L71"/>
  <c r="M65"/>
  <c r="M24"/>
  <c r="M14"/>
  <c r="M71"/>
  <c r="M19"/>
  <c r="M29"/>
  <c r="D14"/>
  <c r="F65"/>
  <c r="C71"/>
  <c r="N65"/>
  <c r="C14"/>
  <c r="N13"/>
  <c r="F122" i="124"/>
  <c r="I122"/>
  <c r="C39"/>
  <c r="K56"/>
  <c r="I56"/>
  <c r="J56"/>
  <c r="M39"/>
  <c r="D39"/>
  <c r="L39"/>
  <c r="H56"/>
  <c r="D122"/>
  <c r="D56"/>
  <c r="O60"/>
  <c r="C56"/>
  <c r="J43"/>
  <c r="K39"/>
  <c r="O36"/>
  <c r="O35"/>
  <c r="N34"/>
  <c r="M34"/>
  <c r="L34"/>
  <c r="K34"/>
  <c r="J34"/>
  <c r="I34"/>
  <c r="H34"/>
  <c r="G34"/>
  <c r="F34"/>
  <c r="E34"/>
  <c r="D34"/>
  <c r="C34"/>
  <c r="O31"/>
  <c r="N30"/>
  <c r="M30"/>
  <c r="L30"/>
  <c r="K30"/>
  <c r="J30"/>
  <c r="I30"/>
  <c r="H30"/>
  <c r="G30"/>
  <c r="F30"/>
  <c r="E30"/>
  <c r="D30"/>
  <c r="C30"/>
  <c r="C29" s="1"/>
  <c r="O28"/>
  <c r="O24"/>
  <c r="N23"/>
  <c r="M23"/>
  <c r="L23"/>
  <c r="K23"/>
  <c r="J23"/>
  <c r="I23"/>
  <c r="H23"/>
  <c r="G23"/>
  <c r="F23"/>
  <c r="E23"/>
  <c r="D23"/>
  <c r="C23"/>
  <c r="O22"/>
  <c r="O21"/>
  <c r="O20"/>
  <c r="O19"/>
  <c r="N18"/>
  <c r="M18"/>
  <c r="L18"/>
  <c r="K18"/>
  <c r="J18"/>
  <c r="I18"/>
  <c r="H18"/>
  <c r="G18"/>
  <c r="F18"/>
  <c r="E18"/>
  <c r="D18"/>
  <c r="C18"/>
  <c r="O15"/>
  <c r="O14"/>
  <c r="N13"/>
  <c r="M13"/>
  <c r="L13"/>
  <c r="K13"/>
  <c r="J13"/>
  <c r="I13"/>
  <c r="H13"/>
  <c r="G13"/>
  <c r="F13"/>
  <c r="E13"/>
  <c r="D13"/>
  <c r="C13"/>
  <c r="K38" l="1"/>
  <c r="N14" i="108"/>
  <c r="C122" i="124"/>
  <c r="D38"/>
  <c r="E122"/>
  <c r="F29"/>
  <c r="J29"/>
  <c r="N29"/>
  <c r="G29"/>
  <c r="K29"/>
  <c r="E29"/>
  <c r="I29"/>
  <c r="M29"/>
  <c r="D29"/>
  <c r="H29"/>
  <c r="L29"/>
  <c r="G56"/>
  <c r="L25"/>
  <c r="K25"/>
  <c r="N25"/>
  <c r="E25"/>
  <c r="O30"/>
  <c r="K17"/>
  <c r="O26"/>
  <c r="O18"/>
  <c r="O13"/>
  <c r="O23"/>
  <c r="O27"/>
  <c r="O34"/>
  <c r="I43"/>
  <c r="J39"/>
  <c r="J38" s="1"/>
  <c r="J25"/>
  <c r="O122" l="1"/>
  <c r="C38"/>
  <c r="I25"/>
  <c r="M25"/>
  <c r="D25"/>
  <c r="F56"/>
  <c r="L17"/>
  <c r="N17"/>
  <c r="O29"/>
  <c r="I17"/>
  <c r="H43"/>
  <c r="I39"/>
  <c r="I38" s="1"/>
  <c r="G25"/>
  <c r="J17"/>
  <c r="M17" l="1"/>
  <c r="C25"/>
  <c r="H25"/>
  <c r="E56"/>
  <c r="G43"/>
  <c r="H39"/>
  <c r="H38" s="1"/>
  <c r="F25"/>
  <c r="G17"/>
  <c r="C17" l="1"/>
  <c r="O25"/>
  <c r="H17"/>
  <c r="F43"/>
  <c r="G39"/>
  <c r="G38" s="1"/>
  <c r="F17"/>
  <c r="E17" l="1"/>
  <c r="E43"/>
  <c r="F39"/>
  <c r="F38" s="1"/>
  <c r="D17" l="1"/>
  <c r="E39"/>
  <c r="E38" s="1"/>
  <c r="O43"/>
  <c r="O17" l="1"/>
  <c r="C130" i="132" l="1"/>
  <c r="C127" l="1"/>
  <c r="C125"/>
  <c r="C123"/>
  <c r="C118"/>
  <c r="O123" l="1"/>
  <c r="M122"/>
  <c r="N122"/>
  <c r="O118"/>
  <c r="O127"/>
  <c r="O125"/>
  <c r="C122"/>
  <c r="M121" l="1"/>
  <c r="N121"/>
  <c r="O122"/>
  <c r="O70"/>
  <c r="O61"/>
  <c r="O57"/>
  <c r="O67" l="1"/>
  <c r="O64"/>
  <c r="O60"/>
  <c r="C34" l="1"/>
  <c r="O34" l="1"/>
  <c r="C25"/>
  <c r="O25" s="1"/>
  <c r="C18" l="1"/>
  <c r="O18" l="1"/>
  <c r="C17"/>
  <c r="O17" s="1"/>
  <c r="O15"/>
  <c r="O14" l="1"/>
  <c r="O13" l="1"/>
  <c r="C13"/>
  <c r="K72" i="123" l="1"/>
  <c r="J72" l="1"/>
  <c r="I72"/>
  <c r="K68"/>
  <c r="J68"/>
  <c r="I68"/>
  <c r="O72" l="1"/>
  <c r="O68"/>
  <c r="I60"/>
  <c r="J60"/>
  <c r="K60" l="1"/>
  <c r="K57"/>
  <c r="J57"/>
  <c r="I57"/>
  <c r="J42" l="1"/>
  <c r="I42"/>
  <c r="K42"/>
  <c r="O57"/>
  <c r="O60"/>
  <c r="O42" l="1"/>
  <c r="K36"/>
  <c r="J36"/>
  <c r="I36"/>
  <c r="O36" l="1"/>
  <c r="K25" l="1"/>
  <c r="J25"/>
  <c r="I25"/>
  <c r="K18"/>
  <c r="J18"/>
  <c r="I18"/>
  <c r="O25" l="1"/>
  <c r="O18"/>
  <c r="K24"/>
  <c r="K17" s="1"/>
  <c r="I24"/>
  <c r="J24"/>
  <c r="J17" s="1"/>
  <c r="K13"/>
  <c r="J13"/>
  <c r="I13"/>
  <c r="I17" l="1"/>
  <c r="O17" s="1"/>
  <c r="O24"/>
  <c r="O13"/>
  <c r="D16" i="134" l="1"/>
  <c r="C16"/>
  <c r="D91" i="88" l="1"/>
  <c r="C91"/>
  <c r="E91" l="1"/>
  <c r="D57"/>
  <c r="D67" s="1"/>
  <c r="C57"/>
  <c r="C67" s="1"/>
  <c r="D50"/>
  <c r="D63" s="1"/>
  <c r="C50" l="1"/>
  <c r="C63" s="1"/>
  <c r="D32"/>
  <c r="C32" l="1"/>
  <c r="D20"/>
  <c r="D42" s="1"/>
  <c r="C42"/>
  <c r="D16"/>
  <c r="C16"/>
  <c r="D65" l="1"/>
  <c r="C65"/>
  <c r="E74" i="17"/>
  <c r="D69" i="88" l="1"/>
  <c r="C69"/>
  <c r="D74" i="17"/>
  <c r="C74" l="1"/>
  <c r="E66"/>
  <c r="D66"/>
  <c r="C66"/>
  <c r="E61"/>
  <c r="D61"/>
  <c r="C61"/>
  <c r="E53"/>
  <c r="D53"/>
  <c r="C53"/>
  <c r="E32" l="1"/>
  <c r="E28" s="1"/>
  <c r="D32" l="1"/>
  <c r="C32"/>
  <c r="D28"/>
  <c r="C28" s="1"/>
  <c r="E22"/>
  <c r="E20" s="1"/>
  <c r="D22"/>
  <c r="C22"/>
  <c r="D20" l="1"/>
  <c r="C20"/>
  <c r="E17" l="1"/>
  <c r="D17" l="1"/>
  <c r="C17" s="1"/>
  <c r="E14" l="1"/>
  <c r="D14" s="1"/>
  <c r="C14" s="1"/>
  <c r="B91" i="93"/>
  <c r="B90"/>
  <c r="F61" l="1"/>
  <c r="E61"/>
  <c r="D61"/>
  <c r="F34"/>
  <c r="E34"/>
  <c r="D34"/>
  <c r="G17"/>
  <c r="F17"/>
  <c r="E17"/>
  <c r="D17"/>
  <c r="H106" i="100"/>
  <c r="G106"/>
  <c r="F106"/>
  <c r="G34" i="93" l="1"/>
  <c r="D179"/>
  <c r="E179"/>
  <c r="F179"/>
  <c r="G61"/>
  <c r="H68" i="100"/>
  <c r="G68"/>
  <c r="F68"/>
  <c r="H48"/>
  <c r="G48"/>
  <c r="F48"/>
  <c r="H20"/>
  <c r="G20"/>
  <c r="F20"/>
  <c r="H58" i="99"/>
  <c r="G58"/>
  <c r="F58"/>
  <c r="H46"/>
  <c r="G46"/>
  <c r="F46"/>
  <c r="H39"/>
  <c r="G39"/>
  <c r="F39"/>
  <c r="H30"/>
  <c r="G30"/>
  <c r="F30"/>
  <c r="H19"/>
  <c r="G19"/>
  <c r="F19"/>
  <c r="H18" i="100" l="1"/>
  <c r="H110" s="1"/>
  <c r="F18"/>
  <c r="G17" i="99"/>
  <c r="H44"/>
  <c r="G44" s="1"/>
  <c r="F44" s="1"/>
  <c r="G18" i="100"/>
  <c r="G110" s="1"/>
  <c r="F110" s="1"/>
  <c r="H17" i="99"/>
  <c r="F17"/>
  <c r="G179" i="93"/>
  <c r="H23" i="98"/>
  <c r="G23"/>
  <c r="H62" i="99" l="1"/>
  <c r="F62"/>
  <c r="G62"/>
  <c r="F23" i="98"/>
  <c r="H20"/>
  <c r="H18" s="1"/>
  <c r="H80" s="1"/>
  <c r="G20"/>
  <c r="G18" s="1"/>
  <c r="G80" s="1"/>
  <c r="F20"/>
  <c r="F18" l="1"/>
  <c r="F80" s="1"/>
  <c r="L14"/>
  <c r="G51" i="13"/>
  <c r="G50" l="1"/>
  <c r="E50"/>
  <c r="C50"/>
  <c r="G48"/>
  <c r="E47"/>
  <c r="C47"/>
  <c r="G47" l="1"/>
  <c r="G45"/>
  <c r="G44" l="1"/>
  <c r="E44"/>
  <c r="C44"/>
  <c r="G42"/>
  <c r="G41"/>
  <c r="E40"/>
  <c r="G38"/>
  <c r="G35"/>
  <c r="G34"/>
  <c r="E37" l="1"/>
  <c r="G40"/>
  <c r="C37"/>
  <c r="G32"/>
  <c r="G31"/>
  <c r="G37" l="1"/>
  <c r="E30"/>
  <c r="G30" l="1"/>
  <c r="C30"/>
  <c r="G26" l="1"/>
  <c r="G25"/>
  <c r="E24"/>
  <c r="C24"/>
  <c r="G24" l="1"/>
  <c r="G19"/>
  <c r="E19"/>
  <c r="C19"/>
  <c r="E17" l="1"/>
  <c r="C17"/>
  <c r="G17"/>
  <c r="C71" i="79"/>
  <c r="C66" l="1"/>
  <c r="C64" l="1"/>
  <c r="D75" l="1"/>
  <c r="D74"/>
  <c r="D73"/>
  <c r="D69"/>
  <c r="D68"/>
  <c r="C58"/>
  <c r="C54"/>
  <c r="C47"/>
  <c r="C40"/>
  <c r="C36"/>
  <c r="D71" l="1"/>
  <c r="C45"/>
  <c r="D66"/>
  <c r="C28"/>
  <c r="C23"/>
  <c r="D64" l="1"/>
  <c r="C26"/>
  <c r="C21"/>
  <c r="C19"/>
  <c r="C17" l="1"/>
  <c r="C49" i="95"/>
  <c r="C41"/>
  <c r="C36"/>
  <c r="C18"/>
  <c r="D78" i="111"/>
  <c r="C78"/>
  <c r="D73"/>
  <c r="C73"/>
  <c r="D68"/>
  <c r="C68"/>
  <c r="D61"/>
  <c r="C61"/>
  <c r="D58" i="79" l="1"/>
  <c r="C66" i="111"/>
  <c r="D66"/>
  <c r="C16" i="95"/>
  <c r="D30" i="79"/>
  <c r="C14"/>
  <c r="D37"/>
  <c r="D29"/>
  <c r="D23"/>
  <c r="D48"/>
  <c r="D36"/>
  <c r="D47"/>
  <c r="D19"/>
  <c r="D55"/>
  <c r="D59"/>
  <c r="D32"/>
  <c r="D50"/>
  <c r="D51"/>
  <c r="D56"/>
  <c r="D31"/>
  <c r="D40"/>
  <c r="D54"/>
  <c r="D38"/>
  <c r="D34"/>
  <c r="D60"/>
  <c r="D28"/>
  <c r="D41"/>
  <c r="D52"/>
  <c r="D21"/>
  <c r="D42"/>
  <c r="D33"/>
  <c r="D43"/>
  <c r="D61"/>
  <c r="C47" i="95"/>
  <c r="D54" i="111"/>
  <c r="C54"/>
  <c r="D33"/>
  <c r="D49" i="79" l="1"/>
  <c r="D17"/>
  <c r="D45"/>
  <c r="D26"/>
  <c r="C13" i="95"/>
  <c r="C33" i="111"/>
  <c r="D29" l="1"/>
  <c r="C29" l="1"/>
  <c r="D23"/>
  <c r="C23" l="1"/>
  <c r="D21"/>
  <c r="C21" l="1"/>
  <c r="D19"/>
  <c r="D16" l="1"/>
  <c r="C19"/>
  <c r="D13" l="1"/>
  <c r="C16"/>
  <c r="D89"/>
  <c r="C13" l="1"/>
  <c r="C89"/>
  <c r="G28" i="13"/>
  <c r="E28"/>
  <c r="C28"/>
  <c r="E15" l="1"/>
  <c r="G15"/>
  <c r="C15"/>
  <c r="F39" l="1"/>
  <c r="D39"/>
  <c r="D20"/>
  <c r="D25"/>
  <c r="D32"/>
  <c r="F26"/>
  <c r="F48"/>
  <c r="F42"/>
  <c r="F25"/>
  <c r="F21"/>
  <c r="D38"/>
  <c r="D41"/>
  <c r="F35"/>
  <c r="F34"/>
  <c r="D26"/>
  <c r="D34"/>
  <c r="D35"/>
  <c r="F31"/>
  <c r="D21"/>
  <c r="F45"/>
  <c r="F32"/>
  <c r="F20"/>
  <c r="F41"/>
  <c r="D51"/>
  <c r="F51"/>
  <c r="D22"/>
  <c r="F38"/>
  <c r="D48"/>
  <c r="D45"/>
  <c r="D42"/>
  <c r="F22"/>
  <c r="D31"/>
  <c r="D24" l="1"/>
  <c r="H39"/>
  <c r="D44"/>
  <c r="H32"/>
  <c r="H25"/>
  <c r="F24"/>
  <c r="F50"/>
  <c r="D47"/>
  <c r="F47"/>
  <c r="H26"/>
  <c r="H35"/>
  <c r="H38"/>
  <c r="H41"/>
  <c r="F33"/>
  <c r="H20"/>
  <c r="H42"/>
  <c r="H51"/>
  <c r="F44"/>
  <c r="H45"/>
  <c r="H34"/>
  <c r="D33"/>
  <c r="F40"/>
  <c r="H21"/>
  <c r="D50"/>
  <c r="H48"/>
  <c r="H22"/>
  <c r="D19"/>
  <c r="D40"/>
  <c r="F19"/>
  <c r="H31"/>
  <c r="H44"/>
  <c r="F37" l="1"/>
  <c r="F30"/>
  <c r="H47"/>
  <c r="D30"/>
  <c r="H50"/>
  <c r="H24"/>
  <c r="H33"/>
  <c r="H40"/>
  <c r="D17"/>
  <c r="D37"/>
  <c r="H19"/>
  <c r="F17"/>
  <c r="H37" l="1"/>
  <c r="F28"/>
  <c r="H17"/>
  <c r="H30"/>
  <c r="D28"/>
  <c r="D68" i="134"/>
  <c r="D70"/>
  <c r="C68"/>
  <c r="C70"/>
  <c r="C121" i="132"/>
  <c r="L56" i="124"/>
  <c r="L38" s="1"/>
  <c r="M56"/>
  <c r="M38" s="1"/>
  <c r="N39"/>
  <c r="N56"/>
  <c r="N38" l="1"/>
  <c r="O121" i="132"/>
  <c r="F15" i="13"/>
  <c r="C72" i="134"/>
  <c r="D15" i="13"/>
  <c r="H28"/>
  <c r="O39" i="124"/>
  <c r="O56"/>
  <c r="D72" i="134"/>
  <c r="O38" i="124" l="1"/>
  <c r="O56" i="132"/>
  <c r="H15" i="13"/>
</calcChain>
</file>

<file path=xl/sharedStrings.xml><?xml version="1.0" encoding="utf-8"?>
<sst xmlns="http://schemas.openxmlformats.org/spreadsheetml/2006/main" count="2156" uniqueCount="976">
  <si>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</si>
  <si>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</si>
  <si>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</si>
  <si>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</si>
  <si>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</si>
  <si>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</si>
  <si>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</si>
  <si>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</si>
  <si>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</si>
  <si>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</si>
  <si>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</si>
  <si>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</si>
  <si>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</si>
  <si>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</si>
  <si>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</si>
  <si>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</si>
  <si>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</si>
  <si>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</si>
  <si>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</si>
  <si>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</si>
  <si>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</si>
  <si>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</si>
  <si>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</si>
  <si>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</si>
  <si>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</si>
  <si>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Discount/EUR/7,82%/2033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</si>
  <si>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</si>
  <si>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</si>
  <si>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</si>
  <si>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</si>
  <si>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</si>
  <si>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</si>
  <si>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</si>
  <si>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</si>
  <si>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</si>
  <si>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</si>
  <si>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</si>
  <si>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</si>
  <si>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</si>
  <si>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</si>
  <si>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</si>
  <si>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</si>
  <si>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</si>
  <si>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</si>
  <si>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</si>
  <si>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</si>
  <si>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</si>
  <si>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</si>
  <si>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</si>
  <si>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</si>
  <si>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</si>
  <si>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</si>
  <si>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</si>
  <si>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</si>
  <si>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</si>
  <si>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</si>
  <si>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</si>
  <si>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</si>
  <si>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</si>
  <si>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</si>
  <si>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</si>
  <si>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</si>
  <si>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</si>
  <si>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</si>
  <si>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</si>
  <si>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</si>
  <si>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</si>
  <si>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</si>
  <si>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</si>
  <si>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</si>
  <si>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</si>
  <si>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</si>
  <si>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</si>
  <si>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</si>
  <si>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</si>
  <si>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</si>
  <si>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</si>
  <si>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</si>
  <si>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</si>
  <si>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</si>
  <si>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</si>
  <si>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</si>
  <si>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</si>
  <si>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</si>
  <si>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</si>
  <si>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</si>
  <si>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</si>
  <si>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</si>
  <si>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</si>
  <si>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</si>
  <si>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</si>
  <si>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</si>
  <si>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</si>
  <si>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</si>
  <si>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</si>
  <si>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</si>
  <si>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</si>
  <si>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</si>
  <si>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</si>
  <si>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</si>
  <si>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</si>
  <si>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</si>
  <si>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</si>
  <si>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</si>
  <si>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</si>
  <si>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</si>
  <si>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</si>
  <si>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</si>
  <si>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</si>
  <si>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SITUACIÓN DE PAGO DIFERIDO</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</si>
  <si>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</si>
  <si>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</si>
  <si>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</si>
  <si>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</si>
  <si>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</si>
  <si>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</si>
  <si>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</si>
  <si>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</si>
  <si>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</si>
  <si>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</si>
  <si>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</si>
  <si>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</si>
  <si>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</si>
  <si>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</si>
  <si>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</si>
  <si>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</si>
  <si>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</si>
  <si>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</si>
  <si>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</si>
  <si>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</si>
  <si>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</si>
  <si>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</si>
  <si>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</si>
  <si>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</si>
  <si>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SECRETARIA DE FINANZAS</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</si>
  <si>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</si>
  <si>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</si>
  <si>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</si>
  <si>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</si>
  <si>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</si>
  <si>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</si>
  <si>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</si>
  <si>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</si>
  <si>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</si>
  <si>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</si>
  <si>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</si>
  <si>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</si>
  <si>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</si>
  <si>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</si>
  <si>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</si>
  <si>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</si>
  <si>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</si>
  <si>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</si>
  <si>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</si>
  <si>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</si>
  <si>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</si>
  <si>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</si>
  <si>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</si>
  <si>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</si>
  <si>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</si>
  <si>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</si>
  <si>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</si>
  <si>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</si>
  <si>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</si>
  <si>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</si>
  <si>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</si>
  <si>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</si>
  <si>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</si>
  <si>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</si>
  <si>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</si>
  <si>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</si>
  <si>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</si>
  <si>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</si>
  <si>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</si>
  <si>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</si>
  <si>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</si>
  <si>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</si>
  <si>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</si>
  <si>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</si>
  <si>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</si>
  <si>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</si>
  <si>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</si>
  <si>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</si>
  <si>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</si>
  <si>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</si>
  <si>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</si>
  <si>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</si>
  <si>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</si>
  <si>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</si>
  <si>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</si>
  <si>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</si>
  <si>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</si>
  <si>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</si>
  <si>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</si>
  <si>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</si>
  <si>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</si>
  <si>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</si>
  <si>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</si>
  <si>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</si>
  <si>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</si>
  <si>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</si>
  <si>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</si>
  <si>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</si>
  <si>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</si>
  <si>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</si>
  <si>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</si>
  <si>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</si>
  <si>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</si>
  <si>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</si>
  <si>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</si>
  <si>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</si>
  <si>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</si>
  <si>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</si>
  <si>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</si>
  <si>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</si>
  <si>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</si>
  <si>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</si>
  <si>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</si>
  <si>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</si>
  <si>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</si>
  <si>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</si>
  <si>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</si>
  <si>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</si>
  <si>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</si>
  <si>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</si>
  <si>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</si>
  <si>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</si>
  <si>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Badlar Bancos Privados + 3,00%</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</si>
  <si>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</si>
  <si>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</si>
  <si>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</si>
  <si>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</si>
  <si>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</si>
  <si>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</si>
  <si>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</si>
  <si>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</si>
  <si>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</si>
  <si>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</si>
  <si>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</si>
  <si>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</si>
  <si>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</si>
  <si>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</si>
  <si>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</si>
  <si>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</si>
  <si>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</si>
  <si>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</si>
  <si>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</si>
  <si>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</si>
  <si>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</si>
  <si>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</si>
  <si>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</si>
  <si>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</si>
  <si>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</si>
  <si>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</si>
  <si>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</si>
  <si>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</si>
  <si>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</si>
  <si>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</si>
  <si>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</si>
  <si>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</si>
  <si>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</si>
  <si>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</si>
  <si>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</si>
  <si>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</si>
  <si>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2 - Amortizaciones y Cancelaciones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</si>
  <si>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</si>
  <si>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</si>
  <si>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</si>
  <si>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</si>
  <si>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</si>
  <si>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</si>
  <si>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</si>
  <si>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</si>
  <si>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</si>
  <si>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</si>
  <si>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</si>
  <si>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</si>
  <si>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</si>
  <si>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</si>
  <si>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</si>
  <si>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</si>
  <si>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</si>
  <si>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</si>
  <si>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</si>
  <si>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</si>
  <si>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</si>
  <si>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</si>
  <si>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</si>
  <si>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</si>
  <si>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</si>
  <si>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</si>
  <si>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</si>
  <si>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</si>
  <si>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</si>
  <si>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</si>
  <si>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</si>
  <si>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</si>
  <si>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</si>
  <si>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</si>
  <si>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</si>
  <si>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</si>
  <si>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</si>
  <si>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</si>
  <si>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</si>
  <si>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</si>
  <si>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</si>
  <si>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</si>
  <si>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</si>
  <si>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</si>
  <si>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 xml:space="preserve"> 1 - Financiamiento</t>
  </si>
  <si>
    <t xml:space="preserve"> a) Financiamiento, neto de amortizaciones ( 1 - 2 )</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</si>
  <si>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</si>
  <si>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</si>
  <si>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</si>
  <si>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</si>
  <si>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</si>
  <si>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</si>
  <si>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</si>
  <si>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</si>
  <si>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</si>
  <si>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</si>
  <si>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</si>
  <si>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</si>
  <si>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</si>
  <si>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</si>
  <si>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</si>
  <si>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</si>
  <si>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</si>
  <si>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</si>
  <si>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</si>
  <si>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</si>
  <si>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</si>
  <si>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</si>
  <si>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</si>
  <si>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</si>
  <si>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</si>
  <si>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</si>
  <si>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</si>
  <si>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</si>
  <si>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</si>
  <si>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</si>
  <si>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</si>
  <si>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</si>
  <si>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</si>
  <si>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</si>
  <si>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</si>
  <si>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</si>
  <si>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</si>
  <si>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</si>
  <si>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</si>
  <si>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</si>
  <si>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</si>
  <si>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</si>
  <si>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(2) No incluye intereses moratorios ni punitorios.</t>
  </si>
  <si>
    <t xml:space="preserve"> Avales</t>
  </si>
  <si>
    <t xml:space="preserve">    TÍTULOS PÚBLICOS Y LETRAS DEL TESORO</t>
  </si>
  <si>
    <t xml:space="preserve">    ANTICIPO - BCRA</t>
  </si>
  <si>
    <t xml:space="preserve">    AVALES</t>
  </si>
  <si>
    <t xml:space="preserve">    BANCA</t>
  </si>
  <si>
    <t xml:space="preserve">    BILATERALES</t>
  </si>
  <si>
    <t xml:space="preserve">    OTROS</t>
  </si>
  <si>
    <t>TÍTULOS PÚBLICOS, LETRAS DEL TESORO, PRÉSTAMOS GARANTIZADOS Y PAGARÉS</t>
  </si>
  <si>
    <t xml:space="preserve">    BANCA COMERCIAL </t>
  </si>
  <si>
    <t xml:space="preserve"> Títulos Públicos </t>
  </si>
  <si>
    <t xml:space="preserve">  Como % del total de servicios (2)</t>
  </si>
  <si>
    <t xml:space="preserve">                Tasa Libo</t>
  </si>
  <si>
    <t xml:space="preserve">  PAGARÉS</t>
  </si>
  <si>
    <t>TOTAL DESEMBOLSOS (I)</t>
  </si>
  <si>
    <t>TOTAL CAPITAL REEMBOLSADO (II)</t>
  </si>
  <si>
    <t>CAPITAL NETO (I) + (II)</t>
  </si>
  <si>
    <t>(1) No incluye estimación del pago eventual por los Valores Negociables Vinculadas al PBI.</t>
  </si>
  <si>
    <t>Pagarés</t>
  </si>
  <si>
    <t>Adelantos Transitorios del BCRA</t>
  </si>
  <si>
    <t>Letras del Tesoro - Organismos Públicos</t>
  </si>
  <si>
    <t>Pagarés del Tesoro</t>
  </si>
  <si>
    <t xml:space="preserve"> - Pagarés del Tesoro</t>
  </si>
  <si>
    <t xml:space="preserve">   PRÉSTAMOS GARANTIZADOS</t>
  </si>
  <si>
    <t xml:space="preserve">     Pagaré 2038 - B.N.A.</t>
  </si>
  <si>
    <t xml:space="preserve">     Pagarés CAMMESA</t>
  </si>
  <si>
    <t>BONAR/U$S/8%/08-10-2020</t>
  </si>
  <si>
    <t xml:space="preserve">    PAGARÉS DEL TESORO</t>
  </si>
  <si>
    <t xml:space="preserve"> POR LEGISLACIÓN, INSTRUMENTO Y SITUACIÓN</t>
  </si>
  <si>
    <t>I- LEGISLACIÓN ARGENTINA</t>
  </si>
  <si>
    <t>PRÉSTAMOS GARANTIZADOS</t>
  </si>
  <si>
    <t>BONOS DE CONSOLIDACIÓN</t>
  </si>
  <si>
    <t>BONOS DE LA REESTRUCTURACIÓN - DTO. 1735/04 y 563/10</t>
  </si>
  <si>
    <t>PRÉSTAMOS TASA FIJA 5,00%</t>
  </si>
  <si>
    <t>BONAR/$/BADLAR+325/01-03-2020</t>
  </si>
  <si>
    <t xml:space="preserve">  Bonos de Consolidación en Moneda Nacional 8va. Serie</t>
  </si>
  <si>
    <t xml:space="preserve">  Bonos de Consolidación en Moneda Nacional ajustable por CER  6ta. Serie</t>
  </si>
  <si>
    <t>. CON CARGO AL MERCADO CENTRAL</t>
  </si>
  <si>
    <t xml:space="preserve">  Capital</t>
  </si>
  <si>
    <t>DEUDA A VENCER</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</si>
  <si>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</si>
  <si>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</si>
  <si>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</si>
  <si>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</si>
  <si>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</si>
  <si>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</si>
  <si>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</si>
  <si>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</si>
  <si>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</si>
  <si>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</si>
  <si>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</si>
  <si>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</si>
  <si>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</si>
  <si>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</si>
  <si>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</si>
  <si>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</si>
  <si>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</si>
  <si>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</si>
  <si>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</si>
  <si>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</si>
  <si>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</si>
  <si>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</si>
  <si>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</si>
  <si>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</si>
  <si>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</si>
  <si>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</si>
  <si>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BIRAD/U$S/6,875%/22-04-2021</t>
  </si>
  <si>
    <t>BIRAD/U$S/7,5%/22-04-2026</t>
  </si>
  <si>
    <t>BIRAD/U$S/7,625%/22-04-2046</t>
  </si>
  <si>
    <t>LETRAS DEL TESORO (1)</t>
  </si>
  <si>
    <t>TASA PROMEDIO PONDERADA (1)</t>
  </si>
  <si>
    <t>(2)  Intereses compensatorios estimados, devengados e impagos con posterioridad a la fecha de vencimiento de cada título.</t>
  </si>
  <si>
    <t>BONAR/U$S/1%/05-08-2023</t>
  </si>
  <si>
    <t>BIRAD/U$S/6,625%/06-07-2028</t>
  </si>
  <si>
    <t>BIRAD/U$S/7,125%/06-07-2036</t>
  </si>
  <si>
    <t>BONCER/$/2,50%+CER/22-07-2021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</si>
  <si>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</si>
  <si>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</si>
  <si>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</si>
  <si>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</si>
  <si>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</si>
  <si>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</si>
  <si>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</si>
  <si>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</si>
  <si>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</si>
  <si>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</si>
  <si>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</si>
  <si>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</si>
  <si>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</si>
  <si>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</si>
  <si>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</si>
  <si>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</si>
  <si>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</si>
  <si>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</si>
  <si>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</si>
  <si>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</si>
  <si>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</si>
  <si>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</si>
  <si>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</si>
  <si>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</si>
  <si>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</si>
  <si>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</si>
  <si>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</si>
  <si>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</si>
  <si>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</si>
  <si>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</si>
  <si>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</si>
  <si>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</si>
  <si>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</si>
  <si>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</si>
  <si>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</si>
  <si>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</si>
  <si>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</si>
  <si>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</si>
  <si>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</si>
  <si>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</si>
  <si>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</si>
  <si>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</si>
  <si>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</si>
  <si>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</si>
  <si>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</si>
  <si>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</si>
  <si>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</si>
  <si>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</si>
  <si>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</si>
  <si>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</si>
  <si>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</si>
  <si>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</si>
  <si>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</si>
  <si>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</si>
  <si>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</si>
  <si>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</si>
  <si>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</si>
  <si>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</si>
  <si>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</si>
  <si>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</si>
  <si>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</si>
  <si>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</si>
  <si>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</si>
  <si>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</si>
  <si>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</si>
  <si>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BONAR/U$S/7,75 %/30-12-2022</t>
  </si>
  <si>
    <t>BONAR/U$S/7,875%/30-12-2025</t>
  </si>
  <si>
    <t>BONAR/U$S/7,875%/30-12-2027</t>
  </si>
  <si>
    <t>GLOBAL BOND/U$S/7%-15,5%/2008</t>
  </si>
  <si>
    <t>GLOBAL BOND/U$S/12,25%/2018</t>
  </si>
  <si>
    <t>GLOBAL BOND/U$S/12%/2031</t>
  </si>
  <si>
    <t>GLOBAL BOND/$/10%-12%/2008</t>
  </si>
  <si>
    <t>DISCOUNT/U$S/L.+0,8125%/2023</t>
  </si>
  <si>
    <t>Julio</t>
  </si>
  <si>
    <t>Agosto</t>
  </si>
  <si>
    <t>Septiembre</t>
  </si>
  <si>
    <t xml:space="preserve">  Interés (2)</t>
  </si>
  <si>
    <t>MINISTERIO DE FINANZAS</t>
  </si>
  <si>
    <t>BONTE/$/15,50%/17-10-2026</t>
  </si>
  <si>
    <t>BONTE/$/16,00%/17-10-2023</t>
  </si>
  <si>
    <t>BONTE/$/18,20%/03-10-2021</t>
  </si>
  <si>
    <t>BONCER/$/2,25%+CER/28-04-2020</t>
  </si>
  <si>
    <t>BIRAE/EUR/3,875%/15-01-2022</t>
  </si>
  <si>
    <t>BIRAE/EUR/5,00%/15-01-2027</t>
  </si>
  <si>
    <t xml:space="preserve">  Consolidación en Efectivo</t>
  </si>
  <si>
    <t>(2) No incluye intereses moratorios ni punitorios.</t>
  </si>
  <si>
    <t>DEUDA DE LA ADMINISTRACIÓN CENTRAL</t>
  </si>
  <si>
    <t xml:space="preserve">   - OFID</t>
  </si>
  <si>
    <t>BIRAD/U$S/5,625%/26-01-2022</t>
  </si>
  <si>
    <t>BIRAD/U$S/6,875%/26-01-2027</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</si>
  <si>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</si>
  <si>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</si>
  <si>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</si>
  <si>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</si>
  <si>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</si>
  <si>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</si>
  <si>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</si>
  <si>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</si>
  <si>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</si>
  <si>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</si>
  <si>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</si>
  <si>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</si>
  <si>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</si>
  <si>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</si>
  <si>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Badlar Bancos Privados + 3,25%</t>
  </si>
  <si>
    <t>BONAR/$/BADLAR+200/03-04-2022</t>
  </si>
  <si>
    <t>Badlar Bancos Privados + 2,00%</t>
  </si>
  <si>
    <t>BOTAPO/$/TPE/21-06-2020</t>
  </si>
  <si>
    <t>Tasa Política Económica</t>
  </si>
  <si>
    <t>BIRAD/U$S/7,125%/28-06-2117</t>
  </si>
  <si>
    <t>BIRAF/CHF/3,375%/12-10-2020</t>
  </si>
  <si>
    <t>BONAR/U$S/5,75%/18-04-2025</t>
  </si>
  <si>
    <t>BONAR/U$S/7,625%/18-04-2037</t>
  </si>
  <si>
    <t xml:space="preserve">     · Deuda no ajustable por CER</t>
  </si>
  <si>
    <r>
      <t>CORTO PLAZO</t>
    </r>
    <r>
      <rPr>
        <b/>
        <i/>
        <sz val="11"/>
        <rFont val="Calibri"/>
        <family val="2"/>
        <scheme val="minor"/>
      </rPr>
      <t xml:space="preserve"> (1)</t>
    </r>
  </si>
  <si>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</si>
  <si>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</si>
  <si>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</si>
  <si>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</si>
  <si>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</si>
  <si>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</si>
  <si>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</si>
  <si>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</si>
  <si>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</si>
  <si>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</si>
  <si>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</si>
  <si>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</si>
  <si>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</si>
  <si>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</si>
  <si>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</si>
  <si>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</si>
  <si>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</si>
  <si>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</si>
  <si>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</si>
  <si>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</si>
  <si>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INTERÉS (2)</t>
  </si>
  <si>
    <t xml:space="preserve">       Adelantos Transitorios BCRA</t>
  </si>
  <si>
    <t>Letras en Garantía</t>
  </si>
  <si>
    <t>SECRETARíA DE FINANZAS</t>
  </si>
  <si>
    <t>(1) Incluye las Letras en Garantía.</t>
  </si>
  <si>
    <t>BOTAPO/$/TPM/21-06-2020</t>
  </si>
  <si>
    <t xml:space="preserve"> Letras en Garantía</t>
  </si>
  <si>
    <t xml:space="preserve">   - BCIE</t>
  </si>
  <si>
    <t xml:space="preserve">    PAGÁRES</t>
  </si>
  <si>
    <t>BIRAE/EUR/3,375%/15-01-2023</t>
  </si>
  <si>
    <t>BIRAE/EUR/5,250%/15-01-2028</t>
  </si>
  <si>
    <t>BIRAE/EUR/6,250%/09-11-2047</t>
  </si>
  <si>
    <t>Titulos del Tesoro</t>
  </si>
  <si>
    <t xml:space="preserve">(2) Incluye: Corona Danesa, Corona Sueca, Dólar Canadiense, Dólar Australiano, Dinar Kuwaití y Dirham de los Emiratos Árabes Unidos. </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</si>
  <si>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</si>
  <si>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</si>
  <si>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</si>
  <si>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</si>
  <si>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</si>
  <si>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</si>
  <si>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</si>
  <si>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</si>
  <si>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</si>
  <si>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</si>
  <si>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</si>
  <si>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</si>
  <si>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</si>
  <si>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</si>
  <si>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</si>
  <si>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</si>
  <si>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</si>
  <si>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</si>
  <si>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</si>
  <si>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</si>
  <si>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</si>
  <si>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</si>
  <si>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</si>
  <si>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</si>
  <si>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</si>
  <si>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</si>
  <si>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</si>
  <si>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</si>
  <si>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 xml:space="preserve">        INTERESES COMPENSATORIOS (4)</t>
  </si>
  <si>
    <t>VI- VALORES NEGOCIABLES VINCULADOS AL PBI (5)</t>
  </si>
  <si>
    <t>VII- ACTIVOS FINANCIEROS (6)</t>
  </si>
  <si>
    <t xml:space="preserve"> (3) Se trata de la deuda elegible y no presentada al canje (Dtos. 1735/04 y 563/10) y no cancelada a la fecha en el marco de los acuerdos contemplados en la Ley n° 27.249.</t>
  </si>
  <si>
    <t>DEUDA ELEGIBLE PENDIENTE DE REESTRUCTURACIÓN (3)</t>
  </si>
  <si>
    <t xml:space="preserve"> (4) Intereses compensatorios estimados, devengados e impagos con posterioridad a la fecha de vencimiento de cada título.</t>
  </si>
  <si>
    <t xml:space="preserve"> - ELEGIBLE PENDIENTE DE REESTRUCTURACIÓN (1)</t>
  </si>
  <si>
    <r>
      <t>VII- VALORES NEGOCIABLES VINCULADOS AL PBI</t>
    </r>
    <r>
      <rPr>
        <b/>
        <i/>
        <sz val="12"/>
        <color indexed="9"/>
        <rFont val="Calibri"/>
        <family val="2"/>
        <scheme val="minor"/>
      </rPr>
      <t xml:space="preserve"> (5)</t>
    </r>
  </si>
  <si>
    <t>(4)  Intereses compensatorios estimados, devengados e impagos con posterioridad a la fecha de vencimiento de cada título.</t>
  </si>
  <si>
    <t xml:space="preserve">(5) Valor remanente total. Es la diferencia entre el máximo a pagar de 48 unidades por cada 100 de valor nocional y la suma de los montos pagados hasta la actualidad, de acuerdo con las condiciones establecidas en las respectivas normas de emisión. </t>
  </si>
  <si>
    <t>VI- DEUDA ELEGIBLE PENDIENTE DE REESTRUCTURACIÓN (3)</t>
  </si>
  <si>
    <t>ACTIVOS FINANCIEROS RELACIONADOS CON DEUDA ELEGIBLE PENDIENTE DE REESTRUCTURACIÓN</t>
  </si>
  <si>
    <t>Fuente: Elaboración propia en base a datos de la Dirección Nacional de Cuentas Nacionales (INDEC), Ministerio de Finanzas y Ministerio de Hacienda.</t>
  </si>
  <si>
    <t>BOGATO/$/1,6012%/CER+4%/6-3-20</t>
  </si>
  <si>
    <t>BONTE/$/17,25%/13-09-2021</t>
  </si>
  <si>
    <t>BIRAD/U$S/4,625%/11-01-2023</t>
  </si>
  <si>
    <t>BIRAD/U$S/5,875%/11-01-2028</t>
  </si>
  <si>
    <t>BIRAD/U$S/6,875%/11-01-2048</t>
  </si>
  <si>
    <t>BONCER/$/4%+CER/06-03-2023</t>
  </si>
  <si>
    <t>Enero</t>
  </si>
  <si>
    <t xml:space="preserve">       Letras en Garantía</t>
  </si>
  <si>
    <t>BONAR/$/BADLAR+200PB/03-04-2022</t>
  </si>
  <si>
    <t>BONAR/$/BADLAR+300PB/23-12-2020</t>
  </si>
  <si>
    <t>BONAR/$/BADLAR+325PB/01-03-2020</t>
  </si>
  <si>
    <t>Tasa Badlar Pública</t>
  </si>
  <si>
    <t>BONAR/U$S/8,75%/07-05-2024</t>
  </si>
  <si>
    <t>PR15/$/BADLAR/04-10-2022</t>
  </si>
  <si>
    <t>BONCER/$+CER/2,50%/22-07-2021</t>
  </si>
  <si>
    <t>BONCER/$+CER/2,25%/28-04-2020</t>
  </si>
  <si>
    <t xml:space="preserve">PAR/$+CER/TASA FIJA/31-12-2038/DTO. 1735-04 </t>
  </si>
  <si>
    <t>PAR/$+CER/TASA FIJA/31-12-2038/DTO. 563-10</t>
  </si>
  <si>
    <t>DISCOUNT/$+CER/5,83%/31-12-2033/DTO. 1735-04</t>
  </si>
  <si>
    <t>DISCOUNT/$+CER/5,83%/31-12-2033/DTO. 563-10</t>
  </si>
  <si>
    <t>CUASIPAR/$+CER/3,31%/31-12-2045/DTO. 1735-04</t>
  </si>
  <si>
    <t>PAR/U$S/TASA FIJA/31-12-2038/DTO. 1735-04/LEY NY</t>
  </si>
  <si>
    <t>PAR/U$S/TASA FIJA/31-12-2038/DTO. 1735-04/LEY ARG</t>
  </si>
  <si>
    <t>PAR/U$S/TASA FIJA/31-12-2038/DTO. 563-10/LEY NY</t>
  </si>
  <si>
    <t>PAR/U$S/TASA FIJA/31-12-2038/DTO. 563-10/LEY ARG</t>
  </si>
  <si>
    <t>PAR/EUR/TASA FIJA/31-12-2038/DTO. 1735-04</t>
  </si>
  <si>
    <t>PAR/EUR/TASA FIJA/31-12-2038/DTO. 563-10</t>
  </si>
  <si>
    <t>PAR/JPY/TASA FIJA/31-12-2038/DTO. 1735-04</t>
  </si>
  <si>
    <t>PAR/JPY/TASA FIJA/31-12-2038/DTO. 563-10</t>
  </si>
  <si>
    <t>DISCOUNT/EUR/7,82%/31-12-2033/DTO. 1735-04</t>
  </si>
  <si>
    <t>DISCOUNT/EUR/7,82%/31-12-2033/DTO. 563-10</t>
  </si>
  <si>
    <t>DISCOUNT/JPY/4,33%/31-12-2033/DTO. 1735-04</t>
  </si>
  <si>
    <t>DISCOUNT/JPY/4,33%/31-12-2033/DTO. 563-10</t>
  </si>
  <si>
    <t>LETRAS EN GARANTIA</t>
  </si>
  <si>
    <t>PAGARE -CAMMESA 2021</t>
  </si>
  <si>
    <t>Libor-1,00%</t>
  </si>
  <si>
    <t xml:space="preserve">   - FMI</t>
  </si>
  <si>
    <t>BONAR/$/6,72763943%/31-12-2028</t>
  </si>
  <si>
    <t>LETRA/U$S/FDA/TITULOS/07-01-2021</t>
  </si>
  <si>
    <t>LETRA/U$S/FDA/TITULOS/20-04-2022</t>
  </si>
  <si>
    <t>LETRA/U$S/FDA/TITULOS/16-01-2023</t>
  </si>
  <si>
    <t>LETRA/U$S/FDA/TITULOS/30-01-2024</t>
  </si>
  <si>
    <t>LETRA/U$S/FDA/TITULOS/01-06-2025</t>
  </si>
  <si>
    <t>LETRA/U$S/FOI/14-03-2021</t>
  </si>
  <si>
    <t>LETRA/U$S/FOI/28-06-2022</t>
  </si>
  <si>
    <t>LETRA/U$S/FOI/18-08-2023</t>
  </si>
  <si>
    <t>LETRA/U$S/FOI/25-08-2024</t>
  </si>
  <si>
    <t>LETRA/U$S/BCRA/29-04-2026</t>
  </si>
  <si>
    <t xml:space="preserve"> . FMI</t>
  </si>
  <si>
    <t>BONCER/$/4%+CER/27-04-2025</t>
  </si>
  <si>
    <t xml:space="preserve">  PRESTAMOS GARANTIZADOS</t>
  </si>
  <si>
    <t xml:space="preserve">  PAGARÈS</t>
  </si>
  <si>
    <t>CORTO PLAZO</t>
  </si>
  <si>
    <t>MEDIANO Y LARGO PLAZO</t>
  </si>
  <si>
    <t xml:space="preserve"> Pagaré 2038 - B.N.A.</t>
  </si>
  <si>
    <t xml:space="preserve"> · Ajustable por CER</t>
  </si>
  <si>
    <t xml:space="preserve"> · No ajustable por CER</t>
  </si>
  <si>
    <t xml:space="preserve"> · Otros</t>
  </si>
  <si>
    <t>BONTE/$/26,00%/21-11-2020</t>
  </si>
  <si>
    <t>BONCER/$+CER/4,00%/06-03-2023</t>
  </si>
  <si>
    <t>BONCER/$+CER/4,00%/27-04-2025</t>
  </si>
  <si>
    <t xml:space="preserve"> (1) Incluye operaciones de hasta un año de plazo.</t>
  </si>
  <si>
    <t>Como % del PIB(*)</t>
  </si>
  <si>
    <t>BONTE/$/26%/21-11-2020</t>
  </si>
  <si>
    <t xml:space="preserve">    TÍTULOS PÚBLICOS</t>
  </si>
  <si>
    <t xml:space="preserve"> Letras en garantía</t>
  </si>
  <si>
    <t xml:space="preserve">  Intereses compensatorios (4)</t>
  </si>
  <si>
    <t xml:space="preserve"> c) Avales netos de cancelaciones</t>
  </si>
  <si>
    <t>LECAP/$/30-09-2019</t>
  </si>
  <si>
    <t>BONAR/$/6,72763943919512%/31-12-2028</t>
  </si>
  <si>
    <t xml:space="preserve">   - BEI</t>
  </si>
  <si>
    <t>BONAR/$/BADLAR+300pb/23-12-2020</t>
  </si>
  <si>
    <t>(4) Intereses compensatorios estimados, devengados e impagos con posterioridad a la fecha de vencimiento de cada bono.</t>
  </si>
  <si>
    <t>(6) Activos Financieros son créditos a favor del Estado Nacional que se originan en operaciones de Crédito Público. Dato provisorio.</t>
  </si>
  <si>
    <t>(3) Se trata de la deuda elegible y no presentada al canje (Dtos. 1735/04 y 563/10) y no cancelada a la fecha en el marco de los acuerdos contemplados en la Ley n° 27.249.</t>
  </si>
  <si>
    <t>(2) Incluye operaciones de hasta un año de plazo.</t>
  </si>
  <si>
    <t>Saldo al 31/12/2018</t>
  </si>
  <si>
    <t>(1) Se trata de la deuda elegible y no presentada al canje (Dtos. 1735/04 y 563/10) y no cancelada a la fecha en el marco de los acuerdos contemplados en la Ley n° 27.249.</t>
  </si>
  <si>
    <t>(2) Intereses compensatorios estimados, devengados e impagos con posterioridad a la fecha de vencimiento de cada título.</t>
  </si>
  <si>
    <t xml:space="preserve">(3) Valor remanente total. Es la diferencia entre el máximo a pagar de 48 unidades por cada 100 de valor nocional y la suma de los montos pagados hasta la actualidad, de acuerdo con las condiciones establecidas en las respectivas normas de emisión. </t>
  </si>
  <si>
    <t xml:space="preserve">     INTERESES COMPENSATORIOS (2)</t>
  </si>
  <si>
    <t xml:space="preserve"> - VALORES NEGOCIABLES VINCULADOS AL PBI (3)</t>
  </si>
  <si>
    <t xml:space="preserve">    - Intereses Compensatorios (4)</t>
  </si>
  <si>
    <t>BONAR 2020/U$S/ 8%/29-05-2020</t>
  </si>
  <si>
    <t>BONCER/$/8,5%+CER/29-11-2022</t>
  </si>
  <si>
    <t>BONAR DUAL/DLK/4,5%/13-02-2020</t>
  </si>
  <si>
    <t>LETRAS EN GARANTÍA</t>
  </si>
  <si>
    <t xml:space="preserve">    LETRAS DEL TESORO </t>
  </si>
  <si>
    <t>LECAP/$/30-04-2020</t>
  </si>
  <si>
    <t>LETRA/DLK/CMEA/21-09-2020</t>
  </si>
  <si>
    <t>BONCER/$+CER/8,50%/29-11-2022</t>
  </si>
  <si>
    <t>BONAR/U$S/8,00%/29-05-2020</t>
  </si>
  <si>
    <t>BONO CONSOLIDADO/$/02-01-2089</t>
  </si>
  <si>
    <t>2018 (1)</t>
  </si>
  <si>
    <t xml:space="preserve">     FUCO</t>
  </si>
  <si>
    <t>BONAR/$/BADLAR+200/08-02-2021</t>
  </si>
  <si>
    <t>LECAP/$/31-07-2020</t>
  </si>
  <si>
    <t>LECAP/$/28-02-2020</t>
  </si>
  <si>
    <t>PR13/$+CER/2,00%/15-03-2024</t>
  </si>
  <si>
    <t>LETES/$+CER/ 30-08-2019</t>
  </si>
  <si>
    <t>LETES/$+CER/ 30-09-2019</t>
  </si>
  <si>
    <t>BONAR/U$S/8,00%/08-10-2020</t>
  </si>
  <si>
    <t>BIRAD/U$S/7,50%/22-04-2026</t>
  </si>
  <si>
    <t>BONAR/U$S/1,00%/05-08-2023</t>
  </si>
  <si>
    <t>Saldo al 31/03/2019</t>
  </si>
  <si>
    <t>BONTE/$/BADLAR+100/08-08-2019</t>
  </si>
  <si>
    <t>ORGANISMOS INTERNACIONALES - FLUJOS NETOS 1993 - 2019</t>
  </si>
  <si>
    <t xml:space="preserve">        Tasa Variable</t>
  </si>
  <si>
    <t>(2) Incluye: Libras esterlinas, Franco Suizo, Corona Danesa, Corona Sueca, Dólar Canadiense, Dinar Kuwaiti, Dólar Australiano y Dirham de Emiratos Árabes Unidos.</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</si>
  <si>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</si>
  <si>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</si>
  <si>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</si>
  <si>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</si>
  <si>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</si>
  <si>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</si>
  <si>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</si>
  <si>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</si>
  <si>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</si>
  <si>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</si>
  <si>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</si>
  <si>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</si>
  <si>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</si>
  <si>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</si>
  <si>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</si>
  <si>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</si>
  <si>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</si>
  <si>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</si>
  <si>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</si>
  <si>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</si>
  <si>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</si>
  <si>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</si>
  <si>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</si>
  <si>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</si>
  <si>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</si>
  <si>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 DEUDA ELEGIBLE PENDIENTE DE REESTRUCTURACIÓN (3)</t>
  </si>
  <si>
    <t>VIII- DEUDA NETA (II - VII)</t>
  </si>
  <si>
    <t>II- DEUDA BRUTA ( III+IV+V+VI )</t>
  </si>
  <si>
    <t>IV- DEUDA EN SITUACIÓN DE PAGO DIFERIDO</t>
  </si>
  <si>
    <t>DEUDA EN SITUACIÓN DE PAGO DIFERIDO</t>
  </si>
  <si>
    <t>Deuda elegible pendiente de reestructuración</t>
  </si>
  <si>
    <t>V- DEUDA EN SITUACIÓN DE PAGO DIFERIDO</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</si>
  <si>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</si>
  <si>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</si>
  <si>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</si>
  <si>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</si>
  <si>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</si>
  <si>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</si>
  <si>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</si>
  <si>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</si>
  <si>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</si>
  <si>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</si>
  <si>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</si>
  <si>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</si>
  <si>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</si>
  <si>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</si>
  <si>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mensual de vencimientos de capital de la Deuda Bruta de la Administración Central, desagregado por instrumento - 2020</t>
  </si>
  <si>
    <t>Perfil mensual de vencimientos de interés de la Deuda Bruta de la Administración Central, desagregado por instrumento - 2020</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</si>
  <si>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</si>
  <si>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</si>
  <si>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</si>
  <si>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</si>
  <si>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</si>
  <si>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</si>
  <si>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</si>
  <si>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</si>
  <si>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</si>
  <si>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</si>
  <si>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</si>
  <si>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</si>
  <si>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</si>
  <si>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</si>
  <si>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</si>
  <si>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</si>
  <si>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I - DEUDA BRUTA (EXCLUIDA LA ELEGIBLE PENDIENTE DE REESTRUCTURACIÓN), AL 31/12/2018</t>
  </si>
  <si>
    <t>II - DEUDA ELEGIBLE PENDIENTE DE REESTRUCTURACIÓN, AL 31/12/2018</t>
  </si>
  <si>
    <t>III - DEUDA BRUTA, AL 31/12/2018 (I + II)</t>
  </si>
  <si>
    <t>(3) DLK: Instrumentos emitidos en u$s que se pagan en Pesos de acuerdo a la normativa de emisión.</t>
  </si>
  <si>
    <t>U$S</t>
  </si>
  <si>
    <t>U$S / Peso</t>
  </si>
  <si>
    <t>(3) A partir del año 2050 el total de servicios corresponde al Bono del Tesoro Consolidado 2089 y al Bono Internacional U$S 2117.</t>
  </si>
  <si>
    <t xml:space="preserve"> GARANTÍAS PLAN BRADY  (2)</t>
  </si>
  <si>
    <t>(2) Datos provisorios</t>
  </si>
  <si>
    <t>DISCOUNT/USD/8,28%/31-12-2033/DTO. 1735-04/LEY NY</t>
  </si>
  <si>
    <t>DISCOUNT/USD/8,28%/31-12-2033/DTO. 1735-04/LEY ARG</t>
  </si>
  <si>
    <t>DISCOUNT/USD/8,28%/31-12-2033/DTO. 563-10/LEY NY</t>
  </si>
  <si>
    <t>DISCOUNT/USD/8,28%/31-12-2033/DTO. 563-10/LEY ARG</t>
  </si>
  <si>
    <t>LETES/U$S/31-01-2020</t>
  </si>
  <si>
    <t>LETES/U$S/17-01-2020</t>
  </si>
  <si>
    <t>Saldo al 30/06/2019</t>
  </si>
  <si>
    <t>A.2.4</t>
  </si>
  <si>
    <t xml:space="preserve">Deuda Bruta de la Administración Central - Flujos y variaciones acumulados 2019  </t>
  </si>
  <si>
    <t>BONOS PGN 2021/DLK/28-06-2021</t>
  </si>
  <si>
    <t>Bonos Internacionales</t>
  </si>
  <si>
    <t>Títulos del Tesoro</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</si>
  <si>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</si>
  <si>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</si>
  <si>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</si>
  <si>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</si>
  <si>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</si>
  <si>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</si>
  <si>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</si>
  <si>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EUR- LEY INGLRESA (TVPE)</t>
  </si>
  <si>
    <t xml:space="preserve"> YEN- LEY JAPONESA </t>
  </si>
  <si>
    <t>BONOS</t>
  </si>
  <si>
    <t xml:space="preserve">  AVALES</t>
  </si>
  <si>
    <t>Avales</t>
  </si>
  <si>
    <t>BONAR/DLK/4,50% U$S/13-02-2020 (3)</t>
  </si>
  <si>
    <t>BOGATO/$/CER+4%/06-03-2020</t>
  </si>
  <si>
    <t xml:space="preserve"> - Avales</t>
  </si>
  <si>
    <t>2051-2117 (2)</t>
  </si>
  <si>
    <t>(2) A partir del año 2051 el total de servicios corresponde a los vencimientos del Bono del Tesoro Consolidado $ 2089 y del Bono Internacional de la República Argentina u$s 2117.</t>
  </si>
  <si>
    <t>BONOS PGN/DLK/28-06-2021</t>
  </si>
  <si>
    <t>5. LETRAS DEL TESORO</t>
  </si>
  <si>
    <t>6. AVALES</t>
  </si>
  <si>
    <t>7. DEUDA EN SITUACIÓN DE PAGO DIFERIDO</t>
  </si>
  <si>
    <t>Otras Operaciones (Bajas Ley n° 27.249, amparos y excepciones y otros ajustes)</t>
  </si>
  <si>
    <t>III- ORGANISMOS INTERNACIONALES - CON CARGO A PROVINCIAS</t>
  </si>
  <si>
    <t>LETRA/$/FFSIT/20-01-2020</t>
  </si>
  <si>
    <t>LETRA/$/FFSIT/12-02-2020</t>
  </si>
  <si>
    <t>LETRA/$/FFSIT/16-03-2020</t>
  </si>
  <si>
    <t>LETRA/$/FGS/13-03-2020</t>
  </si>
  <si>
    <t>LETRA/$/SRT/24-08-2020</t>
  </si>
  <si>
    <t>LETES/U$S/14-02-2020</t>
  </si>
  <si>
    <t>LETES/U$S/28-02-2020</t>
  </si>
  <si>
    <t>LETRA/U$S/MENDOZA/28-10-2024</t>
  </si>
  <si>
    <t>LETRA/U$S/FGS/13-03-2020</t>
  </si>
  <si>
    <t>Saldo al 30/09/2019</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</si>
  <si>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</si>
  <si>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</si>
  <si>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</si>
  <si>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</si>
  <si>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</si>
  <si>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</si>
  <si>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</si>
  <si>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</si>
  <si>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</si>
  <si>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 En moneda nacional ajustable por CER</t>
  </si>
  <si>
    <t xml:space="preserve">BONAR/U$S/7,625%/18-04-2037 </t>
  </si>
  <si>
    <t xml:space="preserve">   Pagarés CAMMESA</t>
  </si>
  <si>
    <t>BIRAD/U$S/6,25%/22-04-2019</t>
  </si>
  <si>
    <t>Deuda al 31/12/2019: nivel y composición</t>
  </si>
  <si>
    <t>Vencimientos de capital e interés de la deuda al 31-12-2019 proyectados</t>
  </si>
  <si>
    <t>Perfil mensual de vencimientos de capital e interés de la Deuda Bruta de la Administración Central - 01/2020 a 12/2020</t>
  </si>
  <si>
    <t xml:space="preserve">Deuda Bruta de la Administración Central - Serie de saldos trimestrales - 4to. Trimestre 2018/4to. Trimestre 2019  </t>
  </si>
  <si>
    <t xml:space="preserve">Deuda Bruta de la Administración Central - Flujos y variaciones 4to. Trimestre 2019  </t>
  </si>
  <si>
    <t>Perfil mensual de vencimientos de capital de la Deuda Bruta de la Administración Central, desagregado por instrumento - 2021</t>
  </si>
  <si>
    <t>Perfil mensual de vencimientos de interés de la Deuda Bruta de la Administración Central, desagregado por instrumento - 2021</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</si>
  <si>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</si>
  <si>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</si>
  <si>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</si>
  <si>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</si>
  <si>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</si>
  <si>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</si>
  <si>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</si>
  <si>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</si>
  <si>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</si>
  <si>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</si>
  <si>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</si>
  <si>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ATRASOS PENDIENTE DE REESTRUCTURACIÓN</t>
  </si>
  <si>
    <t>IV- TOTAL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</si>
  <si>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</si>
  <si>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</si>
  <si>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</si>
  <si>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</si>
  <si>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</si>
  <si>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</si>
  <si>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A.2.5</t>
  </si>
  <si>
    <t>Serie de la Deuda del Sector Público Nacional por año - 1992/2019</t>
  </si>
  <si>
    <t>Datos al 31/12/2019</t>
  </si>
  <si>
    <r>
      <t>(1) Nota Metodológica:</t>
    </r>
    <r>
      <rPr>
        <sz val="10"/>
        <rFont val="Calibri"/>
        <family val="2"/>
        <scheme val="minor"/>
      </rPr>
      <t xml:space="preserve"> Cálculo realizado sobre la deuda en situación de pago normal. Se aplican las tasas de referencia vigentes al 31/12/2019, incluyendo la tasa "plena" en aquellos instrumentos que capitalizan parte de los intereses que devengan.</t>
    </r>
  </si>
  <si>
    <t>MINISTERIO DE ECONOMÍA</t>
  </si>
  <si>
    <t>4to. TRIMESTRE DE 2019</t>
  </si>
  <si>
    <t>I - DEUDA BRUTA (EXCLUIDA LA ELEGIBLE PENDIENTE DE REESTRUCTURACIÓN), AL 30/09/2019</t>
  </si>
  <si>
    <t>II - DEUDA ELEGIBLE PENDIENTE DE REESTRUCTURACIÓN, AL 30/09/2019</t>
  </si>
  <si>
    <t>III - DEUDA BRUTA, AL 30/09/2019 (I + II)</t>
  </si>
  <si>
    <t>V - DEUDA BRUTA, AL 31/12/2019 (III + IV)</t>
  </si>
  <si>
    <t>VI - DEUDA ELEGIBLE PENDIENTE DE REESTRUCTURACIÓN, AL 31/12/2019</t>
  </si>
  <si>
    <t>VII - DEUDA BRUTA (EXCLUIDA LA ELEGIBLE PENDIENTE DE REESTRUCTURACIÓN), AL 31/12/2019 (V - VI)</t>
  </si>
  <si>
    <r>
      <t>Otras Operaciones (Registro CCF, amparos y excepciones y otros ajustes</t>
    </r>
    <r>
      <rPr>
        <b/>
        <sz val="10"/>
        <rFont val="Calibri"/>
        <family val="2"/>
        <scheme val="minor"/>
      </rPr>
      <t xml:space="preserve"> (1)</t>
    </r>
    <r>
      <rPr>
        <sz val="10"/>
        <rFont val="Calibri"/>
        <family val="2"/>
        <scheme val="minor"/>
      </rPr>
      <t>)</t>
    </r>
  </si>
  <si>
    <t>Financiamiento Banco Nación</t>
  </si>
  <si>
    <t>Letras Intransferibles</t>
  </si>
  <si>
    <t xml:space="preserve"> d) Letras en garantía</t>
  </si>
  <si>
    <t xml:space="preserve"> e) Ajustes de valuación - Excluyendo la deuda elegible pendiente de reestructuración</t>
  </si>
  <si>
    <t xml:space="preserve"> f) Ajustes de valuación sobre deuda elegible pendiente de reestructuración</t>
  </si>
  <si>
    <t>IV - TOTAL VARIACIONES (a+b+c+d+e+f)</t>
  </si>
  <si>
    <r>
      <rPr>
        <b/>
        <sz val="10"/>
        <color indexed="8"/>
        <rFont val="Times New Roman"/>
        <family val="1"/>
      </rPr>
      <t xml:space="preserve"> (1)</t>
    </r>
    <r>
      <rPr>
        <sz val="10"/>
        <color indexed="8"/>
        <rFont val="Times New Roman"/>
        <family val="1"/>
      </rPr>
      <t xml:space="preserve"> EX-2019-102447651- -APN-DGD#MHA / u$s 2.016.035.590,86 corresponden a la actualización del registro de instrumentos de la deuda pública indirecta - Avales otorgados y/o endosados a favor de distintas entidades.</t>
    </r>
  </si>
  <si>
    <r>
      <t xml:space="preserve">Otras Operaciones (Registro CCF, amparos y excepciones y otros ajustes </t>
    </r>
    <r>
      <rPr>
        <b/>
        <sz val="10"/>
        <rFont val="Calibri"/>
        <family val="2"/>
        <scheme val="minor"/>
      </rPr>
      <t>(1)</t>
    </r>
    <r>
      <rPr>
        <sz val="10"/>
        <rFont val="Calibri"/>
        <family val="2"/>
        <scheme val="minor"/>
      </rPr>
      <t>)</t>
    </r>
  </si>
  <si>
    <t>ACUMULADO ENERO 2019 - DICIEMBRE 2019</t>
  </si>
  <si>
    <t>Saldo al 31/12/2019</t>
  </si>
  <si>
    <t>Stock al 31/12/2019</t>
  </si>
  <si>
    <t>En millones de u$s - Stock y tipo de cambio al 31/12/2019</t>
  </si>
  <si>
    <t>2025 y +</t>
  </si>
  <si>
    <t>(En miles de U$S - Tipo de cambio 31/12/2019)</t>
  </si>
  <si>
    <t>(2) Como porcentaje del total de los servicios proyectados (capital mas interés) para el período 01/01/2020 - 31/12/2117.</t>
  </si>
  <si>
    <t>. En moneda nacional no ajustable por CER</t>
  </si>
  <si>
    <t xml:space="preserve">     Pagaré CUT</t>
  </si>
  <si>
    <t>(En millones de U$S - Stock de deuda y tipo de cambio 31/12/19)</t>
  </si>
  <si>
    <t>PERIODO PROYECTADO ENERO 2020 A DICIEMBRE 2020</t>
  </si>
  <si>
    <t>2030/2117 (3)</t>
  </si>
  <si>
    <t>DATOS AL 31/12/2019</t>
  </si>
  <si>
    <t>LETES/$/BADLAR+300PB/22-06-20</t>
  </si>
  <si>
    <t>LETES/$/BADLAR+200PB/03-04-20</t>
  </si>
  <si>
    <t>LETRA/$/FGS/01-04-2020</t>
  </si>
  <si>
    <t>LETRA/$/FGS/30-04-2020</t>
  </si>
  <si>
    <t>LETRA/$/FGS/27-05-2020</t>
  </si>
  <si>
    <t>LETRA/$/FGS/23-06-2020</t>
  </si>
  <si>
    <t xml:space="preserve">LECAP/$/31-10-2019 </t>
  </si>
  <si>
    <t>LECAP/$/29-05-2020</t>
  </si>
  <si>
    <t xml:space="preserve">LECAP/$/30/08/2019 </t>
  </si>
  <si>
    <t>LECAP/$/13/09/2019</t>
  </si>
  <si>
    <t xml:space="preserve">LECAP/$/11-10-2019 </t>
  </si>
  <si>
    <t xml:space="preserve">LECAP/$/15-11-2019 </t>
  </si>
  <si>
    <t>LETRA/$/INTRASP/15-04-2020</t>
  </si>
  <si>
    <t>PAGARE CUT 2019-MIN.INTERIOR</t>
  </si>
  <si>
    <t>PAGARE CUT 2019-INTA</t>
  </si>
  <si>
    <t>PAGARE CUT 2019-SUP.SEGUROS</t>
  </si>
  <si>
    <t>LETRA/U$S/FGS/01-04-2020</t>
  </si>
  <si>
    <t>LETRA/U$S/FGS/17-04-2020</t>
  </si>
  <si>
    <t>LETRA/U$S/FGS/30-04-2020</t>
  </si>
  <si>
    <t>LETRA/U$S/FGS/27-05-2020</t>
  </si>
  <si>
    <t>LETES/U$S/30-08-2019 (R)</t>
  </si>
  <si>
    <t>LETES/U$S/13-09-2019 (R)</t>
  </si>
  <si>
    <t>LETES/U$S/27-09-2019 (R)</t>
  </si>
  <si>
    <t>LETES/U$S/11-10-2019 (R)</t>
  </si>
  <si>
    <t>LETES/U$S/25-10-2019 (R)</t>
  </si>
  <si>
    <t>LETES/U$S/15-11-2019 (R)</t>
  </si>
  <si>
    <t>LETES/U$S/29-11-2019 (R)</t>
  </si>
  <si>
    <t>LETES/U$S/20-12-2019 (R)</t>
  </si>
  <si>
    <t>LETRA/U$S/INTRA SP/15-04-2020</t>
  </si>
  <si>
    <t>LETRA/U$S/BCRA/2029</t>
  </si>
  <si>
    <t xml:space="preserve"> . En moneda nacional no ajustable por CER</t>
  </si>
  <si>
    <t>Pagaré CUT</t>
  </si>
  <si>
    <t>Pagarés CAMMESA</t>
  </si>
  <si>
    <t>ACUMULADO AL 31/12/2019</t>
  </si>
  <si>
    <t>Valor actualizado en miles de u$s al 31/12/2019</t>
  </si>
  <si>
    <t>. En moneda extranjera</t>
  </si>
  <si>
    <t xml:space="preserve"> · Bonos de Consolidación</t>
  </si>
  <si>
    <t>· Otros</t>
  </si>
  <si>
    <t xml:space="preserve"> Pagaré CUT</t>
  </si>
  <si>
    <t>Tasa Badlar Pública + 5,00%</t>
  </si>
  <si>
    <t>LETRA/$/FGS/17-04-2020</t>
  </si>
  <si>
    <t xml:space="preserve">LETRA/DLK/4,25%/04-09-2019 </t>
  </si>
  <si>
    <t xml:space="preserve">LETRA/DLK/4,25%/03-10-2019 </t>
  </si>
  <si>
    <t xml:space="preserve">LETRA/DLK/4,25%/05-11-2019 </t>
  </si>
  <si>
    <t xml:space="preserve">LETRA/DLK/4,25%/04-12-2019 </t>
  </si>
  <si>
    <t>LETRA/$/INTRA SP/05-05-2020</t>
  </si>
  <si>
    <t>(1) Valor nominal original (VNO) menos amortizaciones vencidas. Surge de multiplicar el VNO por el valor residual al 31-12-2019.</t>
  </si>
  <si>
    <t>(2) Surge de multiplicar el valor nominal residual por el coeficiente de capitalización al 31-12-2019.</t>
  </si>
  <si>
    <t>(2) Valor nominal original (VNO) menos amortizaciones vencidas.  Surge de multiplicar el VNO por el valor residual al 31-12-2019.</t>
  </si>
  <si>
    <t>(3) Surge de multiplicar el valor nominal residual por el coeficiente de capitalización y el coeficiente de estabilización de referencia al 31-12-2019.</t>
  </si>
  <si>
    <t>(1) Valor nominal original (VNO) menos amortizaciones vencidas.  Surge de multiplicar el VNO por el valor residual al 31-12-2019.</t>
  </si>
  <si>
    <t>2019 (1)</t>
  </si>
  <si>
    <t>AL 31/12/2019</t>
  </si>
  <si>
    <t xml:space="preserve">               -      </t>
  </si>
  <si>
    <t xml:space="preserve">                   -      </t>
  </si>
  <si>
    <t>(1) El cálculo no incluye la deuda elegible y no presentada al canje (Dtos. 1735/04 y 563/10) y no cancelada a la fecha en el marco de los acuerdos contemplados en la Ley n° 27.249, a excepción del ratio "Deuda Bruta de la Administración Central".</t>
  </si>
  <si>
    <t>2051-2117</t>
  </si>
</sst>
</file>

<file path=xl/styles.xml><?xml version="1.0" encoding="utf-8"?>
<styleSheet xmlns="http://schemas.openxmlformats.org/spreadsheetml/2006/main">
  <numFmts count="58">
    <numFmt numFmtId="43" formatCode="_ * #,##0.00_ ;_ * \-#,##0.00_ ;_ * &quot;-&quot;??_ ;_ @_ "/>
    <numFmt numFmtId="164" formatCode="_-* #,##0\ _€_-;\-* #,##0\ _€_-;_-* &quot;-&quot;\ _€_-;_-@_-"/>
    <numFmt numFmtId="165" formatCode="_-* #,##0.00\ _€_-;\-* #,##0.00\ _€_-;_-* &quot;-&quot;??\ _€_-;_-@_-"/>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00_-;\-* #,##0.00_-;_-* &quot;-&quot;??_-;_-@_-"/>
    <numFmt numFmtId="171" formatCode="_-* #,##0\ _P_t_a_-;\-* #,##0\ _P_t_a_-;_-* &quot;-&quot;\ _P_t_a_-;_-@_-"/>
    <numFmt numFmtId="172" formatCode="_-* #,##0\ _P_t_s_-;\-* #,##0\ _P_t_s_-;_-* &quot;-&quot;\ _P_t_s_-;_-@_-"/>
    <numFmt numFmtId="173" formatCode="_-* #,##0.00\ _P_t_s_-;\-* #,##0.00\ _P_t_s_-;_-* &quot;-&quot;??\ _P_t_s_-;_-@_-"/>
    <numFmt numFmtId="174" formatCode="_-* #,##0.00\ _$_-;\-* #,##0.00\ _$_-;_-* &quot;-&quot;??\ _$_-;_-@_-"/>
    <numFmt numFmtId="175" formatCode="_-* #,##0.00\ _P_t_s_-;\-* #,##0.00\ _P_t_s_-;_-* &quot;-&quot;\ _P_t_s_-;_-@_-"/>
    <numFmt numFmtId="176" formatCode="_-* #,##0_-;\-* #,##0_-;_-* &quot;-&quot;??_-;_-@_-"/>
    <numFmt numFmtId="177" formatCode="0.00_)"/>
    <numFmt numFmtId="178" formatCode="0.0%"/>
    <numFmt numFmtId="179" formatCode="_-* #,##0.0000\ _P_t_s_-;\-* #,##0.0000\ _P_t_s_-;_-* &quot;-&quot;\ _P_t_s_-;_-@_-"/>
    <numFmt numFmtId="180" formatCode="#,##0,;\-\ #,##0,;&quot;--- &quot;"/>
    <numFmt numFmtId="181" formatCode="#,##0,,;\-\ #,##0,,;&quot;--- &quot;"/>
    <numFmt numFmtId="182" formatCode="#,##0.00_);\(#,##0.00\);&quot; --- &quot;"/>
    <numFmt numFmtId="183" formatCode="_(* #,##0.0000000_);_(* \(#,##0.0000000\);_(* &quot;-&quot;??_);_(@_)"/>
    <numFmt numFmtId="184" formatCode="[$-C0A]d\-mmm\-yy;@"/>
    <numFmt numFmtId="185" formatCode="_-* #,##0\ _€_-;\-* #,##0\ _€_-;_-* &quot;-&quot;??\ _€_-;_-@_-"/>
    <numFmt numFmtId="186" formatCode="#,##0.0"/>
    <numFmt numFmtId="187" formatCode="_-* #,##0.000\ _P_t_s_-;\-* #,##0.000\ _P_t_s_-;_-* &quot;-&quot;\ _P_t_s_-;_-@_-"/>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_(* #,##0.000_);_(* \(#,##0.000\);_(* &quot;-&quot;_);_(@_)"/>
    <numFmt numFmtId="197" formatCode="0.00000"/>
    <numFmt numFmtId="198" formatCode="_-* #,##0.00\ [$€]_-;\-* #,##0.00\ [$€]_-;_-* &quot;-&quot;??\ [$€]_-;_-@_-"/>
    <numFmt numFmtId="199" formatCode="_ * #,##0.00_ ;_ * \-#,##0.00_ ;_ * &quot;-&quot;????_ ;_ @_ "/>
    <numFmt numFmtId="200" formatCode="_ * #,##0_ ;_ * \-#,##0_ ;_ * &quot;-&quot;??_ ;_ @_ "/>
    <numFmt numFmtId="201" formatCode="_-* #,##0.0\ _P_t_a_-;\-* #,##0.0\ _P_t_a_-;_-* &quot;-&quot;??\ _P_t_a_-;_-@_-"/>
    <numFmt numFmtId="202" formatCode="_-* #,##0.0000000\ _P_t_a_-;\-* #,##0.0000000\ _P_t_a_-;_-* &quot;-&quot;??\ _P_t_a_-;_-@_-"/>
    <numFmt numFmtId="203" formatCode="_-* #,##0.000000\ _P_t_s_-;\-* #,##0.000000\ _P_t_s_-;_-* &quot;-&quot;??\ _P_t_s_-;_-@_-"/>
    <numFmt numFmtId="204" formatCode="0.000%"/>
    <numFmt numFmtId="205" formatCode="_-* #,##0.0000\ _P_t_s_-;\-* #,##0.0000\ _P_t_s_-;_-* &quot;-&quot;??\ _P_t_s_-;_-@_-"/>
    <numFmt numFmtId="206" formatCode="_ * #,##0.00000_ ;_ * \-#,##0.00000_ ;_ * &quot;-&quot;_ ;_ @_ "/>
    <numFmt numFmtId="207" formatCode="_-* #,##0.000\ _P_t_s_-;\-* #,##0.000\ _P_t_s_-;_-* &quot;-&quot;??\ _P_t_s_-;_-@_-"/>
    <numFmt numFmtId="208" formatCode="_-* #,##0.0000000\ _P_t_s_-;\-* #,##0.0000000\ _P_t_s_-;_-* &quot;-&quot;??\ _P_t_s_-;_-@_-"/>
    <numFmt numFmtId="209" formatCode="_-* #,##0.0000000000\ _P_t_s_-;\-* #,##0.0000000000\ _P_t_s_-;_-* &quot;-&quot;??\ _P_t_s_-;_-@_-"/>
    <numFmt numFmtId="210" formatCode="_-* #,##0.00\ _P_t_a_-;\-* #,##0.00\ _P_t_a_-;_-* &quot;-&quot;\ _P_t_a_-;_-@_-"/>
    <numFmt numFmtId="211" formatCode="#,##0_ ;\-#,##0\ "/>
    <numFmt numFmtId="212" formatCode="0.0000%"/>
    <numFmt numFmtId="213" formatCode="0.00000000000000%"/>
    <numFmt numFmtId="214" formatCode="_-* #,##0.00000\ _P_t_s_-;\-* #,##0.00000\ _P_t_s_-;_-* &quot;-&quot;??\ _P_t_s_-;_-@_-"/>
    <numFmt numFmtId="215" formatCode="_-* #,##0.000000000000\ _P_t_s_-;\-* #,##0.000000000000\ _P_t_s_-;_-* &quot;-&quot;??\ _P_t_s_-;_-@_-"/>
    <numFmt numFmtId="216" formatCode="0.00000000000"/>
    <numFmt numFmtId="217" formatCode="_-* #,##0.00000000000\ _P_t_s_-;\-* #,##0.00000000000\ _P_t_s_-;_-* &quot;-&quot;??\ _P_t_s_-;_-@_-"/>
    <numFmt numFmtId="218" formatCode="_-* #,##0_-;\-* #,##0_-;_-* &quot;-&quot;_-;_-@_-"/>
    <numFmt numFmtId="219" formatCode="_-* #,##0.0000_-;\-* #,##0.0000_-;_-* &quot;-&quot;??_-;_-@_-"/>
    <numFmt numFmtId="220" formatCode="_-* #,##0.000\ _P_t_a_-;\-* #,##0.000\ _P_t_a_-;_-* &quot;-&quot;\ _P_t_a_-;_-@_-"/>
  </numFmts>
  <fonts count="15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0"/>
      <name val="Calibri"/>
      <family val="2"/>
      <scheme val="minor"/>
    </font>
    <font>
      <u/>
      <sz val="10"/>
      <color indexed="12"/>
      <name val="Calibri"/>
      <family val="2"/>
      <scheme val="minor"/>
    </font>
    <font>
      <b/>
      <sz val="11"/>
      <name val="Calibri"/>
      <family val="2"/>
      <scheme val="minor"/>
    </font>
    <font>
      <sz val="8"/>
      <name val="Calibri"/>
      <family val="2"/>
      <scheme val="minor"/>
    </font>
    <font>
      <b/>
      <sz val="13"/>
      <name val="Calibri"/>
      <family val="2"/>
      <scheme val="minor"/>
    </font>
    <font>
      <sz val="10"/>
      <color theme="0"/>
      <name val="Calibri"/>
      <family val="2"/>
      <scheme val="minor"/>
    </font>
    <font>
      <u/>
      <sz val="10"/>
      <name val="Calibri"/>
      <family val="2"/>
      <scheme val="minor"/>
    </font>
    <font>
      <b/>
      <sz val="12"/>
      <name val="Calibri"/>
      <family val="2"/>
      <scheme val="minor"/>
    </font>
    <font>
      <b/>
      <sz val="10"/>
      <name val="Calibri"/>
      <family val="2"/>
      <scheme val="minor"/>
    </font>
    <font>
      <b/>
      <u/>
      <sz val="10"/>
      <name val="Calibri"/>
      <family val="2"/>
      <scheme val="minor"/>
    </font>
    <font>
      <sz val="10"/>
      <color indexed="10"/>
      <name val="Calibri"/>
      <family val="2"/>
      <scheme val="minor"/>
    </font>
    <font>
      <sz val="10"/>
      <color indexed="8"/>
      <name val="Calibri"/>
      <family val="2"/>
      <scheme val="minor"/>
    </font>
    <font>
      <b/>
      <sz val="11"/>
      <color indexed="9"/>
      <name val="Calibri"/>
      <family val="2"/>
      <scheme val="minor"/>
    </font>
    <font>
      <b/>
      <sz val="10"/>
      <color indexed="9"/>
      <name val="Calibri"/>
      <family val="2"/>
      <scheme val="minor"/>
    </font>
    <font>
      <b/>
      <sz val="12"/>
      <color indexed="9"/>
      <name val="Calibri"/>
      <family val="2"/>
      <scheme val="minor"/>
    </font>
    <font>
      <sz val="9"/>
      <name val="Calibri"/>
      <family val="2"/>
      <scheme val="minor"/>
    </font>
    <font>
      <b/>
      <i/>
      <sz val="10"/>
      <name val="Calibri"/>
      <family val="2"/>
      <scheme val="minor"/>
    </font>
    <font>
      <b/>
      <sz val="8"/>
      <name val="Calibri"/>
      <family val="2"/>
      <scheme val="minor"/>
    </font>
    <font>
      <b/>
      <u/>
      <sz val="12"/>
      <color indexed="9"/>
      <name val="Calibri"/>
      <family val="2"/>
      <scheme val="minor"/>
    </font>
    <font>
      <sz val="11"/>
      <name val="Calibri"/>
      <family val="2"/>
      <scheme val="minor"/>
    </font>
    <font>
      <sz val="11"/>
      <color indexed="9"/>
      <name val="Calibri"/>
      <family val="2"/>
      <scheme val="minor"/>
    </font>
    <font>
      <b/>
      <u/>
      <sz val="11"/>
      <color indexed="9"/>
      <name val="Calibri"/>
      <family val="2"/>
      <scheme val="minor"/>
    </font>
    <font>
      <b/>
      <u/>
      <sz val="11"/>
      <name val="Calibri"/>
      <family val="2"/>
      <scheme val="minor"/>
    </font>
    <font>
      <i/>
      <sz val="12"/>
      <name val="Calibri"/>
      <family val="2"/>
      <scheme val="minor"/>
    </font>
    <font>
      <sz val="12"/>
      <name val="Calibri"/>
      <family val="2"/>
      <scheme val="minor"/>
    </font>
    <font>
      <i/>
      <sz val="10"/>
      <name val="Calibri"/>
      <family val="2"/>
      <scheme val="minor"/>
    </font>
    <font>
      <b/>
      <sz val="13"/>
      <color indexed="8"/>
      <name val="Calibri"/>
      <family val="2"/>
      <scheme val="minor"/>
    </font>
    <font>
      <sz val="8"/>
      <color indexed="8"/>
      <name val="Calibri"/>
      <family val="2"/>
      <scheme val="minor"/>
    </font>
    <font>
      <sz val="11"/>
      <color indexed="8"/>
      <name val="Calibri"/>
      <family val="2"/>
      <scheme val="minor"/>
    </font>
    <font>
      <sz val="11"/>
      <color indexed="10"/>
      <name val="Calibri"/>
      <family val="2"/>
      <scheme val="minor"/>
    </font>
    <font>
      <b/>
      <sz val="11"/>
      <color indexed="8"/>
      <name val="Calibri"/>
      <family val="2"/>
      <scheme val="minor"/>
    </font>
    <font>
      <sz val="10"/>
      <color rgb="FFFF0000"/>
      <name val="Calibri"/>
      <family val="2"/>
      <scheme val="minor"/>
    </font>
    <font>
      <b/>
      <sz val="10"/>
      <color rgb="FFFF0000"/>
      <name val="Calibri"/>
      <family val="2"/>
      <scheme val="minor"/>
    </font>
    <font>
      <sz val="8.5"/>
      <name val="Calibri"/>
      <family val="2"/>
      <scheme val="minor"/>
    </font>
    <font>
      <b/>
      <sz val="11"/>
      <color theme="0"/>
      <name val="Calibri"/>
      <family val="2"/>
      <scheme val="minor"/>
    </font>
    <font>
      <sz val="11"/>
      <color theme="0"/>
      <name val="Calibri"/>
      <family val="2"/>
      <scheme val="minor"/>
    </font>
    <font>
      <b/>
      <i/>
      <sz val="13"/>
      <color theme="0"/>
      <name val="Calibri"/>
      <family val="2"/>
      <scheme val="minor"/>
    </font>
    <font>
      <b/>
      <i/>
      <sz val="13"/>
      <color indexed="9"/>
      <name val="Calibri"/>
      <family val="2"/>
      <scheme val="minor"/>
    </font>
    <font>
      <b/>
      <i/>
      <u/>
      <sz val="12"/>
      <color indexed="9"/>
      <name val="Calibri"/>
      <family val="2"/>
      <scheme val="minor"/>
    </font>
    <font>
      <b/>
      <sz val="10"/>
      <color indexed="10"/>
      <name val="Calibri"/>
      <family val="2"/>
      <scheme val="minor"/>
    </font>
    <font>
      <b/>
      <sz val="12"/>
      <color rgb="FFFF0000"/>
      <name val="Calibri"/>
      <family val="2"/>
      <scheme val="minor"/>
    </font>
    <font>
      <b/>
      <i/>
      <u/>
      <sz val="11"/>
      <name val="Calibri"/>
      <family val="2"/>
      <scheme val="minor"/>
    </font>
    <font>
      <sz val="10"/>
      <color indexed="53"/>
      <name val="Calibri"/>
      <family val="2"/>
      <scheme val="minor"/>
    </font>
    <font>
      <b/>
      <i/>
      <u/>
      <sz val="10"/>
      <name val="Calibri"/>
      <family val="2"/>
      <scheme val="minor"/>
    </font>
    <font>
      <b/>
      <i/>
      <u/>
      <sz val="11"/>
      <color theme="1"/>
      <name val="Calibri"/>
      <family val="2"/>
      <scheme val="minor"/>
    </font>
    <font>
      <b/>
      <u/>
      <sz val="11"/>
      <color theme="1"/>
      <name val="Calibri"/>
      <family val="2"/>
      <scheme val="minor"/>
    </font>
    <font>
      <b/>
      <sz val="11"/>
      <color theme="1"/>
      <name val="Calibri"/>
      <family val="2"/>
      <scheme val="minor"/>
    </font>
    <font>
      <i/>
      <sz val="11"/>
      <name val="Calibri"/>
      <family val="2"/>
      <scheme val="minor"/>
    </font>
    <font>
      <b/>
      <sz val="12"/>
      <color theme="0"/>
      <name val="Calibri"/>
      <family val="2"/>
      <scheme val="minor"/>
    </font>
    <font>
      <b/>
      <i/>
      <sz val="11"/>
      <color indexed="9"/>
      <name val="Calibri"/>
      <family val="2"/>
      <scheme val="minor"/>
    </font>
    <font>
      <b/>
      <sz val="13"/>
      <color indexed="9"/>
      <name val="Calibri"/>
      <family val="2"/>
      <scheme val="minor"/>
    </font>
    <font>
      <sz val="13"/>
      <name val="Calibri"/>
      <family val="2"/>
      <scheme val="minor"/>
    </font>
    <font>
      <b/>
      <i/>
      <sz val="10"/>
      <color indexed="9"/>
      <name val="Calibri"/>
      <family val="2"/>
      <scheme val="minor"/>
    </font>
    <font>
      <b/>
      <sz val="25"/>
      <name val="Calibri"/>
      <family val="2"/>
      <scheme val="minor"/>
    </font>
    <font>
      <b/>
      <u/>
      <sz val="15"/>
      <color indexed="9"/>
      <name val="Calibri"/>
      <family val="2"/>
      <scheme val="minor"/>
    </font>
    <font>
      <sz val="11"/>
      <color theme="0"/>
      <name val="Arial"/>
      <family val="2"/>
    </font>
    <font>
      <b/>
      <sz val="9"/>
      <name val="Calibri"/>
      <family val="2"/>
      <scheme val="minor"/>
    </font>
    <font>
      <b/>
      <i/>
      <sz val="12"/>
      <color indexed="9"/>
      <name val="Calibri"/>
      <family val="2"/>
      <scheme val="minor"/>
    </font>
    <font>
      <b/>
      <i/>
      <sz val="11"/>
      <color theme="0"/>
      <name val="Calibri"/>
      <family val="2"/>
      <scheme val="minor"/>
    </font>
    <font>
      <b/>
      <sz val="13"/>
      <color theme="0"/>
      <name val="Calibri"/>
      <family val="2"/>
      <scheme val="minor"/>
    </font>
    <font>
      <b/>
      <i/>
      <sz val="11"/>
      <name val="Calibri"/>
      <family val="2"/>
      <scheme val="minor"/>
    </font>
    <font>
      <b/>
      <i/>
      <sz val="9"/>
      <name val="Calibri"/>
      <family val="2"/>
      <scheme val="minor"/>
    </font>
    <font>
      <b/>
      <i/>
      <u/>
      <sz val="12"/>
      <name val="Calibri"/>
      <family val="2"/>
      <scheme val="minor"/>
    </font>
    <font>
      <sz val="12"/>
      <color indexed="8"/>
      <name val="Calibri"/>
      <family val="2"/>
      <scheme val="minor"/>
    </font>
    <font>
      <b/>
      <i/>
      <sz val="12"/>
      <name val="Calibri"/>
      <family val="2"/>
      <scheme val="minor"/>
    </font>
    <font>
      <sz val="9"/>
      <color indexed="9"/>
      <name val="Calibri"/>
      <family val="2"/>
      <scheme val="minor"/>
    </font>
    <font>
      <sz val="9"/>
      <color theme="1"/>
      <name val="Calibri"/>
      <family val="2"/>
      <scheme val="minor"/>
    </font>
    <font>
      <u/>
      <sz val="11"/>
      <color indexed="12"/>
      <name val="Calibri"/>
      <family val="2"/>
      <scheme val="minor"/>
    </font>
    <font>
      <sz val="11"/>
      <color rgb="FFFF0000"/>
      <name val="Calibri"/>
      <family val="2"/>
      <scheme val="minor"/>
    </font>
    <font>
      <sz val="9"/>
      <name val="Times New Roman"/>
      <family val="1"/>
    </font>
    <font>
      <b/>
      <sz val="11"/>
      <color theme="0"/>
      <name val="Arial"/>
      <family val="2"/>
    </font>
    <font>
      <b/>
      <sz val="10"/>
      <name val="Times New Roman"/>
      <family val="1"/>
    </font>
    <font>
      <sz val="11"/>
      <name val="Calibri"/>
      <family val="2"/>
    </font>
    <font>
      <i/>
      <sz val="10"/>
      <name val="Calibri"/>
      <family val="2"/>
    </font>
    <font>
      <b/>
      <sz val="12"/>
      <name val="Calibri"/>
      <family val="2"/>
    </font>
    <font>
      <i/>
      <sz val="11"/>
      <color rgb="FFFF0000"/>
      <name val="Calibri"/>
      <family val="2"/>
      <scheme val="minor"/>
    </font>
    <font>
      <u/>
      <sz val="11"/>
      <name val="Calibri"/>
      <family val="2"/>
      <scheme val="minor"/>
    </font>
    <font>
      <i/>
      <u/>
      <sz val="11"/>
      <name val="Calibri"/>
      <family val="2"/>
      <scheme val="minor"/>
    </font>
    <font>
      <sz val="10"/>
      <color theme="1"/>
      <name val="Calibri"/>
      <family val="2"/>
      <scheme val="minor"/>
    </font>
    <font>
      <i/>
      <sz val="11"/>
      <name val="Times New Roman"/>
      <family val="1"/>
    </font>
    <font>
      <b/>
      <i/>
      <u/>
      <sz val="10"/>
      <color theme="1"/>
      <name val="Calibri"/>
      <family val="2"/>
      <scheme val="minor"/>
    </font>
    <font>
      <b/>
      <sz val="10"/>
      <color theme="1"/>
      <name val="Calibri"/>
      <family val="2"/>
      <scheme val="minor"/>
    </font>
    <font>
      <b/>
      <i/>
      <sz val="10"/>
      <color theme="1"/>
      <name val="Calibri"/>
      <family val="2"/>
      <scheme val="minor"/>
    </font>
    <font>
      <b/>
      <sz val="10"/>
      <color theme="0"/>
      <name val="Calibri"/>
      <family val="2"/>
      <scheme val="minor"/>
    </font>
    <font>
      <b/>
      <sz val="11"/>
      <name val="Times New Roman"/>
      <family val="1"/>
    </font>
    <font>
      <b/>
      <i/>
      <sz val="13"/>
      <name val="Calibri"/>
      <family val="2"/>
      <scheme val="minor"/>
    </font>
    <font>
      <b/>
      <sz val="14"/>
      <name val="Calibri"/>
      <family val="2"/>
      <scheme val="minor"/>
    </font>
    <font>
      <b/>
      <i/>
      <sz val="16"/>
      <color indexed="9"/>
      <name val="Calibri"/>
      <family val="2"/>
      <scheme val="minor"/>
    </font>
    <font>
      <sz val="16"/>
      <name val="Calibri"/>
      <family val="2"/>
      <scheme val="minor"/>
    </font>
    <font>
      <b/>
      <sz val="16"/>
      <color indexed="9"/>
      <name val="Calibri"/>
      <family val="2"/>
      <scheme val="minor"/>
    </font>
    <font>
      <b/>
      <sz val="16"/>
      <name val="Calibri"/>
      <family val="2"/>
      <scheme val="minor"/>
    </font>
    <font>
      <b/>
      <sz val="16"/>
      <color theme="0"/>
      <name val="Calibri"/>
      <family val="2"/>
      <scheme val="minor"/>
    </font>
    <font>
      <sz val="10"/>
      <color indexed="8"/>
      <name val="Times New Roman"/>
      <family val="1"/>
    </font>
    <font>
      <b/>
      <sz val="10"/>
      <color indexed="8"/>
      <name val="Times New Roman"/>
      <family val="1"/>
    </font>
    <font>
      <b/>
      <i/>
      <sz val="12"/>
      <color theme="0"/>
      <name val="Calibri"/>
      <family val="2"/>
      <scheme val="minor"/>
    </font>
  </fonts>
  <fills count="3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indexed="9"/>
        <bgColor indexed="8"/>
      </patternFill>
    </fill>
    <fill>
      <patternFill patternType="solid">
        <fgColor theme="4" tint="-0.249977111117893"/>
        <bgColor indexed="64"/>
      </patternFill>
    </fill>
    <fill>
      <patternFill patternType="solid">
        <fgColor theme="0" tint="-4.9989318521683403E-2"/>
        <bgColor indexed="64"/>
      </patternFill>
    </fill>
  </fills>
  <borders count="10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right style="thin">
        <color indexed="22"/>
      </right>
      <top/>
      <bottom/>
      <diagonal/>
    </border>
    <border>
      <left style="double">
        <color indexed="64"/>
      </left>
      <right style="thin">
        <color indexed="64"/>
      </right>
      <top style="thin">
        <color indexed="64"/>
      </top>
      <bottom style="thin">
        <color indexed="64"/>
      </bottom>
      <diagonal/>
    </border>
    <border>
      <left/>
      <right style="thin">
        <color indexed="64"/>
      </right>
      <top style="double">
        <color indexed="64"/>
      </top>
      <bottom style="double">
        <color indexed="64"/>
      </bottom>
      <diagonal/>
    </border>
    <border>
      <left/>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right style="double">
        <color indexed="64"/>
      </right>
      <top style="double">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s>
  <cellStyleXfs count="509">
    <xf numFmtId="0" fontId="0" fillId="0" borderId="0" applyNumberFormat="0" applyFill="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4"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6" borderId="0" applyNumberFormat="0" applyBorder="0" applyAlignment="0" applyProtection="0"/>
    <xf numFmtId="0" fontId="27" fillId="5" borderId="0" applyNumberFormat="0" applyBorder="0" applyAlignment="0" applyProtection="0"/>
    <xf numFmtId="0" fontId="13" fillId="6" borderId="0" applyNumberFormat="0" applyBorder="0" applyAlignment="0" applyProtection="0"/>
    <xf numFmtId="0" fontId="13" fillId="3" borderId="0" applyNumberFormat="0" applyBorder="0" applyAlignment="0" applyProtection="0"/>
    <xf numFmtId="0" fontId="13" fillId="11" borderId="0" applyNumberFormat="0" applyBorder="0" applyAlignment="0" applyProtection="0"/>
    <xf numFmtId="0" fontId="13" fillId="8" borderId="0" applyNumberFormat="0" applyBorder="0" applyAlignment="0" applyProtection="0"/>
    <xf numFmtId="0" fontId="13" fillId="6" borderId="0" applyNumberFormat="0" applyBorder="0" applyAlignment="0" applyProtection="0"/>
    <xf numFmtId="0" fontId="13" fillId="4" borderId="0" applyNumberFormat="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12" borderId="0" applyNumberFormat="0" applyBorder="0" applyAlignment="0" applyProtection="0"/>
    <xf numFmtId="0" fontId="27" fillId="10" borderId="0" applyNumberFormat="0" applyBorder="0" applyAlignment="0" applyProtection="0"/>
    <xf numFmtId="0" fontId="27" fillId="2" borderId="0" applyNumberFormat="0" applyBorder="0" applyAlignment="0" applyProtection="0"/>
    <xf numFmtId="0" fontId="27" fillId="13" borderId="0" applyNumberFormat="0" applyBorder="0" applyAlignment="0" applyProtection="0"/>
    <xf numFmtId="0" fontId="57" fillId="6" borderId="0" applyNumberFormat="0" applyBorder="0" applyAlignment="0" applyProtection="0"/>
    <xf numFmtId="0" fontId="57" fillId="14" borderId="0" applyNumberFormat="0" applyBorder="0" applyAlignment="0" applyProtection="0"/>
    <xf numFmtId="0" fontId="57" fillId="13" borderId="0" applyNumberFormat="0" applyBorder="0" applyAlignment="0" applyProtection="0"/>
    <xf numFmtId="0" fontId="57" fillId="8" borderId="0" applyNumberFormat="0" applyBorder="0" applyAlignment="0" applyProtection="0"/>
    <xf numFmtId="0" fontId="57" fillId="6" borderId="0" applyNumberFormat="0" applyBorder="0" applyAlignment="0" applyProtection="0"/>
    <xf numFmtId="0" fontId="57" fillId="3"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57" fillId="19" borderId="0" applyNumberFormat="0" applyBorder="0" applyAlignment="0" applyProtection="0"/>
    <xf numFmtId="0" fontId="57" fillId="14" borderId="0" applyNumberFormat="0" applyBorder="0" applyAlignment="0" applyProtection="0"/>
    <xf numFmtId="0" fontId="57" fillId="13" borderId="0" applyNumberFormat="0" applyBorder="0" applyAlignment="0" applyProtection="0"/>
    <xf numFmtId="0" fontId="57" fillId="20" borderId="0" applyNumberFormat="0" applyBorder="0" applyAlignment="0" applyProtection="0"/>
    <xf numFmtId="0" fontId="57" fillId="17" borderId="0" applyNumberFormat="0" applyBorder="0" applyAlignment="0" applyProtection="0"/>
    <xf numFmtId="0" fontId="57" fillId="21" borderId="0" applyNumberFormat="0" applyBorder="0" applyAlignment="0" applyProtection="0"/>
    <xf numFmtId="0" fontId="15" fillId="0" borderId="0" applyNumberFormat="0" applyFill="0" applyBorder="0" applyAlignment="0" applyProtection="0"/>
    <xf numFmtId="0" fontId="49" fillId="10" borderId="0" applyNumberFormat="0" applyBorder="0" applyAlignment="0" applyProtection="0"/>
    <xf numFmtId="0" fontId="29" fillId="9" borderId="0" applyNumberFormat="0" applyBorder="0" applyAlignment="0" applyProtection="0"/>
    <xf numFmtId="0" fontId="52" fillId="22" borderId="1" applyNumberFormat="0" applyAlignment="0" applyProtection="0"/>
    <xf numFmtId="0" fontId="30" fillId="23" borderId="1" applyNumberFormat="0" applyAlignment="0" applyProtection="0"/>
    <xf numFmtId="0" fontId="31" fillId="24" borderId="2" applyNumberFormat="0" applyAlignment="0" applyProtection="0"/>
    <xf numFmtId="0" fontId="32" fillId="0" borderId="3" applyNumberFormat="0" applyFill="0" applyAlignment="0" applyProtection="0"/>
    <xf numFmtId="0" fontId="54" fillId="24" borderId="2" applyNumberFormat="0" applyAlignment="0" applyProtection="0"/>
    <xf numFmtId="167" fontId="15" fillId="0" borderId="0" applyFont="0" applyFill="0" applyBorder="0" applyAlignment="0" applyProtection="0"/>
    <xf numFmtId="3" fontId="18" fillId="0" borderId="0" applyFont="0" applyFill="0" applyBorder="0" applyAlignment="0" applyProtection="0"/>
    <xf numFmtId="183" fontId="15" fillId="0" borderId="0" applyFont="0" applyFill="0" applyBorder="0" applyAlignment="0" applyProtection="0"/>
    <xf numFmtId="180" fontId="22" fillId="0" borderId="0" applyFont="0" applyFill="0" applyBorder="0" applyAlignment="0" applyProtection="0"/>
    <xf numFmtId="181" fontId="22" fillId="0" borderId="0" applyFont="0" applyFill="0" applyBorder="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15" fillId="0" borderId="0" applyFont="0" applyFill="0" applyBorder="0" applyAlignment="0" applyProtection="0"/>
    <xf numFmtId="0" fontId="56" fillId="0" borderId="0" applyNumberFormat="0" applyFill="0" applyBorder="0" applyAlignment="0" applyProtection="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19" fillId="0" borderId="0"/>
    <xf numFmtId="0" fontId="48" fillId="6" borderId="0" applyNumberFormat="0" applyBorder="0" applyAlignment="0" applyProtection="0"/>
    <xf numFmtId="0" fontId="45" fillId="0" borderId="4"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0" applyNumberFormat="0" applyFill="0" applyBorder="0" applyAlignment="0" applyProtection="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5" fillId="8" borderId="0" applyNumberFormat="0" applyBorder="0" applyAlignment="0" applyProtection="0"/>
    <xf numFmtId="0" fontId="50" fillId="11" borderId="1" applyNumberFormat="0" applyAlignment="0" applyProtection="0"/>
    <xf numFmtId="15" fontId="15" fillId="0" borderId="0"/>
    <xf numFmtId="0" fontId="53" fillId="0" borderId="7" applyNumberFormat="0" applyFill="0" applyAlignment="0" applyProtection="0"/>
    <xf numFmtId="173" fontId="15" fillId="0" borderId="0" applyFont="0" applyFill="0" applyBorder="0" applyAlignment="0" applyProtection="0"/>
    <xf numFmtId="172" fontId="15" fillId="0" borderId="0" applyFont="0" applyFill="0" applyBorder="0" applyAlignment="0" applyProtection="0"/>
    <xf numFmtId="4" fontId="24" fillId="0" borderId="0" applyFont="0" applyFill="0" applyBorder="0" applyAlignment="0" applyProtection="0"/>
    <xf numFmtId="0" fontId="36" fillId="11" borderId="0" applyNumberFormat="0" applyBorder="0" applyAlignment="0" applyProtection="0"/>
    <xf numFmtId="0" fontId="16" fillId="0" borderId="0"/>
    <xf numFmtId="0" fontId="15" fillId="0" borderId="0"/>
    <xf numFmtId="0" fontId="15" fillId="0" borderId="0"/>
    <xf numFmtId="0" fontId="27" fillId="4" borderId="8" applyNumberFormat="0" applyFont="0" applyAlignment="0" applyProtection="0"/>
    <xf numFmtId="0" fontId="15" fillId="4" borderId="8" applyNumberFormat="0" applyFont="0" applyAlignment="0" applyProtection="0"/>
    <xf numFmtId="182" fontId="14" fillId="0" borderId="0" applyFont="0" applyFill="0" applyBorder="0" applyAlignment="0" applyProtection="0"/>
    <xf numFmtId="188" fontId="26" fillId="0" borderId="0">
      <protection locked="0"/>
    </xf>
    <xf numFmtId="0" fontId="51" fillId="22" borderId="9" applyNumberFormat="0" applyAlignment="0" applyProtection="0"/>
    <xf numFmtId="9" fontId="15" fillId="0" borderId="0" applyFont="0" applyFill="0" applyBorder="0" applyAlignment="0" applyProtection="0"/>
    <xf numFmtId="0" fontId="37" fillId="23"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4"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43" fillId="0" borderId="13" applyNumberFormat="0" applyFill="0" applyAlignment="0" applyProtection="0"/>
    <xf numFmtId="0" fontId="19" fillId="0" borderId="0"/>
    <xf numFmtId="0" fontId="55" fillId="0" borderId="0" applyNumberFormat="0" applyFill="0" applyBorder="0" applyAlignment="0" applyProtection="0"/>
    <xf numFmtId="0" fontId="28" fillId="14" borderId="0" applyNumberFormat="0" applyBorder="0" applyAlignment="0" applyProtection="0"/>
    <xf numFmtId="0" fontId="28" fillId="19"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28" fillId="3" borderId="0" applyNumberFormat="0" applyBorder="0" applyAlignment="0" applyProtection="0"/>
    <xf numFmtId="0" fontId="28" fillId="6" borderId="0" applyNumberFormat="0" applyBorder="0" applyAlignment="0" applyProtection="0"/>
    <xf numFmtId="0" fontId="28" fillId="8" borderId="0" applyNumberFormat="0" applyBorder="0" applyAlignment="0" applyProtection="0"/>
    <xf numFmtId="0" fontId="28" fillId="13"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2" borderId="0" applyNumberFormat="0" applyBorder="0" applyAlignment="0" applyProtection="0"/>
    <xf numFmtId="0" fontId="13" fillId="13" borderId="0" applyNumberFormat="0" applyBorder="0" applyAlignment="0" applyProtection="0"/>
    <xf numFmtId="0" fontId="28" fillId="6" borderId="0" applyNumberFormat="0" applyBorder="0" applyAlignment="0" applyProtection="0"/>
    <xf numFmtId="0" fontId="28" fillId="14"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6" borderId="0" applyNumberFormat="0" applyBorder="0" applyAlignment="0" applyProtection="0"/>
    <xf numFmtId="0" fontId="28" fillId="3"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4" borderId="0" applyNumberFormat="0" applyBorder="0" applyAlignment="0" applyProtection="0"/>
    <xf numFmtId="0" fontId="28" fillId="13" borderId="0" applyNumberFormat="0" applyBorder="0" applyAlignment="0" applyProtection="0"/>
    <xf numFmtId="0" fontId="28" fillId="20"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14" borderId="0" applyNumberFormat="0" applyBorder="0" applyAlignment="0" applyProtection="0"/>
    <xf numFmtId="0" fontId="35" fillId="10" borderId="0" applyNumberFormat="0" applyBorder="0" applyAlignment="0" applyProtection="0"/>
    <xf numFmtId="0" fontId="29" fillId="9" borderId="0" applyNumberFormat="0" applyBorder="0" applyAlignment="0" applyProtection="0"/>
    <xf numFmtId="0" fontId="28" fillId="6" borderId="0" applyNumberFormat="0" applyBorder="0" applyAlignment="0" applyProtection="0"/>
    <xf numFmtId="0" fontId="30" fillId="23" borderId="1" applyNumberFormat="0" applyAlignment="0" applyProtection="0"/>
    <xf numFmtId="0" fontId="31" fillId="24" borderId="2" applyNumberFormat="0" applyAlignment="0" applyProtection="0"/>
    <xf numFmtId="0" fontId="32" fillId="0" borderId="3" applyNumberFormat="0" applyFill="0" applyAlignment="0" applyProtection="0"/>
    <xf numFmtId="0" fontId="31" fillId="24" borderId="2" applyNumberFormat="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39" fillId="0" borderId="0" applyNumberFormat="0" applyFill="0" applyBorder="0" applyAlignment="0" applyProtection="0"/>
    <xf numFmtId="0" fontId="37" fillId="22" borderId="9" applyNumberFormat="0" applyAlignment="0" applyProtection="0"/>
    <xf numFmtId="0" fontId="29" fillId="6" borderId="0" applyNumberFormat="0" applyBorder="0" applyAlignment="0" applyProtection="0"/>
    <xf numFmtId="0" fontId="28" fillId="17" borderId="0" applyNumberFormat="0" applyBorder="0" applyAlignment="0" applyProtection="0"/>
    <xf numFmtId="0" fontId="35" fillId="8" borderId="0" applyNumberFormat="0" applyBorder="0" applyAlignment="0" applyProtection="0"/>
    <xf numFmtId="0" fontId="34" fillId="11" borderId="1" applyNumberFormat="0" applyAlignment="0" applyProtection="0"/>
    <xf numFmtId="0" fontId="28" fillId="14" borderId="0" applyNumberFormat="0" applyBorder="0" applyAlignment="0" applyProtection="0"/>
    <xf numFmtId="0" fontId="38" fillId="0" borderId="7" applyNumberFormat="0" applyFill="0" applyAlignment="0" applyProtection="0"/>
    <xf numFmtId="4" fontId="17" fillId="0" borderId="0" applyFont="0" applyFill="0" applyBorder="0" applyAlignment="0" applyProtection="0"/>
    <xf numFmtId="0" fontId="36" fillId="11" borderId="0" applyNumberFormat="0" applyBorder="0" applyAlignment="0" applyProtection="0"/>
    <xf numFmtId="0" fontId="28" fillId="19" borderId="0" applyNumberFormat="0" applyBorder="0" applyAlignment="0" applyProtection="0"/>
    <xf numFmtId="0" fontId="13" fillId="4" borderId="8" applyNumberFormat="0" applyFont="0" applyAlignment="0" applyProtection="0"/>
    <xf numFmtId="0" fontId="37" fillId="22" borderId="9" applyNumberFormat="0" applyAlignment="0" applyProtection="0"/>
    <xf numFmtId="0" fontId="37" fillId="23"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43" fillId="0" borderId="13" applyNumberFormat="0" applyFill="0" applyAlignment="0" applyProtection="0"/>
    <xf numFmtId="0" fontId="38" fillId="0" borderId="0" applyNumberFormat="0" applyFill="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23" borderId="1" applyNumberFormat="0" applyAlignment="0" applyProtection="0"/>
    <xf numFmtId="0" fontId="30" fillId="23" borderId="1" applyNumberFormat="0" applyAlignment="0" applyProtection="0"/>
    <xf numFmtId="0" fontId="30" fillId="23" borderId="1" applyNumberFormat="0" applyAlignment="0" applyProtection="0"/>
    <xf numFmtId="0" fontId="31" fillId="24" borderId="2" applyNumberFormat="0" applyAlignment="0" applyProtection="0"/>
    <xf numFmtId="0" fontId="31" fillId="24" borderId="2" applyNumberFormat="0" applyAlignment="0" applyProtection="0"/>
    <xf numFmtId="0" fontId="31" fillId="24" borderId="2" applyNumberFormat="0" applyAlignment="0" applyProtection="0"/>
    <xf numFmtId="0" fontId="32" fillId="0" borderId="3" applyNumberFormat="0" applyFill="0" applyAlignment="0" applyProtection="0"/>
    <xf numFmtId="0" fontId="32" fillId="0" borderId="3" applyNumberFormat="0" applyFill="0" applyAlignment="0" applyProtection="0"/>
    <xf numFmtId="0" fontId="32" fillId="0" borderId="3" applyNumberFormat="0" applyFill="0" applyAlignment="0" applyProtection="0"/>
    <xf numFmtId="167" fontId="15" fillId="0" borderId="0" applyFont="0" applyFill="0" applyBorder="0" applyAlignment="0" applyProtection="0"/>
    <xf numFmtId="169" fontId="15" fillId="0" borderId="0" applyFont="0" applyFill="0" applyBorder="0" applyAlignment="0" applyProtection="0"/>
    <xf numFmtId="166" fontId="15" fillId="0" borderId="0" applyFont="0" applyFill="0" applyBorder="0" applyAlignment="0" applyProtection="0"/>
    <xf numFmtId="168" fontId="15"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34" fillId="5" borderId="1" applyNumberFormat="0" applyAlignment="0" applyProtection="0"/>
    <xf numFmtId="0" fontId="34" fillId="5" borderId="1" applyNumberFormat="0" applyAlignment="0" applyProtection="0"/>
    <xf numFmtId="0" fontId="15" fillId="0" borderId="0" applyNumberFormat="0" applyFill="0" applyBorder="0" applyAlignment="0" applyProtection="0">
      <alignment vertical="top"/>
      <protection locked="0"/>
    </xf>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12" fillId="0" borderId="0"/>
    <xf numFmtId="0" fontId="12" fillId="0" borderId="0"/>
    <xf numFmtId="0" fontId="13" fillId="4" borderId="8" applyNumberFormat="0" applyFont="0" applyAlignment="0" applyProtection="0"/>
    <xf numFmtId="0" fontId="13" fillId="4" borderId="8" applyNumberFormat="0" applyFont="0" applyAlignment="0" applyProtection="0"/>
    <xf numFmtId="0" fontId="13" fillId="4" borderId="8" applyNumberFormat="0" applyFont="0" applyAlignment="0" applyProtection="0"/>
    <xf numFmtId="182" fontId="58"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0" fontId="37" fillId="23" borderId="9" applyNumberFormat="0" applyAlignment="0" applyProtection="0"/>
    <xf numFmtId="0" fontId="37" fillId="23" borderId="9" applyNumberFormat="0" applyAlignment="0" applyProtection="0"/>
    <xf numFmtId="0" fontId="37" fillId="23" borderId="9" applyNumberFormat="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1" fillId="0" borderId="10" applyNumberFormat="0" applyFill="0" applyAlignment="0" applyProtection="0"/>
    <xf numFmtId="0" fontId="41" fillId="0" borderId="10"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3" fillId="0" borderId="13" applyNumberFormat="0" applyFill="0" applyAlignment="0" applyProtection="0"/>
    <xf numFmtId="0" fontId="43" fillId="0" borderId="13" applyNumberFormat="0" applyFill="0" applyAlignment="0" applyProtection="0"/>
    <xf numFmtId="0" fontId="43" fillId="0" borderId="13" applyNumberFormat="0" applyFill="0" applyAlignment="0" applyProtection="0"/>
    <xf numFmtId="0" fontId="28" fillId="13" borderId="0" applyNumberFormat="0" applyBorder="0" applyAlignment="0" applyProtection="0"/>
    <xf numFmtId="0" fontId="28" fillId="20"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35" fillId="10" borderId="0" applyNumberFormat="0" applyBorder="0" applyAlignment="0" applyProtection="0"/>
    <xf numFmtId="0" fontId="31" fillId="24" borderId="2" applyNumberFormat="0" applyAlignment="0" applyProtection="0"/>
    <xf numFmtId="0" fontId="28" fillId="20" borderId="0" applyNumberFormat="0" applyBorder="0" applyAlignment="0" applyProtection="0"/>
    <xf numFmtId="4" fontId="17"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4" fontId="17" fillId="0" borderId="0" applyFont="0" applyFill="0" applyBorder="0" applyAlignment="0" applyProtection="0"/>
    <xf numFmtId="0" fontId="34" fillId="11" borderId="1" applyNumberFormat="0" applyAlignment="0" applyProtection="0"/>
    <xf numFmtId="0" fontId="38" fillId="0" borderId="7" applyNumberFormat="0" applyFill="0" applyAlignment="0" applyProtection="0"/>
    <xf numFmtId="4" fontId="17" fillId="0" borderId="0" applyFont="0" applyFill="0" applyBorder="0" applyAlignment="0" applyProtection="0"/>
    <xf numFmtId="0" fontId="35" fillId="10" borderId="0" applyNumberFormat="0" applyBorder="0" applyAlignment="0" applyProtection="0"/>
    <xf numFmtId="0" fontId="28" fillId="20" borderId="0" applyNumberFormat="0" applyBorder="0" applyAlignment="0" applyProtection="0"/>
    <xf numFmtId="0" fontId="28" fillId="13" borderId="0" applyNumberFormat="0" applyBorder="0" applyAlignment="0" applyProtection="0"/>
    <xf numFmtId="0" fontId="37" fillId="22" borderId="9" applyNumberFormat="0" applyAlignment="0" applyProtection="0"/>
    <xf numFmtId="0" fontId="28" fillId="6" borderId="0" applyNumberFormat="0" applyBorder="0" applyAlignment="0" applyProtection="0"/>
    <xf numFmtId="0" fontId="28" fillId="6" borderId="0" applyNumberFormat="0" applyBorder="0" applyAlignment="0" applyProtection="0"/>
    <xf numFmtId="0" fontId="38" fillId="0" borderId="0" applyNumberFormat="0" applyFill="0" applyBorder="0" applyAlignment="0" applyProtection="0"/>
    <xf numFmtId="0" fontId="28" fillId="21" borderId="0" applyNumberFormat="0" applyBorder="0" applyAlignment="0" applyProtection="0"/>
    <xf numFmtId="0" fontId="31" fillId="24" borderId="2" applyNumberFormat="0" applyAlignment="0" applyProtection="0"/>
    <xf numFmtId="0" fontId="29" fillId="6" borderId="0" applyNumberFormat="0" applyBorder="0" applyAlignment="0" applyProtection="0"/>
    <xf numFmtId="0" fontId="34" fillId="11" borderId="1" applyNumberFormat="0" applyAlignment="0" applyProtection="0"/>
    <xf numFmtId="0" fontId="38" fillId="0" borderId="7"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28" fillId="6" borderId="0" applyNumberFormat="0" applyBorder="0" applyAlignment="0" applyProtection="0"/>
    <xf numFmtId="0" fontId="28" fillId="6" borderId="0" applyNumberFormat="0" applyBorder="0" applyAlignment="0" applyProtection="0"/>
    <xf numFmtId="0" fontId="37" fillId="22" borderId="9" applyNumberFormat="0" applyAlignment="0" applyProtection="0"/>
    <xf numFmtId="0" fontId="28" fillId="13" borderId="0" applyNumberFormat="0" applyBorder="0" applyAlignment="0" applyProtection="0"/>
    <xf numFmtId="0" fontId="35" fillId="10" borderId="0" applyNumberFormat="0" applyBorder="0" applyAlignment="0" applyProtection="0"/>
    <xf numFmtId="0" fontId="38" fillId="0" borderId="7" applyNumberFormat="0" applyFill="0" applyAlignment="0" applyProtection="0"/>
    <xf numFmtId="0" fontId="34" fillId="11" borderId="1" applyNumberFormat="0" applyAlignment="0" applyProtection="0"/>
    <xf numFmtId="0" fontId="29" fillId="6" borderId="0" applyNumberFormat="0" applyBorder="0" applyAlignment="0" applyProtection="0"/>
    <xf numFmtId="0" fontId="31" fillId="24" borderId="2" applyNumberFormat="0" applyAlignment="0" applyProtection="0"/>
    <xf numFmtId="0" fontId="28" fillId="21"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28" fillId="3"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14" borderId="0" applyNumberFormat="0" applyBorder="0" applyAlignment="0" applyProtection="0"/>
    <xf numFmtId="0" fontId="28" fillId="3"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14" borderId="0" applyNumberFormat="0" applyBorder="0" applyAlignment="0" applyProtection="0"/>
    <xf numFmtId="0" fontId="15" fillId="0" borderId="0" applyNumberFormat="0" applyFill="0" applyBorder="0" applyAlignment="0" applyProtection="0"/>
    <xf numFmtId="172" fontId="15" fillId="0" borderId="0" applyFont="0" applyFill="0" applyBorder="0" applyAlignment="0" applyProtection="0"/>
    <xf numFmtId="173" fontId="15" fillId="0" borderId="0" applyFont="0" applyFill="0" applyBorder="0" applyAlignment="0" applyProtection="0"/>
    <xf numFmtId="0" fontId="15" fillId="0" borderId="0" applyNumberFormat="0" applyFill="0" applyBorder="0" applyAlignment="0" applyProtection="0"/>
    <xf numFmtId="9" fontId="15" fillId="0" borderId="0" applyFont="0" applyFill="0" applyBorder="0" applyAlignment="0" applyProtection="0"/>
    <xf numFmtId="165" fontId="11" fillId="0" borderId="0" applyFont="0" applyFill="0" applyBorder="0" applyAlignment="0" applyProtection="0"/>
    <xf numFmtId="0" fontId="15" fillId="0" borderId="0" applyNumberFormat="0" applyFill="0" applyBorder="0" applyAlignment="0" applyProtection="0"/>
    <xf numFmtId="193" fontId="15" fillId="0" borderId="0" applyFont="0" applyFill="0" applyBorder="0" applyAlignment="0" applyProtection="0"/>
    <xf numFmtId="0" fontId="16" fillId="0" borderId="0"/>
    <xf numFmtId="194" fontId="15" fillId="0" borderId="0" applyFont="0" applyFill="0" applyBorder="0" applyAlignment="0" applyProtection="0"/>
    <xf numFmtId="0" fontId="15" fillId="0" borderId="0"/>
    <xf numFmtId="0" fontId="15" fillId="0" borderId="0"/>
    <xf numFmtId="198"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71" fontId="15" fillId="0" borderId="0" applyFont="0" applyFill="0" applyBorder="0" applyAlignment="0" applyProtection="0"/>
    <xf numFmtId="190"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0"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69" fontId="10" fillId="0" borderId="0" applyFont="0" applyFill="0" applyBorder="0" applyAlignment="0" applyProtection="0"/>
    <xf numFmtId="193" fontId="15" fillId="0" borderId="0" applyFont="0" applyFill="0" applyBorder="0" applyAlignment="0" applyProtection="0"/>
    <xf numFmtId="169" fontId="15" fillId="0" borderId="0" applyFont="0" applyFill="0" applyBorder="0" applyAlignment="0" applyProtection="0"/>
    <xf numFmtId="0" fontId="15" fillId="0" borderId="0"/>
    <xf numFmtId="0" fontId="10" fillId="0" borderId="0"/>
    <xf numFmtId="0" fontId="1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9" fontId="15" fillId="0" borderId="0" applyFont="0" applyFill="0" applyBorder="0" applyAlignment="0" applyProtection="0"/>
    <xf numFmtId="194" fontId="15" fillId="0" borderId="0" applyFont="0" applyFill="0" applyBorder="0" applyAlignment="0" applyProtection="0"/>
    <xf numFmtId="0" fontId="9" fillId="0" borderId="0"/>
    <xf numFmtId="169" fontId="9"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173" fontId="15" fillId="0" borderId="0" applyFont="0" applyFill="0" applyBorder="0" applyAlignment="0" applyProtection="0"/>
    <xf numFmtId="172" fontId="15" fillId="0" borderId="0" applyFont="0" applyFill="0" applyBorder="0" applyAlignment="0" applyProtection="0"/>
    <xf numFmtId="0" fontId="8" fillId="0" borderId="0"/>
    <xf numFmtId="169" fontId="8" fillId="0" borderId="0" applyFont="0" applyFill="0" applyBorder="0" applyAlignment="0" applyProtection="0"/>
    <xf numFmtId="167" fontId="8" fillId="0" borderId="0" applyFont="0" applyFill="0" applyBorder="0" applyAlignment="0" applyProtection="0"/>
    <xf numFmtId="169"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169" fontId="8" fillId="0" borderId="0" applyFont="0" applyFill="0" applyBorder="0" applyAlignment="0" applyProtection="0"/>
    <xf numFmtId="169" fontId="8" fillId="0" borderId="0" applyFont="0" applyFill="0" applyBorder="0" applyAlignment="0" applyProtection="0"/>
    <xf numFmtId="9" fontId="8" fillId="0" borderId="0" applyFont="0" applyFill="0" applyBorder="0" applyAlignment="0" applyProtection="0"/>
    <xf numFmtId="0" fontId="15" fillId="0" borderId="0"/>
    <xf numFmtId="167" fontId="15" fillId="0" borderId="0" applyFont="0" applyFill="0" applyBorder="0" applyAlignment="0" applyProtection="0"/>
    <xf numFmtId="0" fontId="15" fillId="0" borderId="0"/>
    <xf numFmtId="0" fontId="15" fillId="0" borderId="0" applyFont="0" applyFill="0" applyBorder="0" applyAlignment="0" applyProtection="0"/>
    <xf numFmtId="170" fontId="15" fillId="0" borderId="0" applyFont="0" applyFill="0" applyBorder="0" applyAlignment="0" applyProtection="0"/>
    <xf numFmtId="169" fontId="8"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0" fontId="15" fillId="0" borderId="0" applyNumberForma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0" fontId="5" fillId="0" borderId="0"/>
    <xf numFmtId="0" fontId="15" fillId="0" borderId="0" applyNumberFormat="0" applyFill="0" applyBorder="0" applyAlignment="0" applyProtection="0"/>
    <xf numFmtId="0" fontId="15" fillId="0" borderId="0" applyNumberFormat="0" applyFill="0" applyBorder="0" applyAlignment="0" applyProtection="0"/>
    <xf numFmtId="0" fontId="2" fillId="0" borderId="0"/>
    <xf numFmtId="0" fontId="2" fillId="0" borderId="0"/>
    <xf numFmtId="165"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0" fontId="2" fillId="0" borderId="0"/>
    <xf numFmtId="0" fontId="2" fillId="0" borderId="0"/>
    <xf numFmtId="169"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69"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69" fontId="2" fillId="0" borderId="0" applyFont="0" applyFill="0" applyBorder="0" applyAlignment="0" applyProtection="0"/>
    <xf numFmtId="9" fontId="2" fillId="0" borderId="0" applyFont="0" applyFill="0" applyBorder="0" applyAlignment="0" applyProtection="0"/>
    <xf numFmtId="169" fontId="2"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0" fontId="2" fillId="0" borderId="0"/>
    <xf numFmtId="0" fontId="16" fillId="0" borderId="0"/>
    <xf numFmtId="43" fontId="1" fillId="0" borderId="0" applyFont="0" applyFill="0" applyBorder="0" applyAlignment="0" applyProtection="0"/>
    <xf numFmtId="0" fontId="1" fillId="0" borderId="0"/>
  </cellStyleXfs>
  <cellXfs count="1545">
    <xf numFmtId="0" fontId="0" fillId="0" borderId="0" xfId="0"/>
    <xf numFmtId="0" fontId="59" fillId="0" borderId="0" xfId="43" applyFont="1" applyFill="1"/>
    <xf numFmtId="0" fontId="61" fillId="0" borderId="0" xfId="43" applyFont="1" applyFill="1"/>
    <xf numFmtId="0" fontId="61" fillId="27" borderId="0" xfId="43" applyFont="1" applyFill="1"/>
    <xf numFmtId="190" fontId="59" fillId="27" borderId="0" xfId="86" applyNumberFormat="1" applyFont="1" applyFill="1"/>
    <xf numFmtId="0" fontId="59" fillId="27" borderId="0" xfId="43" applyFont="1" applyFill="1"/>
    <xf numFmtId="0" fontId="61" fillId="27" borderId="0" xfId="43" applyFont="1" applyFill="1" applyAlignment="1"/>
    <xf numFmtId="0" fontId="62" fillId="27" borderId="0" xfId="43" applyFont="1" applyFill="1"/>
    <xf numFmtId="190" fontId="62" fillId="27" borderId="0" xfId="86" applyNumberFormat="1" applyFont="1" applyFill="1"/>
    <xf numFmtId="0" fontId="67" fillId="27" borderId="0" xfId="43" applyFont="1" applyFill="1" applyBorder="1" applyAlignment="1">
      <alignment horizontal="center"/>
    </xf>
    <xf numFmtId="0" fontId="67" fillId="0" borderId="0" xfId="43" applyFont="1" applyFill="1"/>
    <xf numFmtId="0" fontId="67" fillId="27" borderId="14" xfId="43" applyFont="1" applyFill="1" applyBorder="1" applyAlignment="1">
      <alignment horizontal="center"/>
    </xf>
    <xf numFmtId="0" fontId="67" fillId="27" borderId="19" xfId="43" applyFont="1" applyFill="1" applyBorder="1" applyAlignment="1">
      <alignment horizontal="center"/>
    </xf>
    <xf numFmtId="0" fontId="59" fillId="27" borderId="29" xfId="43" applyFont="1" applyFill="1" applyBorder="1"/>
    <xf numFmtId="0" fontId="59" fillId="27" borderId="60" xfId="43" applyFont="1" applyFill="1" applyBorder="1"/>
    <xf numFmtId="0" fontId="59" fillId="0" borderId="0" xfId="368" applyFont="1"/>
    <xf numFmtId="0" fontId="67" fillId="27" borderId="0" xfId="43" applyFont="1" applyFill="1" applyBorder="1"/>
    <xf numFmtId="0" fontId="59" fillId="0" borderId="0" xfId="43" applyFont="1" applyFill="1" applyBorder="1"/>
    <xf numFmtId="0" fontId="63" fillId="0" borderId="0" xfId="378" applyFont="1" applyFill="1" applyBorder="1" applyAlignment="1">
      <alignment vertical="center" wrapText="1"/>
    </xf>
    <xf numFmtId="0" fontId="59" fillId="28" borderId="0" xfId="43" applyFont="1" applyFill="1"/>
    <xf numFmtId="0" fontId="67" fillId="28" borderId="0" xfId="43" applyFont="1" applyFill="1" applyAlignment="1">
      <alignment horizontal="right"/>
    </xf>
    <xf numFmtId="0" fontId="61" fillId="28" borderId="0" xfId="43" applyFont="1" applyFill="1" applyAlignment="1"/>
    <xf numFmtId="0" fontId="63" fillId="27" borderId="0" xfId="43" applyFont="1" applyFill="1" applyAlignment="1"/>
    <xf numFmtId="0" fontId="75" fillId="0" borderId="0" xfId="43" applyFont="1" applyFill="1" applyAlignment="1"/>
    <xf numFmtId="0" fontId="74" fillId="28" borderId="0" xfId="43" applyFont="1" applyFill="1"/>
    <xf numFmtId="172" fontId="59" fillId="0" borderId="16" xfId="369" applyFont="1" applyFill="1" applyBorder="1"/>
    <xf numFmtId="167" fontId="59" fillId="0" borderId="0" xfId="43" applyNumberFormat="1" applyFont="1" applyFill="1"/>
    <xf numFmtId="0" fontId="59" fillId="0" borderId="16" xfId="43" applyFont="1" applyFill="1" applyBorder="1"/>
    <xf numFmtId="167" fontId="61" fillId="27" borderId="61" xfId="86" applyNumberFormat="1" applyFont="1" applyFill="1" applyBorder="1" applyAlignment="1">
      <alignment horizontal="center" vertical="center"/>
    </xf>
    <xf numFmtId="0" fontId="59" fillId="0" borderId="0" xfId="0" applyFont="1"/>
    <xf numFmtId="172" fontId="59" fillId="28" borderId="0" xfId="86" applyFont="1" applyFill="1" applyBorder="1" applyAlignment="1" applyProtection="1">
      <alignment horizontal="center"/>
    </xf>
    <xf numFmtId="172" fontId="59" fillId="27" borderId="0" xfId="86" applyFont="1" applyFill="1" applyBorder="1" applyAlignment="1" applyProtection="1">
      <alignment horizontal="center"/>
    </xf>
    <xf numFmtId="172" fontId="63" fillId="27" borderId="0" xfId="86" applyFont="1" applyFill="1" applyAlignment="1"/>
    <xf numFmtId="15" fontId="61" fillId="0" borderId="0" xfId="86" applyNumberFormat="1" applyFont="1" applyFill="1" applyAlignment="1"/>
    <xf numFmtId="15" fontId="61" fillId="28" borderId="0" xfId="86" applyNumberFormat="1" applyFont="1" applyFill="1" applyAlignment="1">
      <alignment horizontal="center"/>
    </xf>
    <xf numFmtId="0" fontId="74" fillId="27" borderId="0" xfId="43" applyFont="1" applyFill="1"/>
    <xf numFmtId="0" fontId="76" fillId="27" borderId="51" xfId="43" applyFont="1" applyFill="1" applyBorder="1" applyAlignment="1">
      <alignment horizontal="center"/>
    </xf>
    <xf numFmtId="3" fontId="59" fillId="27" borderId="59" xfId="43" applyNumberFormat="1" applyFont="1" applyFill="1" applyBorder="1" applyAlignment="1">
      <alignment horizontal="center" vertical="center" wrapText="1"/>
    </xf>
    <xf numFmtId="0" fontId="61" fillId="27" borderId="18" xfId="43" applyFont="1" applyFill="1" applyBorder="1"/>
    <xf numFmtId="172" fontId="61" fillId="27" borderId="20" xfId="86" applyFont="1" applyFill="1" applyBorder="1" applyProtection="1"/>
    <xf numFmtId="0" fontId="59" fillId="27" borderId="30" xfId="43" applyFont="1" applyFill="1" applyBorder="1"/>
    <xf numFmtId="172" fontId="59" fillId="27" borderId="31" xfId="86" applyFont="1" applyFill="1" applyBorder="1" applyAlignment="1" applyProtection="1">
      <alignment horizontal="right"/>
    </xf>
    <xf numFmtId="0" fontId="78" fillId="27" borderId="0" xfId="43" applyFont="1" applyFill="1"/>
    <xf numFmtId="0" fontId="74" fillId="27" borderId="0" xfId="43" applyFont="1" applyFill="1" applyAlignment="1">
      <alignment wrapText="1"/>
    </xf>
    <xf numFmtId="0" fontId="62" fillId="27" borderId="0" xfId="43" applyNumberFormat="1" applyFont="1" applyFill="1" applyBorder="1" applyAlignment="1" applyProtection="1"/>
    <xf numFmtId="0" fontId="62" fillId="27" borderId="0" xfId="43" applyFont="1" applyFill="1" applyAlignment="1">
      <alignment horizontal="left"/>
    </xf>
    <xf numFmtId="0" fontId="59" fillId="22" borderId="0" xfId="43" applyFont="1" applyFill="1"/>
    <xf numFmtId="172" fontId="59" fillId="0" borderId="0" xfId="86" applyFont="1"/>
    <xf numFmtId="0" fontId="59" fillId="27" borderId="32" xfId="43" applyFont="1" applyFill="1" applyBorder="1"/>
    <xf numFmtId="0" fontId="59" fillId="27" borderId="15" xfId="43" applyFont="1" applyFill="1" applyBorder="1"/>
    <xf numFmtId="0" fontId="65" fillId="27" borderId="15" xfId="43" applyFont="1" applyFill="1" applyBorder="1"/>
    <xf numFmtId="3" fontId="78" fillId="27" borderId="15" xfId="43" applyNumberFormat="1" applyFont="1" applyFill="1" applyBorder="1"/>
    <xf numFmtId="0" fontId="81" fillId="27" borderId="15" xfId="43" applyFont="1" applyFill="1" applyBorder="1"/>
    <xf numFmtId="0" fontId="59" fillId="22" borderId="24" xfId="43" applyFont="1" applyFill="1" applyBorder="1"/>
    <xf numFmtId="0" fontId="59" fillId="0" borderId="0" xfId="43" applyFont="1"/>
    <xf numFmtId="0" fontId="82" fillId="0" borderId="0" xfId="43" applyFont="1"/>
    <xf numFmtId="0" fontId="78" fillId="27" borderId="0" xfId="43" applyFont="1" applyFill="1" applyAlignment="1">
      <alignment vertical="center" wrapText="1"/>
    </xf>
    <xf numFmtId="0" fontId="59" fillId="27" borderId="26" xfId="43" applyFont="1" applyFill="1" applyBorder="1"/>
    <xf numFmtId="0" fontId="69" fillId="27" borderId="32" xfId="43" applyFont="1" applyFill="1" applyBorder="1"/>
    <xf numFmtId="3" fontId="59" fillId="0" borderId="0" xfId="0" applyNumberFormat="1" applyFont="1"/>
    <xf numFmtId="0" fontId="65" fillId="27" borderId="14" xfId="43" applyFont="1" applyFill="1" applyBorder="1"/>
    <xf numFmtId="0" fontId="65" fillId="0" borderId="14" xfId="43" applyFont="1" applyFill="1" applyBorder="1"/>
    <xf numFmtId="0" fontId="59" fillId="27" borderId="24" xfId="43" applyFont="1" applyFill="1" applyBorder="1"/>
    <xf numFmtId="173" fontId="59" fillId="0" borderId="0" xfId="85" applyFont="1"/>
    <xf numFmtId="0" fontId="78" fillId="27" borderId="0" xfId="43" applyFont="1" applyFill="1" applyAlignment="1">
      <alignment horizontal="right"/>
    </xf>
    <xf numFmtId="0" fontId="59" fillId="27" borderId="0" xfId="0" applyFont="1" applyFill="1"/>
    <xf numFmtId="0" fontId="83" fillId="27" borderId="14" xfId="43" applyFont="1" applyFill="1" applyBorder="1"/>
    <xf numFmtId="0" fontId="83" fillId="27" borderId="15" xfId="43" applyFont="1" applyFill="1" applyBorder="1"/>
    <xf numFmtId="0" fontId="78" fillId="27" borderId="24" xfId="43" applyFont="1" applyFill="1" applyBorder="1"/>
    <xf numFmtId="185" fontId="78" fillId="27" borderId="24" xfId="43" applyNumberFormat="1" applyFont="1" applyFill="1" applyBorder="1"/>
    <xf numFmtId="0" fontId="59" fillId="27" borderId="49" xfId="43" applyFont="1" applyFill="1" applyBorder="1" applyAlignment="1">
      <alignment vertical="center" wrapText="1"/>
    </xf>
    <xf numFmtId="3" fontId="59" fillId="27" borderId="0" xfId="91" applyNumberFormat="1" applyFont="1" applyFill="1" applyAlignment="1">
      <alignment horizontal="center"/>
    </xf>
    <xf numFmtId="3" fontId="61" fillId="27" borderId="0" xfId="91" applyNumberFormat="1" applyFont="1" applyFill="1" applyAlignment="1">
      <alignment horizontal="center"/>
    </xf>
    <xf numFmtId="0" fontId="61" fillId="27" borderId="0" xfId="91" applyFont="1" applyFill="1" applyAlignment="1">
      <alignment horizontal="center"/>
    </xf>
    <xf numFmtId="187" fontId="59" fillId="27" borderId="0" xfId="86" applyNumberFormat="1" applyFont="1" applyFill="1" applyAlignment="1">
      <alignment horizontal="center"/>
    </xf>
    <xf numFmtId="1" fontId="59" fillId="27" borderId="0" xfId="43" applyNumberFormat="1" applyFont="1" applyFill="1"/>
    <xf numFmtId="173" fontId="59" fillId="27" borderId="0" xfId="85" applyFont="1" applyFill="1" applyAlignment="1">
      <alignment horizontal="center"/>
    </xf>
    <xf numFmtId="3" fontId="67" fillId="27" borderId="0" xfId="43" applyNumberFormat="1" applyFont="1" applyFill="1" applyAlignment="1">
      <alignment horizontal="right" vertical="center"/>
    </xf>
    <xf numFmtId="3" fontId="67" fillId="0" borderId="44" xfId="43" applyNumberFormat="1" applyFont="1" applyFill="1" applyBorder="1" applyAlignment="1">
      <alignment horizontal="right" vertical="center"/>
    </xf>
    <xf numFmtId="3" fontId="59" fillId="0" borderId="46" xfId="43" applyNumberFormat="1" applyFont="1" applyFill="1" applyBorder="1" applyAlignment="1">
      <alignment horizontal="right" vertical="center"/>
    </xf>
    <xf numFmtId="3" fontId="59" fillId="0" borderId="25" xfId="43" applyNumberFormat="1" applyFont="1" applyFill="1" applyBorder="1" applyAlignment="1">
      <alignment horizontal="right" vertical="center"/>
    </xf>
    <xf numFmtId="3" fontId="59" fillId="0" borderId="0" xfId="43" applyNumberFormat="1" applyFont="1" applyFill="1" applyBorder="1" applyAlignment="1">
      <alignment horizontal="right" vertical="center"/>
    </xf>
    <xf numFmtId="3" fontId="59" fillId="0" borderId="88" xfId="43" applyNumberFormat="1" applyFont="1" applyFill="1" applyBorder="1" applyAlignment="1">
      <alignment horizontal="right" vertical="center"/>
    </xf>
    <xf numFmtId="3" fontId="59" fillId="0" borderId="87" xfId="43" applyNumberFormat="1" applyFont="1" applyFill="1" applyBorder="1" applyAlignment="1">
      <alignment horizontal="right" vertical="center"/>
    </xf>
    <xf numFmtId="3" fontId="59" fillId="0" borderId="90" xfId="43" applyNumberFormat="1" applyFont="1" applyFill="1" applyBorder="1" applyAlignment="1">
      <alignment horizontal="right" vertical="center"/>
    </xf>
    <xf numFmtId="3" fontId="59" fillId="0" borderId="39" xfId="43" applyNumberFormat="1" applyFont="1" applyFill="1" applyBorder="1" applyAlignment="1">
      <alignment horizontal="right" vertical="center"/>
    </xf>
    <xf numFmtId="3" fontId="59" fillId="0" borderId="0" xfId="43" applyNumberFormat="1" applyFont="1" applyFill="1" applyAlignment="1">
      <alignment horizontal="right" vertical="center"/>
    </xf>
    <xf numFmtId="3" fontId="59" fillId="27" borderId="0" xfId="43" applyNumberFormat="1" applyFont="1" applyFill="1" applyAlignment="1">
      <alignment horizontal="center"/>
    </xf>
    <xf numFmtId="0" fontId="59" fillId="27" borderId="0" xfId="91" applyFont="1" applyFill="1"/>
    <xf numFmtId="173" fontId="59" fillId="0" borderId="0" xfId="85" applyFont="1" applyFill="1" applyAlignment="1">
      <alignment horizontal="center"/>
    </xf>
    <xf numFmtId="173" fontId="59" fillId="0" borderId="0" xfId="85" applyFont="1" applyFill="1"/>
    <xf numFmtId="1" fontId="59" fillId="27" borderId="0" xfId="43" applyNumberFormat="1" applyFont="1" applyFill="1" applyBorder="1" applyAlignment="1">
      <alignment horizontal="center"/>
    </xf>
    <xf numFmtId="3" fontId="67" fillId="0" borderId="0" xfId="43" applyNumberFormat="1" applyFont="1" applyFill="1" applyAlignment="1">
      <alignment horizontal="right" vertical="center"/>
    </xf>
    <xf numFmtId="173" fontId="59" fillId="27" borderId="0" xfId="85" applyFont="1" applyFill="1"/>
    <xf numFmtId="3" fontId="59" fillId="0" borderId="86" xfId="43" applyNumberFormat="1" applyFont="1" applyFill="1" applyBorder="1" applyAlignment="1">
      <alignment horizontal="right" vertical="center"/>
    </xf>
    <xf numFmtId="3" fontId="59" fillId="0" borderId="47" xfId="43" applyNumberFormat="1" applyFont="1" applyFill="1" applyBorder="1" applyAlignment="1">
      <alignment horizontal="right" vertical="center"/>
    </xf>
    <xf numFmtId="0" fontId="59" fillId="0" borderId="0" xfId="91" applyFont="1" applyFill="1"/>
    <xf numFmtId="0" fontId="59" fillId="0" borderId="0" xfId="91" applyFont="1" applyFill="1" applyAlignment="1">
      <alignment vertical="center"/>
    </xf>
    <xf numFmtId="0" fontId="59" fillId="27" borderId="0" xfId="91" applyFont="1" applyFill="1" applyAlignment="1">
      <alignment vertical="center"/>
    </xf>
    <xf numFmtId="0" fontId="62" fillId="0" borderId="0" xfId="43" applyFont="1" applyFill="1"/>
    <xf numFmtId="173" fontId="62" fillId="0" borderId="0" xfId="85" applyFont="1" applyFill="1"/>
    <xf numFmtId="0" fontId="62" fillId="28" borderId="0" xfId="43" applyFont="1" applyFill="1"/>
    <xf numFmtId="0" fontId="76" fillId="28" borderId="0" xfId="43" applyFont="1" applyFill="1"/>
    <xf numFmtId="0" fontId="86" fillId="28" borderId="0" xfId="43" quotePrefix="1" applyNumberFormat="1" applyFont="1" applyFill="1" applyAlignment="1" applyProtection="1">
      <alignment horizontal="centerContinuous"/>
    </xf>
    <xf numFmtId="0" fontId="62" fillId="28" borderId="0" xfId="43" applyFont="1" applyFill="1" applyAlignment="1">
      <alignment horizontal="centerContinuous"/>
    </xf>
    <xf numFmtId="0" fontId="62" fillId="28" borderId="0" xfId="43" quotePrefix="1" applyFont="1" applyFill="1" applyAlignment="1" applyProtection="1">
      <alignment horizontal="centerContinuous"/>
    </xf>
    <xf numFmtId="0" fontId="76" fillId="0" borderId="0" xfId="43" applyFont="1" applyFill="1"/>
    <xf numFmtId="0" fontId="87" fillId="0" borderId="48" xfId="43" applyNumberFormat="1" applyFont="1" applyFill="1" applyBorder="1" applyProtection="1"/>
    <xf numFmtId="3" fontId="88" fillId="0" borderId="48" xfId="43" applyNumberFormat="1" applyFont="1" applyFill="1" applyBorder="1" applyAlignment="1" applyProtection="1">
      <alignment horizontal="right"/>
    </xf>
    <xf numFmtId="3" fontId="88" fillId="0" borderId="49" xfId="43" applyNumberFormat="1" applyFont="1" applyFill="1" applyBorder="1" applyAlignment="1" applyProtection="1">
      <alignment horizontal="right"/>
    </xf>
    <xf numFmtId="173" fontId="76" fillId="0" borderId="0" xfId="85" applyFont="1" applyFill="1"/>
    <xf numFmtId="172" fontId="59" fillId="28" borderId="0" xfId="86" applyFont="1" applyFill="1"/>
    <xf numFmtId="0" fontId="78" fillId="28" borderId="0" xfId="43" applyNumberFormat="1" applyFont="1" applyFill="1" applyBorder="1" applyAlignment="1" applyProtection="1"/>
    <xf numFmtId="3" fontId="78" fillId="28" borderId="0" xfId="43" applyNumberFormat="1" applyFont="1" applyFill="1" applyBorder="1"/>
    <xf numFmtId="173" fontId="78" fillId="28" borderId="0" xfId="85" applyFont="1" applyFill="1" applyBorder="1"/>
    <xf numFmtId="167" fontId="62" fillId="0" borderId="0" xfId="43" applyNumberFormat="1" applyFont="1" applyFill="1"/>
    <xf numFmtId="3" fontId="59" fillId="0" borderId="0" xfId="91" applyNumberFormat="1" applyFont="1" applyFill="1" applyAlignment="1">
      <alignment horizontal="center"/>
    </xf>
    <xf numFmtId="17" fontId="59" fillId="27" borderId="48" xfId="43" applyNumberFormat="1" applyFont="1" applyFill="1" applyBorder="1" applyAlignment="1">
      <alignment horizontal="center"/>
    </xf>
    <xf numFmtId="172" fontId="59" fillId="27" borderId="0" xfId="86" applyFont="1" applyFill="1"/>
    <xf numFmtId="0" fontId="90" fillId="27" borderId="0" xfId="43" applyFont="1" applyFill="1"/>
    <xf numFmtId="3" fontId="59" fillId="27" borderId="0" xfId="91" applyNumberFormat="1" applyFont="1" applyFill="1" applyAlignment="1">
      <alignment horizontal="center" vertical="center"/>
    </xf>
    <xf numFmtId="3" fontId="59" fillId="27" borderId="0" xfId="91" applyNumberFormat="1" applyFont="1" applyFill="1" applyBorder="1" applyAlignment="1">
      <alignment horizontal="center"/>
    </xf>
    <xf numFmtId="0" fontId="59" fillId="27" borderId="0" xfId="43" applyFont="1" applyFill="1" applyBorder="1"/>
    <xf numFmtId="3" fontId="67" fillId="0" borderId="25" xfId="43" applyNumberFormat="1" applyFont="1" applyFill="1" applyBorder="1" applyAlignment="1">
      <alignment horizontal="right" vertical="center"/>
    </xf>
    <xf numFmtId="0" fontId="59" fillId="0" borderId="0" xfId="43" applyFont="1" applyFill="1" applyAlignment="1"/>
    <xf numFmtId="3" fontId="67" fillId="28" borderId="0" xfId="43" applyNumberFormat="1" applyFont="1" applyFill="1" applyAlignment="1">
      <alignment horizontal="right" vertical="center"/>
    </xf>
    <xf numFmtId="0" fontId="67" fillId="27" borderId="43" xfId="43" applyFont="1" applyFill="1" applyBorder="1" applyAlignment="1">
      <alignment horizontal="left" vertical="center"/>
    </xf>
    <xf numFmtId="3" fontId="67" fillId="0" borderId="66" xfId="43" applyNumberFormat="1" applyFont="1" applyFill="1" applyBorder="1" applyAlignment="1">
      <alignment horizontal="right" vertical="center"/>
    </xf>
    <xf numFmtId="3" fontId="59" fillId="0" borderId="89" xfId="43" applyNumberFormat="1" applyFont="1" applyFill="1" applyBorder="1" applyAlignment="1">
      <alignment horizontal="right" vertical="center"/>
    </xf>
    <xf numFmtId="0" fontId="83" fillId="0" borderId="0" xfId="43" applyFont="1" applyFill="1"/>
    <xf numFmtId="0" fontId="83" fillId="27" borderId="0" xfId="43" applyFont="1" applyFill="1"/>
    <xf numFmtId="0" fontId="78" fillId="27" borderId="0" xfId="43" applyFont="1" applyFill="1" applyAlignment="1" applyProtection="1">
      <alignment horizontal="centerContinuous"/>
    </xf>
    <xf numFmtId="0" fontId="78" fillId="27" borderId="0" xfId="43" applyFont="1" applyFill="1" applyAlignment="1">
      <alignment horizontal="centerContinuous"/>
    </xf>
    <xf numFmtId="0" fontId="92" fillId="27" borderId="0" xfId="43" applyFont="1" applyFill="1"/>
    <xf numFmtId="0" fontId="78" fillId="27" borderId="0" xfId="43" applyFont="1" applyFill="1" applyBorder="1"/>
    <xf numFmtId="171" fontId="83" fillId="0" borderId="0" xfId="43" applyNumberFormat="1" applyFont="1" applyFill="1"/>
    <xf numFmtId="3" fontId="78" fillId="27" borderId="0" xfId="43" applyNumberFormat="1" applyFont="1" applyFill="1" applyBorder="1" applyAlignment="1">
      <alignment horizontal="center"/>
    </xf>
    <xf numFmtId="0" fontId="83" fillId="28" borderId="0" xfId="43" applyFont="1" applyFill="1"/>
    <xf numFmtId="0" fontId="59" fillId="0" borderId="0" xfId="43" applyFont="1" applyBorder="1"/>
    <xf numFmtId="0" fontId="59" fillId="0" borderId="0" xfId="368" applyFont="1" applyBorder="1"/>
    <xf numFmtId="179" fontId="59" fillId="27" borderId="0" xfId="86" applyNumberFormat="1" applyFont="1" applyFill="1" applyBorder="1" applyAlignment="1">
      <alignment horizontal="center"/>
    </xf>
    <xf numFmtId="14" fontId="59" fillId="27" borderId="0" xfId="43" applyNumberFormat="1" applyFont="1" applyFill="1" applyBorder="1" applyAlignment="1">
      <alignment horizontal="center"/>
    </xf>
    <xf numFmtId="167" fontId="59" fillId="27" borderId="0" xfId="85" applyNumberFormat="1" applyFont="1" applyFill="1"/>
    <xf numFmtId="176" fontId="67" fillId="27" borderId="22" xfId="85" applyNumberFormat="1" applyFont="1" applyFill="1" applyBorder="1" applyAlignment="1">
      <alignment horizontal="center"/>
    </xf>
    <xf numFmtId="176" fontId="67" fillId="27" borderId="26" xfId="85" applyNumberFormat="1" applyFont="1" applyFill="1" applyBorder="1" applyAlignment="1">
      <alignment horizontal="center"/>
    </xf>
    <xf numFmtId="173" fontId="64" fillId="27" borderId="14" xfId="85" applyFont="1" applyFill="1" applyBorder="1"/>
    <xf numFmtId="0" fontId="59" fillId="27" borderId="14" xfId="43" applyFont="1" applyFill="1" applyBorder="1"/>
    <xf numFmtId="0" fontId="61" fillId="27" borderId="14" xfId="43" applyFont="1" applyFill="1" applyBorder="1"/>
    <xf numFmtId="0" fontId="67" fillId="27" borderId="14" xfId="43" applyFont="1" applyFill="1" applyBorder="1"/>
    <xf numFmtId="0" fontId="74" fillId="27" borderId="14" xfId="43" applyFont="1" applyFill="1" applyBorder="1"/>
    <xf numFmtId="0" fontId="66" fillId="27" borderId="14" xfId="43" applyFont="1" applyFill="1" applyBorder="1"/>
    <xf numFmtId="0" fontId="75" fillId="0" borderId="14" xfId="43" applyFont="1" applyFill="1" applyBorder="1"/>
    <xf numFmtId="0" fontId="75" fillId="0" borderId="24" xfId="43" applyFont="1" applyFill="1" applyBorder="1"/>
    <xf numFmtId="0" fontId="75" fillId="0" borderId="0" xfId="43" applyFont="1" applyFill="1" applyBorder="1"/>
    <xf numFmtId="176" fontId="75" fillId="0" borderId="0" xfId="85" applyNumberFormat="1" applyFont="1" applyFill="1" applyBorder="1"/>
    <xf numFmtId="170" fontId="59" fillId="0" borderId="0" xfId="85" applyNumberFormat="1" applyFont="1" applyFill="1" applyAlignment="1">
      <alignment horizontal="left" wrapText="1"/>
    </xf>
    <xf numFmtId="0" fontId="67" fillId="27" borderId="26" xfId="43" applyFont="1" applyFill="1" applyBorder="1" applyAlignment="1">
      <alignment horizontal="center"/>
    </xf>
    <xf numFmtId="0" fontId="67" fillId="27" borderId="17" xfId="43" applyFont="1" applyFill="1" applyBorder="1" applyAlignment="1">
      <alignment horizontal="center"/>
    </xf>
    <xf numFmtId="3" fontId="67" fillId="0" borderId="0" xfId="86" applyNumberFormat="1" applyFont="1" applyFill="1" applyBorder="1"/>
    <xf numFmtId="3" fontId="59" fillId="27" borderId="0" xfId="43" applyNumberFormat="1" applyFont="1" applyFill="1"/>
    <xf numFmtId="3" fontId="59" fillId="27" borderId="32" xfId="43" applyNumberFormat="1" applyFont="1" applyFill="1" applyBorder="1"/>
    <xf numFmtId="3" fontId="59" fillId="27" borderId="15" xfId="43" applyNumberFormat="1" applyFont="1" applyFill="1" applyBorder="1"/>
    <xf numFmtId="0" fontId="59" fillId="0" borderId="14" xfId="43" applyFont="1" applyFill="1" applyBorder="1"/>
    <xf numFmtId="3" fontId="67" fillId="27" borderId="14" xfId="43" applyNumberFormat="1" applyFont="1" applyFill="1" applyBorder="1"/>
    <xf numFmtId="3" fontId="67" fillId="27" borderId="15" xfId="43" applyNumberFormat="1" applyFont="1" applyFill="1" applyBorder="1"/>
    <xf numFmtId="0" fontId="84" fillId="27" borderId="14" xfId="43" applyFont="1" applyFill="1" applyBorder="1"/>
    <xf numFmtId="0" fontId="59" fillId="27" borderId="14" xfId="43" applyFont="1" applyFill="1" applyBorder="1" applyAlignment="1">
      <alignment horizontal="left" vertical="center" wrapText="1"/>
    </xf>
    <xf numFmtId="0" fontId="67" fillId="27" borderId="14" xfId="43" applyFont="1" applyFill="1" applyBorder="1" applyAlignment="1">
      <alignment horizontal="left" vertical="center" wrapText="1"/>
    </xf>
    <xf numFmtId="0" fontId="68" fillId="27" borderId="15" xfId="43" applyFont="1" applyFill="1" applyBorder="1"/>
    <xf numFmtId="3" fontId="59" fillId="0" borderId="15" xfId="43" applyNumberFormat="1" applyFont="1" applyFill="1" applyBorder="1"/>
    <xf numFmtId="3" fontId="59" fillId="27" borderId="24" xfId="43" applyNumberFormat="1" applyFont="1" applyFill="1" applyBorder="1"/>
    <xf numFmtId="3" fontId="59" fillId="27" borderId="0" xfId="43" applyNumberFormat="1" applyFont="1" applyFill="1" applyBorder="1"/>
    <xf numFmtId="3" fontId="59" fillId="27" borderId="60" xfId="43" applyNumberFormat="1" applyFont="1" applyFill="1" applyBorder="1"/>
    <xf numFmtId="0" fontId="59" fillId="0" borderId="0" xfId="43" applyFont="1" applyFill="1" applyAlignment="1">
      <alignment horizontal="left" wrapText="1"/>
    </xf>
    <xf numFmtId="0" fontId="59" fillId="0" borderId="0" xfId="0" applyFont="1" applyFill="1"/>
    <xf numFmtId="0" fontId="66" fillId="27" borderId="0" xfId="43" applyFont="1" applyFill="1"/>
    <xf numFmtId="171" fontId="59" fillId="27" borderId="0" xfId="43" applyNumberFormat="1" applyFont="1" applyFill="1"/>
    <xf numFmtId="0" fontId="62" fillId="27" borderId="27" xfId="43" applyFont="1" applyFill="1" applyBorder="1" applyAlignment="1">
      <alignment horizontal="center"/>
    </xf>
    <xf numFmtId="0" fontId="62" fillId="27" borderId="42" xfId="43" applyFont="1" applyFill="1" applyBorder="1" applyAlignment="1">
      <alignment horizontal="center"/>
    </xf>
    <xf numFmtId="171" fontId="99" fillId="27" borderId="19" xfId="86" applyNumberFormat="1" applyFont="1" applyFill="1" applyBorder="1" applyAlignment="1" applyProtection="1"/>
    <xf numFmtId="171" fontId="99" fillId="27" borderId="33" xfId="86" applyNumberFormat="1" applyFont="1" applyFill="1" applyBorder="1" applyAlignment="1" applyProtection="1"/>
    <xf numFmtId="171" fontId="99" fillId="27" borderId="16" xfId="86" applyNumberFormat="1" applyFont="1" applyFill="1" applyBorder="1" applyAlignment="1" applyProtection="1"/>
    <xf numFmtId="171" fontId="99" fillId="27" borderId="15" xfId="86" applyNumberFormat="1" applyFont="1" applyFill="1" applyBorder="1" applyAlignment="1" applyProtection="1"/>
    <xf numFmtId="1" fontId="70" fillId="29" borderId="93" xfId="376" applyNumberFormat="1" applyFont="1" applyFill="1" applyBorder="1" applyAlignment="1">
      <alignment horizontal="right" wrapText="1"/>
    </xf>
    <xf numFmtId="0" fontId="70" fillId="29" borderId="93" xfId="376" applyFont="1" applyFill="1" applyBorder="1" applyAlignment="1">
      <alignment horizontal="right" wrapText="1"/>
    </xf>
    <xf numFmtId="0" fontId="59" fillId="27" borderId="0" xfId="43" applyFont="1" applyFill="1" applyAlignment="1">
      <alignment horizontal="left"/>
    </xf>
    <xf numFmtId="0" fontId="59" fillId="27" borderId="0" xfId="43" applyFont="1" applyFill="1" applyAlignment="1">
      <alignment vertical="center" wrapText="1"/>
    </xf>
    <xf numFmtId="171" fontId="59" fillId="0" borderId="0" xfId="0" applyNumberFormat="1" applyFont="1"/>
    <xf numFmtId="171" fontId="59" fillId="27" borderId="0" xfId="369" applyNumberFormat="1" applyFont="1" applyFill="1" applyAlignment="1">
      <alignment horizontal="right"/>
    </xf>
    <xf numFmtId="191" fontId="76" fillId="27" borderId="0" xfId="86" applyNumberFormat="1" applyFont="1" applyFill="1" applyAlignment="1">
      <alignment horizontal="right"/>
    </xf>
    <xf numFmtId="0" fontId="78" fillId="0" borderId="0" xfId="43" applyFont="1" applyFill="1"/>
    <xf numFmtId="191" fontId="59" fillId="27" borderId="0" xfId="86" applyNumberFormat="1" applyFont="1" applyFill="1"/>
    <xf numFmtId="0" fontId="74" fillId="27" borderId="0" xfId="43" applyFont="1" applyFill="1" applyBorder="1"/>
    <xf numFmtId="0" fontId="101" fillId="27" borderId="0" xfId="43" applyFont="1" applyFill="1"/>
    <xf numFmtId="0" fontId="67" fillId="0" borderId="0" xfId="43" applyFont="1" applyFill="1" applyAlignment="1"/>
    <xf numFmtId="1" fontId="59" fillId="27" borderId="0" xfId="43" applyNumberFormat="1" applyFont="1" applyFill="1" applyAlignment="1">
      <alignment horizontal="center"/>
    </xf>
    <xf numFmtId="0" fontId="59" fillId="27" borderId="0" xfId="43" applyFont="1" applyFill="1" applyAlignment="1">
      <alignment horizontal="right"/>
    </xf>
    <xf numFmtId="0" fontId="59" fillId="27" borderId="0" xfId="43" applyFont="1" applyFill="1" applyAlignment="1">
      <alignment horizontal="centerContinuous"/>
    </xf>
    <xf numFmtId="0" fontId="74" fillId="0" borderId="0" xfId="43" applyFont="1" applyFill="1"/>
    <xf numFmtId="0" fontId="74" fillId="0" borderId="15" xfId="43" applyFont="1" applyBorder="1"/>
    <xf numFmtId="0" fontId="74" fillId="0" borderId="15" xfId="43" applyFont="1" applyFill="1" applyBorder="1" applyAlignment="1"/>
    <xf numFmtId="0" fontId="71" fillId="27" borderId="15" xfId="90" applyFont="1" applyFill="1" applyBorder="1" applyAlignment="1">
      <alignment vertical="center"/>
    </xf>
    <xf numFmtId="186" fontId="71" fillId="27" borderId="15" xfId="51" applyNumberFormat="1" applyFont="1" applyFill="1" applyBorder="1" applyAlignment="1">
      <alignment horizontal="center" vertical="center" wrapText="1"/>
    </xf>
    <xf numFmtId="0" fontId="74" fillId="27" borderId="15" xfId="43" applyFont="1" applyFill="1" applyBorder="1"/>
    <xf numFmtId="186" fontId="74" fillId="27" borderId="15" xfId="51" applyNumberFormat="1" applyFont="1" applyFill="1" applyBorder="1" applyAlignment="1">
      <alignment horizontal="center"/>
    </xf>
    <xf numFmtId="186" fontId="59" fillId="27" borderId="15" xfId="51" applyNumberFormat="1" applyFont="1" applyFill="1" applyBorder="1" applyAlignment="1">
      <alignment horizontal="center"/>
    </xf>
    <xf numFmtId="0" fontId="59" fillId="27" borderId="15" xfId="90" applyFont="1" applyFill="1" applyBorder="1"/>
    <xf numFmtId="186" fontId="59" fillId="27" borderId="15" xfId="51" applyNumberFormat="1" applyFont="1" applyFill="1" applyBorder="1" applyAlignment="1">
      <alignment horizontal="center" vertical="center" wrapText="1"/>
    </xf>
    <xf numFmtId="186" fontId="59" fillId="27" borderId="24" xfId="51" applyNumberFormat="1" applyFont="1" applyFill="1" applyBorder="1" applyAlignment="1">
      <alignment horizontal="center"/>
    </xf>
    <xf numFmtId="0" fontId="61" fillId="28" borderId="0" xfId="43" applyFont="1" applyFill="1" applyAlignment="1">
      <alignment horizontal="right"/>
    </xf>
    <xf numFmtId="0" fontId="62" fillId="28" borderId="0" xfId="43" applyFont="1" applyFill="1" applyAlignment="1">
      <alignment horizontal="center"/>
    </xf>
    <xf numFmtId="0" fontId="61" fillId="28" borderId="0" xfId="43" applyFont="1" applyFill="1" applyAlignment="1">
      <alignment horizontal="center"/>
    </xf>
    <xf numFmtId="0" fontId="74" fillId="27" borderId="60" xfId="43" applyFont="1" applyFill="1" applyBorder="1"/>
    <xf numFmtId="0" fontId="59" fillId="27" borderId="32" xfId="43" applyFont="1" applyFill="1" applyBorder="1" applyAlignment="1">
      <alignment horizontal="center"/>
    </xf>
    <xf numFmtId="0" fontId="59" fillId="27" borderId="0" xfId="43" applyFont="1" applyFill="1" applyAlignment="1">
      <alignment vertical="justify" wrapText="1"/>
    </xf>
    <xf numFmtId="177" fontId="74" fillId="28" borderId="0" xfId="43" applyNumberFormat="1" applyFont="1" applyFill="1" applyAlignment="1" applyProtection="1">
      <alignment horizontal="right"/>
    </xf>
    <xf numFmtId="177" fontId="62" fillId="27" borderId="36" xfId="43" applyNumberFormat="1" applyFont="1" applyFill="1" applyBorder="1" applyAlignment="1" applyProtection="1"/>
    <xf numFmtId="3" fontId="59" fillId="28" borderId="18" xfId="43" applyNumberFormat="1" applyFont="1" applyFill="1" applyBorder="1" applyAlignment="1">
      <alignment horizontal="right"/>
    </xf>
    <xf numFmtId="3" fontId="59" fillId="0" borderId="18" xfId="43" applyNumberFormat="1" applyFont="1" applyFill="1" applyBorder="1" applyAlignment="1">
      <alignment horizontal="right"/>
    </xf>
    <xf numFmtId="177" fontId="61" fillId="27" borderId="15" xfId="43" applyNumberFormat="1" applyFont="1" applyFill="1" applyBorder="1" applyAlignment="1" applyProtection="1"/>
    <xf numFmtId="3" fontId="61" fillId="28" borderId="18" xfId="43" applyNumberFormat="1" applyFont="1" applyFill="1" applyBorder="1" applyAlignment="1" applyProtection="1">
      <alignment horizontal="right"/>
    </xf>
    <xf numFmtId="3" fontId="61" fillId="0" borderId="18" xfId="43" applyNumberFormat="1" applyFont="1" applyFill="1" applyBorder="1" applyAlignment="1" applyProtection="1">
      <alignment horizontal="right"/>
    </xf>
    <xf numFmtId="177" fontId="106" fillId="27" borderId="15" xfId="43" applyNumberFormat="1" applyFont="1" applyFill="1" applyBorder="1" applyAlignment="1" applyProtection="1"/>
    <xf numFmtId="177" fontId="84" fillId="27" borderId="15" xfId="43" applyNumberFormat="1" applyFont="1" applyFill="1" applyBorder="1" applyAlignment="1" applyProtection="1"/>
    <xf numFmtId="177" fontId="106" fillId="27" borderId="24" xfId="43" applyNumberFormat="1" applyFont="1" applyFill="1" applyBorder="1" applyAlignment="1" applyProtection="1"/>
    <xf numFmtId="3" fontId="59" fillId="28" borderId="30" xfId="43" applyNumberFormat="1" applyFont="1" applyFill="1" applyBorder="1" applyAlignment="1">
      <alignment horizontal="right"/>
    </xf>
    <xf numFmtId="177" fontId="62" fillId="27" borderId="0" xfId="43" applyNumberFormat="1" applyFont="1" applyFill="1" applyBorder="1" applyAlignment="1" applyProtection="1"/>
    <xf numFmtId="39" fontId="62" fillId="27" borderId="0" xfId="43" applyNumberFormat="1" applyFont="1" applyFill="1" applyBorder="1" applyAlignment="1" applyProtection="1"/>
    <xf numFmtId="10" fontId="62" fillId="27" borderId="0" xfId="372" applyNumberFormat="1" applyFont="1" applyFill="1" applyBorder="1" applyAlignment="1" applyProtection="1"/>
    <xf numFmtId="10" fontId="62" fillId="27" borderId="0" xfId="97" applyNumberFormat="1" applyFont="1" applyFill="1" applyBorder="1" applyAlignment="1" applyProtection="1"/>
    <xf numFmtId="0" fontId="59" fillId="0" borderId="0" xfId="0" applyFont="1" applyAlignment="1">
      <alignment wrapText="1"/>
    </xf>
    <xf numFmtId="3" fontId="59" fillId="0" borderId="0" xfId="0" applyNumberFormat="1" applyFont="1" applyAlignment="1">
      <alignment wrapText="1"/>
    </xf>
    <xf numFmtId="10" fontId="59" fillId="27" borderId="0" xfId="97" applyNumberFormat="1" applyFont="1" applyFill="1"/>
    <xf numFmtId="0" fontId="59" fillId="27" borderId="26" xfId="43" applyFont="1" applyFill="1" applyBorder="1" applyAlignment="1">
      <alignment horizontal="centerContinuous" vertical="center" wrapText="1"/>
    </xf>
    <xf numFmtId="0" fontId="59" fillId="27" borderId="14" xfId="43" applyFont="1" applyFill="1" applyBorder="1" applyAlignment="1">
      <alignment horizontal="centerContinuous" vertical="center" wrapText="1"/>
    </xf>
    <xf numFmtId="10" fontId="59" fillId="27" borderId="32" xfId="97" applyNumberFormat="1" applyFont="1" applyFill="1" applyBorder="1"/>
    <xf numFmtId="10" fontId="59" fillId="27" borderId="15" xfId="97" applyNumberFormat="1" applyFont="1" applyFill="1" applyBorder="1"/>
    <xf numFmtId="0" fontId="73" fillId="27" borderId="14" xfId="43" applyFont="1" applyFill="1" applyBorder="1"/>
    <xf numFmtId="3" fontId="109" fillId="27" borderId="15" xfId="43" applyNumberFormat="1" applyFont="1" applyFill="1" applyBorder="1"/>
    <xf numFmtId="10" fontId="109" fillId="27" borderId="15" xfId="97" applyNumberFormat="1" applyFont="1" applyFill="1" applyBorder="1" applyAlignment="1">
      <alignment horizontal="center"/>
    </xf>
    <xf numFmtId="3" fontId="66" fillId="27" borderId="15" xfId="43" applyNumberFormat="1" applyFont="1" applyFill="1" applyBorder="1"/>
    <xf numFmtId="10" fontId="63" fillId="27" borderId="15" xfId="97" applyNumberFormat="1" applyFont="1" applyFill="1" applyBorder="1" applyAlignment="1">
      <alignment horizontal="center"/>
    </xf>
    <xf numFmtId="10" fontId="59" fillId="27" borderId="24" xfId="97" applyNumberFormat="1" applyFont="1" applyFill="1" applyBorder="1"/>
    <xf numFmtId="0" fontId="109" fillId="27" borderId="14" xfId="43" applyFont="1" applyFill="1" applyBorder="1"/>
    <xf numFmtId="10" fontId="110" fillId="27" borderId="15" xfId="97" applyNumberFormat="1" applyFont="1" applyFill="1" applyBorder="1" applyAlignment="1">
      <alignment horizontal="center"/>
    </xf>
    <xf numFmtId="3" fontId="83" fillId="28" borderId="15" xfId="43" applyNumberFormat="1" applyFont="1" applyFill="1" applyBorder="1"/>
    <xf numFmtId="3" fontId="66" fillId="28" borderId="15" xfId="43" applyNumberFormat="1" applyFont="1" applyFill="1" applyBorder="1"/>
    <xf numFmtId="0" fontId="59" fillId="28" borderId="0" xfId="368" applyFont="1" applyFill="1"/>
    <xf numFmtId="3" fontId="109" fillId="28" borderId="15" xfId="43" applyNumberFormat="1" applyFont="1" applyFill="1" applyBorder="1"/>
    <xf numFmtId="3" fontId="59" fillId="27" borderId="49" xfId="43" applyNumberFormat="1" applyFont="1" applyFill="1" applyBorder="1"/>
    <xf numFmtId="0" fontId="59" fillId="0" borderId="42" xfId="368" applyFont="1" applyBorder="1"/>
    <xf numFmtId="0" fontId="61" fillId="27" borderId="15" xfId="43" applyFont="1" applyFill="1" applyBorder="1"/>
    <xf numFmtId="10" fontId="78" fillId="27" borderId="15" xfId="97" applyNumberFormat="1" applyFont="1" applyFill="1" applyBorder="1"/>
    <xf numFmtId="0" fontId="78" fillId="27" borderId="15" xfId="43" applyFont="1" applyFill="1" applyBorder="1"/>
    <xf numFmtId="0" fontId="59" fillId="27" borderId="26" xfId="43" applyFont="1" applyFill="1" applyBorder="1" applyAlignment="1">
      <alignment horizontal="center" vertical="center" wrapText="1"/>
    </xf>
    <xf numFmtId="4" fontId="59" fillId="27" borderId="15" xfId="43" applyNumberFormat="1" applyFont="1" applyFill="1" applyBorder="1"/>
    <xf numFmtId="0" fontId="102" fillId="27" borderId="14" xfId="43" applyFont="1" applyFill="1" applyBorder="1"/>
    <xf numFmtId="0" fontId="71" fillId="0" borderId="14" xfId="43" applyFont="1" applyFill="1" applyBorder="1"/>
    <xf numFmtId="3" fontId="73" fillId="0" borderId="15" xfId="43" applyNumberFormat="1" applyFont="1" applyFill="1" applyBorder="1"/>
    <xf numFmtId="0" fontId="84" fillId="27" borderId="29" xfId="43" applyFont="1" applyFill="1" applyBorder="1"/>
    <xf numFmtId="3" fontId="84" fillId="27" borderId="24" xfId="43" applyNumberFormat="1" applyFont="1" applyFill="1" applyBorder="1"/>
    <xf numFmtId="0" fontId="84" fillId="27" borderId="49" xfId="43" applyFont="1" applyFill="1" applyBorder="1"/>
    <xf numFmtId="3" fontId="84" fillId="27" borderId="49" xfId="43" applyNumberFormat="1" applyFont="1" applyFill="1" applyBorder="1"/>
    <xf numFmtId="0" fontId="59" fillId="28" borderId="0" xfId="43" applyFont="1" applyFill="1" applyBorder="1"/>
    <xf numFmtId="3" fontId="67" fillId="28" borderId="0" xfId="43" applyNumberFormat="1" applyFont="1" applyFill="1" applyBorder="1"/>
    <xf numFmtId="0" fontId="59" fillId="28" borderId="0" xfId="43" applyFont="1" applyFill="1" applyAlignment="1">
      <alignment horizontal="left" wrapText="1"/>
    </xf>
    <xf numFmtId="0" fontId="59" fillId="0" borderId="0" xfId="368" applyFont="1" applyAlignment="1">
      <alignment wrapText="1"/>
    </xf>
    <xf numFmtId="0" fontId="59" fillId="0" borderId="0" xfId="368" applyFont="1" applyAlignment="1">
      <alignment vertical="center"/>
    </xf>
    <xf numFmtId="0" fontId="62" fillId="27" borderId="0" xfId="43" applyFont="1" applyFill="1" applyAlignment="1">
      <alignment vertical="center"/>
    </xf>
    <xf numFmtId="0" fontId="59" fillId="27" borderId="0" xfId="43" applyFont="1" applyFill="1" applyAlignment="1">
      <alignment vertical="center"/>
    </xf>
    <xf numFmtId="0" fontId="61" fillId="27" borderId="0" xfId="43" applyFont="1" applyFill="1" applyAlignment="1">
      <alignment vertical="center"/>
    </xf>
    <xf numFmtId="3" fontId="59" fillId="27" borderId="0" xfId="43" applyNumberFormat="1" applyFont="1" applyFill="1" applyAlignment="1">
      <alignment vertical="center"/>
    </xf>
    <xf numFmtId="0" fontId="59" fillId="27" borderId="26" xfId="43" applyFont="1" applyFill="1" applyBorder="1" applyAlignment="1">
      <alignment vertical="center"/>
    </xf>
    <xf numFmtId="3" fontId="59" fillId="27" borderId="32" xfId="43" applyNumberFormat="1" applyFont="1" applyFill="1" applyBorder="1" applyAlignment="1">
      <alignment vertical="center"/>
    </xf>
    <xf numFmtId="0" fontId="59" fillId="27" borderId="29" xfId="43" applyFont="1" applyFill="1" applyBorder="1" applyAlignment="1">
      <alignment vertical="center"/>
    </xf>
    <xf numFmtId="0" fontId="59" fillId="27" borderId="24" xfId="43" applyFont="1" applyFill="1" applyBorder="1" applyAlignment="1">
      <alignment vertical="center"/>
    </xf>
    <xf numFmtId="0" fontId="107" fillId="28" borderId="14" xfId="43" applyFont="1" applyFill="1" applyBorder="1" applyAlignment="1">
      <alignment vertical="center"/>
    </xf>
    <xf numFmtId="3" fontId="96" fillId="28" borderId="15" xfId="43" applyNumberFormat="1" applyFont="1" applyFill="1" applyBorder="1" applyAlignment="1">
      <alignment vertical="center"/>
    </xf>
    <xf numFmtId="0" fontId="59" fillId="28" borderId="0" xfId="368" applyFont="1" applyFill="1" applyAlignment="1">
      <alignment vertical="center"/>
    </xf>
    <xf numFmtId="0" fontId="59" fillId="27" borderId="14" xfId="43" applyFont="1" applyFill="1" applyBorder="1" applyAlignment="1">
      <alignment vertical="center"/>
    </xf>
    <xf numFmtId="0" fontId="59" fillId="27" borderId="15" xfId="43" applyFont="1" applyFill="1" applyBorder="1" applyAlignment="1">
      <alignment vertical="center"/>
    </xf>
    <xf numFmtId="172" fontId="67" fillId="27" borderId="14" xfId="86" applyFont="1" applyFill="1" applyBorder="1" applyAlignment="1">
      <alignment vertical="center"/>
    </xf>
    <xf numFmtId="3" fontId="67" fillId="27" borderId="15" xfId="43" applyNumberFormat="1" applyFont="1" applyFill="1" applyBorder="1" applyAlignment="1">
      <alignment vertical="center"/>
    </xf>
    <xf numFmtId="3" fontId="61" fillId="0" borderId="15" xfId="43" applyNumberFormat="1" applyFont="1" applyFill="1" applyBorder="1" applyAlignment="1">
      <alignment vertical="center"/>
    </xf>
    <xf numFmtId="3" fontId="61" fillId="27" borderId="15" xfId="43" applyNumberFormat="1" applyFont="1" applyFill="1" applyBorder="1" applyAlignment="1">
      <alignment vertical="center"/>
    </xf>
    <xf numFmtId="3" fontId="59" fillId="27" borderId="15" xfId="43" applyNumberFormat="1" applyFont="1" applyFill="1" applyBorder="1" applyAlignment="1">
      <alignment vertical="center"/>
    </xf>
    <xf numFmtId="0" fontId="59" fillId="0" borderId="14" xfId="43" applyFont="1" applyFill="1" applyBorder="1" applyAlignment="1">
      <alignment vertical="center"/>
    </xf>
    <xf numFmtId="0" fontId="67" fillId="27" borderId="14" xfId="43" applyFont="1" applyFill="1" applyBorder="1" applyAlignment="1">
      <alignment vertical="center"/>
    </xf>
    <xf numFmtId="3" fontId="67" fillId="0" borderId="15" xfId="43" applyNumberFormat="1" applyFont="1" applyFill="1" applyBorder="1" applyAlignment="1">
      <alignment vertical="center"/>
    </xf>
    <xf numFmtId="0" fontId="84" fillId="27" borderId="14" xfId="43" applyFont="1" applyFill="1" applyBorder="1" applyAlignment="1">
      <alignment vertical="center"/>
    </xf>
    <xf numFmtId="3" fontId="75" fillId="27" borderId="15" xfId="43" applyNumberFormat="1" applyFont="1" applyFill="1" applyBorder="1" applyAlignment="1">
      <alignment vertical="center"/>
    </xf>
    <xf numFmtId="0" fontId="111" fillId="0" borderId="14" xfId="43" applyFont="1" applyFill="1" applyBorder="1" applyAlignment="1">
      <alignment vertical="center"/>
    </xf>
    <xf numFmtId="3" fontId="71" fillId="0" borderId="15" xfId="43" applyNumberFormat="1" applyFont="1" applyFill="1" applyBorder="1" applyAlignment="1">
      <alignment vertical="center"/>
    </xf>
    <xf numFmtId="3" fontId="67" fillId="27" borderId="14" xfId="43" applyNumberFormat="1" applyFont="1" applyFill="1" applyBorder="1" applyAlignment="1">
      <alignment vertical="center"/>
    </xf>
    <xf numFmtId="0" fontId="67" fillId="0" borderId="14" xfId="43" applyFont="1" applyFill="1" applyBorder="1" applyAlignment="1">
      <alignment vertical="center"/>
    </xf>
    <xf numFmtId="3" fontId="67" fillId="0" borderId="14" xfId="43" applyNumberFormat="1" applyFont="1" applyFill="1" applyBorder="1" applyAlignment="1">
      <alignment vertical="center"/>
    </xf>
    <xf numFmtId="3" fontId="73" fillId="28" borderId="15" xfId="43" applyNumberFormat="1" applyFont="1" applyFill="1" applyBorder="1" applyAlignment="1">
      <alignment vertical="center"/>
    </xf>
    <xf numFmtId="3" fontId="67" fillId="27" borderId="24" xfId="43" applyNumberFormat="1" applyFont="1" applyFill="1" applyBorder="1" applyAlignment="1">
      <alignment vertical="center"/>
    </xf>
    <xf numFmtId="0" fontId="66" fillId="0" borderId="14" xfId="43" applyFont="1" applyFill="1" applyBorder="1" applyAlignment="1">
      <alignment vertical="center"/>
    </xf>
    <xf numFmtId="3" fontId="96" fillId="0" borderId="15" xfId="43" applyNumberFormat="1" applyFont="1" applyFill="1" applyBorder="1" applyAlignment="1">
      <alignment vertical="center"/>
    </xf>
    <xf numFmtId="0" fontId="93" fillId="28" borderId="29" xfId="43" applyFont="1" applyFill="1" applyBorder="1" applyAlignment="1">
      <alignment vertical="center"/>
    </xf>
    <xf numFmtId="3" fontId="107" fillId="28" borderId="24" xfId="43" applyNumberFormat="1" applyFont="1" applyFill="1" applyBorder="1" applyAlignment="1">
      <alignment vertical="center"/>
    </xf>
    <xf numFmtId="0" fontId="64" fillId="28" borderId="0" xfId="368" applyFont="1" applyFill="1" applyAlignment="1">
      <alignment vertical="center"/>
    </xf>
    <xf numFmtId="0" fontId="78" fillId="28" borderId="0" xfId="43" applyFont="1" applyFill="1" applyAlignment="1">
      <alignment vertical="center"/>
    </xf>
    <xf numFmtId="3" fontId="78" fillId="28" borderId="0" xfId="43" applyNumberFormat="1" applyFont="1" applyFill="1" applyAlignment="1">
      <alignment vertical="center"/>
    </xf>
    <xf numFmtId="173" fontId="78" fillId="28" borderId="0" xfId="85" applyFont="1" applyFill="1" applyAlignment="1">
      <alignment vertical="center"/>
    </xf>
    <xf numFmtId="0" fontId="112" fillId="27" borderId="0" xfId="43" applyFont="1" applyFill="1"/>
    <xf numFmtId="175" fontId="83" fillId="27" borderId="0" xfId="86" applyNumberFormat="1" applyFont="1" applyFill="1"/>
    <xf numFmtId="0" fontId="66" fillId="27" borderId="76" xfId="43" applyFont="1" applyFill="1" applyBorder="1" applyAlignment="1">
      <alignment horizontal="center" vertical="center"/>
    </xf>
    <xf numFmtId="0" fontId="66" fillId="27" borderId="66" xfId="43" applyFont="1" applyFill="1" applyBorder="1" applyAlignment="1">
      <alignment horizontal="center" vertical="center"/>
    </xf>
    <xf numFmtId="0" fontId="83" fillId="27" borderId="68" xfId="43" applyFont="1" applyFill="1" applyBorder="1" applyAlignment="1">
      <alignment vertical="center" wrapText="1"/>
    </xf>
    <xf numFmtId="173" fontId="83" fillId="27" borderId="0" xfId="85" applyFont="1" applyFill="1"/>
    <xf numFmtId="0" fontId="83" fillId="27" borderId="69" xfId="43" applyFont="1" applyFill="1" applyBorder="1" applyAlignment="1">
      <alignment horizontal="justify" vertical="top" wrapText="1"/>
    </xf>
    <xf numFmtId="0" fontId="83" fillId="27" borderId="92" xfId="43" applyFont="1" applyFill="1" applyBorder="1"/>
    <xf numFmtId="0" fontId="83" fillId="27" borderId="92" xfId="43" applyFont="1" applyFill="1" applyBorder="1" applyAlignment="1">
      <alignment vertical="center" wrapText="1"/>
    </xf>
    <xf numFmtId="0" fontId="83" fillId="27" borderId="69" xfId="43" applyFont="1" applyFill="1" applyBorder="1" applyAlignment="1">
      <alignment vertical="center" wrapText="1"/>
    </xf>
    <xf numFmtId="0" fontId="107" fillId="30" borderId="14" xfId="43" applyFont="1" applyFill="1" applyBorder="1" applyAlignment="1">
      <alignment vertical="center"/>
    </xf>
    <xf numFmtId="3" fontId="96" fillId="30" borderId="15" xfId="43" applyNumberFormat="1" applyFont="1" applyFill="1" applyBorder="1" applyAlignment="1">
      <alignment vertical="center"/>
    </xf>
    <xf numFmtId="177" fontId="93" fillId="30" borderId="94" xfId="43" applyNumberFormat="1" applyFont="1" applyFill="1" applyBorder="1" applyAlignment="1" applyProtection="1">
      <alignment horizontal="center" vertical="center"/>
    </xf>
    <xf numFmtId="177" fontId="93" fillId="30" borderId="32" xfId="43" applyNumberFormat="1" applyFont="1" applyFill="1" applyBorder="1" applyAlignment="1" applyProtection="1">
      <alignment horizontal="center" vertical="center"/>
    </xf>
    <xf numFmtId="177" fontId="93" fillId="30" borderId="15" xfId="43" applyNumberFormat="1" applyFont="1" applyFill="1" applyBorder="1" applyAlignment="1" applyProtection="1">
      <alignment horizontal="center" vertical="center"/>
    </xf>
    <xf numFmtId="3" fontId="71" fillId="30" borderId="15" xfId="43" applyNumberFormat="1" applyFont="1" applyFill="1" applyBorder="1" applyAlignment="1">
      <alignment horizontal="center"/>
    </xf>
    <xf numFmtId="171" fontId="73" fillId="30" borderId="57" xfId="86" applyNumberFormat="1" applyFont="1" applyFill="1" applyBorder="1" applyAlignment="1">
      <alignment horizontal="right" vertical="center" wrapText="1"/>
    </xf>
    <xf numFmtId="171" fontId="73" fillId="30" borderId="75" xfId="86" applyNumberFormat="1" applyFont="1" applyFill="1" applyBorder="1" applyAlignment="1">
      <alignment horizontal="right" vertical="center" wrapText="1"/>
    </xf>
    <xf numFmtId="171" fontId="73" fillId="30" borderId="58" xfId="86" applyNumberFormat="1" applyFont="1" applyFill="1" applyBorder="1" applyAlignment="1">
      <alignment horizontal="right" vertical="center" wrapText="1"/>
    </xf>
    <xf numFmtId="171" fontId="73" fillId="30" borderId="23" xfId="86" applyNumberFormat="1" applyFont="1" applyFill="1" applyBorder="1" applyAlignment="1">
      <alignment horizontal="right" vertical="center" wrapText="1"/>
    </xf>
    <xf numFmtId="0" fontId="80" fillId="30" borderId="15" xfId="43" applyFont="1" applyFill="1" applyBorder="1" applyAlignment="1">
      <alignment vertical="center" wrapText="1"/>
    </xf>
    <xf numFmtId="0" fontId="71" fillId="30" borderId="57" xfId="43" applyFont="1" applyFill="1" applyBorder="1" applyAlignment="1">
      <alignment horizontal="center" vertical="center" wrapText="1"/>
    </xf>
    <xf numFmtId="0" fontId="71" fillId="30" borderId="55" xfId="43" applyFont="1" applyFill="1" applyBorder="1" applyAlignment="1">
      <alignment horizontal="center" vertical="center" wrapText="1"/>
    </xf>
    <xf numFmtId="0" fontId="71" fillId="30" borderId="58" xfId="43" applyFont="1" applyFill="1" applyBorder="1" applyAlignment="1">
      <alignment horizontal="center" vertical="center" wrapText="1"/>
    </xf>
    <xf numFmtId="0" fontId="72" fillId="30" borderId="23" xfId="379" quotePrefix="1" applyFont="1" applyFill="1" applyBorder="1" applyAlignment="1">
      <alignment horizontal="center" vertical="center" wrapText="1"/>
    </xf>
    <xf numFmtId="0" fontId="71" fillId="30" borderId="43" xfId="43" applyFont="1" applyFill="1" applyBorder="1" applyAlignment="1">
      <alignment horizontal="left" vertical="center"/>
    </xf>
    <xf numFmtId="3" fontId="71" fillId="30" borderId="44" xfId="43" applyNumberFormat="1" applyFont="1" applyFill="1" applyBorder="1" applyAlignment="1">
      <alignment horizontal="right" vertical="center"/>
    </xf>
    <xf numFmtId="0" fontId="93" fillId="30" borderId="14" xfId="43" applyFont="1" applyFill="1" applyBorder="1" applyAlignment="1">
      <alignment vertical="center"/>
    </xf>
    <xf numFmtId="3" fontId="73" fillId="30" borderId="15" xfId="43" applyNumberFormat="1" applyFont="1" applyFill="1" applyBorder="1" applyAlignment="1">
      <alignment vertical="center"/>
    </xf>
    <xf numFmtId="3" fontId="71" fillId="30" borderId="15" xfId="43" applyNumberFormat="1" applyFont="1" applyFill="1" applyBorder="1" applyAlignment="1">
      <alignment vertical="center"/>
    </xf>
    <xf numFmtId="3" fontId="59" fillId="0" borderId="96" xfId="43" applyNumberFormat="1" applyFont="1" applyFill="1" applyBorder="1" applyAlignment="1">
      <alignment horizontal="right" vertical="center"/>
    </xf>
    <xf numFmtId="0" fontId="67" fillId="0" borderId="25" xfId="43" applyFont="1" applyFill="1" applyBorder="1" applyAlignment="1">
      <alignment vertical="center"/>
    </xf>
    <xf numFmtId="3" fontId="67" fillId="0" borderId="25" xfId="91" applyNumberFormat="1" applyFont="1" applyFill="1" applyBorder="1" applyAlignment="1">
      <alignment vertical="center"/>
    </xf>
    <xf numFmtId="0" fontId="59" fillId="0" borderId="25" xfId="43" applyFont="1" applyFill="1" applyBorder="1" applyAlignment="1">
      <alignment vertical="center"/>
    </xf>
    <xf numFmtId="3" fontId="59" fillId="0" borderId="25" xfId="91" applyNumberFormat="1" applyFont="1" applyFill="1" applyBorder="1" applyAlignment="1">
      <alignment vertical="center"/>
    </xf>
    <xf numFmtId="0" fontId="75" fillId="27" borderId="0" xfId="43" applyFont="1" applyFill="1" applyAlignment="1">
      <alignment vertical="center"/>
    </xf>
    <xf numFmtId="173" fontId="67" fillId="27" borderId="0" xfId="85" applyNumberFormat="1" applyFont="1" applyFill="1" applyAlignment="1">
      <alignment horizontal="center" vertical="center"/>
    </xf>
    <xf numFmtId="3" fontId="59" fillId="0" borderId="87" xfId="43" applyNumberFormat="1" applyFont="1" applyFill="1" applyBorder="1" applyAlignment="1">
      <alignment vertical="center"/>
    </xf>
    <xf numFmtId="3" fontId="59" fillId="0" borderId="88" xfId="43" applyNumberFormat="1" applyFont="1" applyFill="1" applyBorder="1" applyAlignment="1">
      <alignment vertical="center"/>
    </xf>
    <xf numFmtId="3" fontId="59" fillId="0" borderId="86" xfId="43" applyNumberFormat="1" applyFont="1" applyFill="1" applyBorder="1" applyAlignment="1">
      <alignment vertical="center"/>
    </xf>
    <xf numFmtId="0" fontId="59" fillId="0" borderId="86" xfId="43" applyFont="1" applyFill="1" applyBorder="1" applyAlignment="1">
      <alignment vertical="center"/>
    </xf>
    <xf numFmtId="0" fontId="59" fillId="0" borderId="87" xfId="43" applyFont="1" applyFill="1" applyBorder="1" applyAlignment="1">
      <alignment vertical="center"/>
    </xf>
    <xf numFmtId="0" fontId="59" fillId="0" borderId="90" xfId="43" applyFont="1" applyFill="1" applyBorder="1" applyAlignment="1">
      <alignment vertical="center"/>
    </xf>
    <xf numFmtId="3" fontId="59" fillId="0" borderId="90" xfId="43" applyNumberFormat="1" applyFont="1" applyFill="1" applyBorder="1" applyAlignment="1">
      <alignment vertical="center"/>
    </xf>
    <xf numFmtId="0" fontId="59" fillId="0" borderId="0" xfId="43" applyFont="1" applyFill="1" applyBorder="1" applyAlignment="1">
      <alignment vertical="center"/>
    </xf>
    <xf numFmtId="3" fontId="59" fillId="0" borderId="0" xfId="43" applyNumberFormat="1" applyFont="1" applyFill="1" applyBorder="1" applyAlignment="1">
      <alignment vertical="center"/>
    </xf>
    <xf numFmtId="0" fontId="59" fillId="27" borderId="0" xfId="43" applyFont="1" applyFill="1" applyBorder="1" applyAlignment="1">
      <alignment vertical="center"/>
    </xf>
    <xf numFmtId="3" fontId="91" fillId="0" borderId="0" xfId="85" applyNumberFormat="1" applyFont="1" applyFill="1" applyAlignment="1">
      <alignment horizontal="center" vertical="center"/>
    </xf>
    <xf numFmtId="3" fontId="91" fillId="0" borderId="0" xfId="85" applyNumberFormat="1" applyFont="1" applyFill="1" applyBorder="1" applyAlignment="1">
      <alignment horizontal="center" vertical="center"/>
    </xf>
    <xf numFmtId="0" fontId="59" fillId="27" borderId="39" xfId="43" applyFont="1" applyFill="1" applyBorder="1" applyAlignment="1">
      <alignment vertical="center"/>
    </xf>
    <xf numFmtId="3" fontId="59" fillId="0" borderId="39" xfId="43" applyNumberFormat="1" applyFont="1" applyFill="1" applyBorder="1" applyAlignment="1">
      <alignment vertical="center"/>
    </xf>
    <xf numFmtId="3" fontId="59" fillId="0" borderId="0" xfId="43" applyNumberFormat="1" applyFont="1" applyFill="1" applyAlignment="1">
      <alignment vertical="center"/>
    </xf>
    <xf numFmtId="0" fontId="59" fillId="27" borderId="0" xfId="43" applyFont="1" applyFill="1" applyAlignment="1">
      <alignment horizontal="left" vertical="center" indent="1"/>
    </xf>
    <xf numFmtId="0" fontId="74" fillId="27" borderId="0" xfId="43" applyFont="1" applyFill="1" applyAlignment="1">
      <alignment horizontal="left" vertical="center" indent="2"/>
    </xf>
    <xf numFmtId="3" fontId="74" fillId="27" borderId="0" xfId="43" applyNumberFormat="1" applyFont="1" applyFill="1" applyAlignment="1">
      <alignment horizontal="left" vertical="center" indent="2"/>
    </xf>
    <xf numFmtId="0" fontId="59" fillId="27" borderId="25" xfId="43" applyFont="1" applyFill="1" applyBorder="1" applyAlignment="1">
      <alignment vertical="center"/>
    </xf>
    <xf numFmtId="3" fontId="59" fillId="0" borderId="25" xfId="43" applyNumberFormat="1" applyFont="1" applyFill="1" applyBorder="1" applyAlignment="1">
      <alignment vertical="center"/>
    </xf>
    <xf numFmtId="0" fontId="59" fillId="0" borderId="0" xfId="43" applyFont="1" applyFill="1" applyAlignment="1">
      <alignment horizontal="left" vertical="center" indent="1"/>
    </xf>
    <xf numFmtId="0" fontId="59" fillId="0" borderId="25" xfId="91" applyFont="1" applyFill="1" applyBorder="1" applyAlignment="1">
      <alignment vertical="center"/>
    </xf>
    <xf numFmtId="3" fontId="59" fillId="0" borderId="47" xfId="91" applyNumberFormat="1" applyFont="1" applyFill="1" applyBorder="1" applyAlignment="1">
      <alignment vertical="center"/>
    </xf>
    <xf numFmtId="3" fontId="59" fillId="0" borderId="47" xfId="43" applyNumberFormat="1" applyFont="1" applyFill="1" applyBorder="1" applyAlignment="1">
      <alignment vertical="center"/>
    </xf>
    <xf numFmtId="3" fontId="59" fillId="0" borderId="86" xfId="91" applyNumberFormat="1" applyFont="1" applyFill="1" applyBorder="1" applyAlignment="1">
      <alignment vertical="center"/>
    </xf>
    <xf numFmtId="3" fontId="59" fillId="0" borderId="0" xfId="91" applyNumberFormat="1" applyFont="1" applyFill="1" applyBorder="1" applyAlignment="1">
      <alignment vertical="center"/>
    </xf>
    <xf numFmtId="0" fontId="84" fillId="0" borderId="0" xfId="43" applyFont="1" applyFill="1" applyBorder="1" applyAlignment="1">
      <alignment vertical="center"/>
    </xf>
    <xf numFmtId="0" fontId="59" fillId="0" borderId="89" xfId="43" applyFont="1" applyFill="1" applyBorder="1" applyAlignment="1">
      <alignment vertical="center"/>
    </xf>
    <xf numFmtId="3" fontId="59" fillId="0" borderId="89" xfId="91" applyNumberFormat="1" applyFont="1" applyFill="1" applyBorder="1" applyAlignment="1">
      <alignment vertical="center"/>
    </xf>
    <xf numFmtId="3" fontId="59" fillId="0" borderId="87" xfId="91" applyNumberFormat="1" applyFont="1" applyFill="1" applyBorder="1" applyAlignment="1">
      <alignment vertical="center"/>
    </xf>
    <xf numFmtId="0" fontId="84" fillId="0" borderId="0" xfId="43" applyFont="1" applyFill="1" applyAlignment="1">
      <alignment vertical="center"/>
    </xf>
    <xf numFmtId="0" fontId="59" fillId="0" borderId="47" xfId="43" applyFont="1" applyFill="1" applyBorder="1" applyAlignment="1">
      <alignment vertical="center"/>
    </xf>
    <xf numFmtId="0" fontId="59" fillId="0" borderId="39" xfId="43" applyFont="1" applyFill="1" applyBorder="1" applyAlignment="1">
      <alignment vertical="center"/>
    </xf>
    <xf numFmtId="0" fontId="59" fillId="0" borderId="45" xfId="43" applyFont="1" applyFill="1" applyBorder="1" applyAlignment="1">
      <alignment vertical="center"/>
    </xf>
    <xf numFmtId="0" fontId="59" fillId="0" borderId="88" xfId="43" applyFont="1" applyFill="1" applyBorder="1" applyAlignment="1">
      <alignment vertical="center"/>
    </xf>
    <xf numFmtId="1" fontId="59" fillId="0" borderId="88" xfId="43" applyNumberFormat="1" applyFont="1" applyFill="1" applyBorder="1" applyAlignment="1">
      <alignment vertical="center"/>
    </xf>
    <xf numFmtId="0" fontId="67" fillId="0" borderId="0" xfId="43" applyFont="1" applyFill="1" applyBorder="1" applyAlignment="1">
      <alignment vertical="center"/>
    </xf>
    <xf numFmtId="3" fontId="67" fillId="0" borderId="0" xfId="43" applyNumberFormat="1" applyFont="1" applyFill="1" applyBorder="1" applyAlignment="1">
      <alignment horizontal="right" vertical="center"/>
    </xf>
    <xf numFmtId="3" fontId="59" fillId="0" borderId="89" xfId="43" applyNumberFormat="1" applyFont="1" applyFill="1" applyBorder="1" applyAlignment="1">
      <alignment vertical="center"/>
    </xf>
    <xf numFmtId="0" fontId="74" fillId="27" borderId="0" xfId="43" applyFont="1" applyFill="1" applyAlignment="1">
      <alignment horizontal="center"/>
    </xf>
    <xf numFmtId="0" fontId="59" fillId="27" borderId="0" xfId="43" applyFont="1" applyFill="1" applyBorder="1" applyAlignment="1">
      <alignment wrapText="1"/>
    </xf>
    <xf numFmtId="0" fontId="59" fillId="27" borderId="0" xfId="43" applyFont="1" applyFill="1" applyBorder="1" applyAlignment="1">
      <alignment horizontal="left" vertical="center" wrapText="1"/>
    </xf>
    <xf numFmtId="0" fontId="61" fillId="0" borderId="0" xfId="43" applyFont="1" applyFill="1" applyAlignment="1"/>
    <xf numFmtId="0" fontId="61" fillId="0" borderId="0" xfId="43" applyFont="1" applyFill="1" applyAlignment="1">
      <alignment vertical="center"/>
    </xf>
    <xf numFmtId="0" fontId="93" fillId="28" borderId="14" xfId="43" applyFont="1" applyFill="1" applyBorder="1" applyAlignment="1">
      <alignment horizontal="left" vertical="center"/>
    </xf>
    <xf numFmtId="0" fontId="67" fillId="28" borderId="14" xfId="43" applyFont="1" applyFill="1" applyBorder="1" applyAlignment="1">
      <alignment vertical="center"/>
    </xf>
    <xf numFmtId="3" fontId="67" fillId="28" borderId="18" xfId="43" applyNumberFormat="1" applyFont="1" applyFill="1" applyBorder="1" applyAlignment="1">
      <alignment vertical="center"/>
    </xf>
    <xf numFmtId="3" fontId="67" fillId="28" borderId="15" xfId="43" applyNumberFormat="1" applyFont="1" applyFill="1" applyBorder="1" applyAlignment="1">
      <alignment vertical="center"/>
    </xf>
    <xf numFmtId="3" fontId="59" fillId="28" borderId="18" xfId="43" applyNumberFormat="1" applyFont="1" applyFill="1" applyBorder="1" applyAlignment="1">
      <alignment vertical="center"/>
    </xf>
    <xf numFmtId="3" fontId="59" fillId="28" borderId="15" xfId="43" applyNumberFormat="1" applyFont="1" applyFill="1" applyBorder="1" applyAlignment="1">
      <alignment vertical="center"/>
    </xf>
    <xf numFmtId="0" fontId="68" fillId="28" borderId="14" xfId="43" applyFont="1" applyFill="1" applyBorder="1" applyAlignment="1">
      <alignment vertical="center"/>
    </xf>
    <xf numFmtId="3" fontId="59" fillId="0" borderId="18" xfId="43" applyNumberFormat="1" applyFont="1" applyFill="1" applyBorder="1" applyAlignment="1">
      <alignment vertical="center"/>
    </xf>
    <xf numFmtId="3" fontId="59" fillId="0" borderId="15" xfId="43" applyNumberFormat="1" applyFont="1" applyFill="1" applyBorder="1" applyAlignment="1">
      <alignment vertical="center"/>
    </xf>
    <xf numFmtId="0" fontId="73" fillId="30" borderId="14" xfId="43" applyFont="1" applyFill="1" applyBorder="1" applyAlignment="1">
      <alignment vertical="center"/>
    </xf>
    <xf numFmtId="3" fontId="116" fillId="30" borderId="15" xfId="43" applyNumberFormat="1" applyFont="1" applyFill="1" applyBorder="1" applyAlignment="1">
      <alignment vertical="center"/>
    </xf>
    <xf numFmtId="0" fontId="107" fillId="30" borderId="14" xfId="43" applyFont="1" applyFill="1" applyBorder="1" applyAlignment="1">
      <alignment horizontal="left" vertical="center"/>
    </xf>
    <xf numFmtId="0" fontId="117" fillId="30" borderId="14" xfId="43" applyFont="1" applyFill="1" applyBorder="1" applyAlignment="1">
      <alignment vertical="center"/>
    </xf>
    <xf numFmtId="3" fontId="93" fillId="30" borderId="15" xfId="43" applyNumberFormat="1" applyFont="1" applyFill="1" applyBorder="1" applyAlignment="1">
      <alignment vertical="center"/>
    </xf>
    <xf numFmtId="0" fontId="78" fillId="28" borderId="0" xfId="368" applyFont="1" applyFill="1" applyAlignment="1">
      <alignment vertical="center"/>
    </xf>
    <xf numFmtId="0" fontId="74" fillId="0" borderId="0" xfId="368" applyFont="1" applyAlignment="1">
      <alignment vertical="center"/>
    </xf>
    <xf numFmtId="0" fontId="78" fillId="0" borderId="0" xfId="368" applyFont="1" applyAlignment="1">
      <alignment vertical="center"/>
    </xf>
    <xf numFmtId="0" fontId="108" fillId="30" borderId="14" xfId="43" applyFont="1" applyFill="1" applyBorder="1" applyAlignment="1">
      <alignment vertical="center"/>
    </xf>
    <xf numFmtId="0" fontId="83" fillId="0" borderId="0" xfId="368" applyFont="1" applyAlignment="1">
      <alignment vertical="center"/>
    </xf>
    <xf numFmtId="0" fontId="118" fillId="30" borderId="14" xfId="43" applyFont="1" applyFill="1" applyBorder="1" applyAlignment="1">
      <alignment vertical="center"/>
    </xf>
    <xf numFmtId="0" fontId="81" fillId="27" borderId="14" xfId="43" applyFont="1" applyFill="1" applyBorder="1" applyAlignment="1">
      <alignment vertical="center"/>
    </xf>
    <xf numFmtId="0" fontId="110" fillId="0" borderId="0" xfId="368" applyFont="1"/>
    <xf numFmtId="10" fontId="110" fillId="30" borderId="15" xfId="97" applyNumberFormat="1" applyFont="1" applyFill="1" applyBorder="1"/>
    <xf numFmtId="0" fontId="83" fillId="0" borderId="0" xfId="368" applyFont="1"/>
    <xf numFmtId="0" fontId="78" fillId="27" borderId="23" xfId="43" applyFont="1" applyFill="1" applyBorder="1" applyAlignment="1">
      <alignment horizontal="center" vertical="center" wrapText="1"/>
    </xf>
    <xf numFmtId="0" fontId="83" fillId="0" borderId="0" xfId="0" applyFont="1"/>
    <xf numFmtId="0" fontId="78" fillId="0" borderId="0" xfId="0" applyFont="1"/>
    <xf numFmtId="0" fontId="59" fillId="0" borderId="49" xfId="43" applyFont="1" applyFill="1" applyBorder="1" applyAlignment="1">
      <alignment vertical="center"/>
    </xf>
    <xf numFmtId="0" fontId="115" fillId="27" borderId="0" xfId="43" applyFont="1" applyFill="1" applyAlignment="1">
      <alignment horizontal="centerContinuous"/>
    </xf>
    <xf numFmtId="0" fontId="74" fillId="27" borderId="0" xfId="43" applyFont="1" applyFill="1" applyAlignment="1">
      <alignment horizontal="center" vertical="center"/>
    </xf>
    <xf numFmtId="3" fontId="74" fillId="27" borderId="0" xfId="43" applyNumberFormat="1" applyFont="1" applyFill="1" applyAlignment="1">
      <alignment vertical="center"/>
    </xf>
    <xf numFmtId="0" fontId="74" fillId="27" borderId="0" xfId="43" applyFont="1" applyFill="1" applyAlignment="1">
      <alignment vertical="center"/>
    </xf>
    <xf numFmtId="172" fontId="74" fillId="27" borderId="0" xfId="43" applyNumberFormat="1" applyFont="1" applyFill="1" applyAlignment="1">
      <alignment vertical="center"/>
    </xf>
    <xf numFmtId="3" fontId="74" fillId="27" borderId="0" xfId="43" applyNumberFormat="1" applyFont="1" applyFill="1"/>
    <xf numFmtId="0" fontId="74" fillId="0" borderId="0" xfId="368" applyFont="1"/>
    <xf numFmtId="10" fontId="74" fillId="27" borderId="0" xfId="97" applyNumberFormat="1" applyFont="1" applyFill="1"/>
    <xf numFmtId="0" fontId="115" fillId="27" borderId="0" xfId="43" applyFont="1" applyFill="1" applyAlignment="1">
      <alignment horizontal="center"/>
    </xf>
    <xf numFmtId="0" fontId="115" fillId="27" borderId="0" xfId="43" applyFont="1" applyFill="1"/>
    <xf numFmtId="3" fontId="74" fillId="27" borderId="0" xfId="43" applyNumberFormat="1" applyFont="1" applyFill="1" applyAlignment="1">
      <alignment horizontal="centerContinuous"/>
    </xf>
    <xf numFmtId="0" fontId="74" fillId="0" borderId="0" xfId="0" applyFont="1"/>
    <xf numFmtId="0" fontId="115" fillId="28" borderId="0" xfId="43" applyFont="1" applyFill="1" applyAlignment="1"/>
    <xf numFmtId="173" fontId="74" fillId="0" borderId="0" xfId="85" applyFont="1"/>
    <xf numFmtId="177" fontId="115" fillId="27" borderId="0" xfId="43" applyNumberFormat="1" applyFont="1" applyFill="1" applyBorder="1" applyAlignment="1" applyProtection="1">
      <alignment horizontal="center"/>
    </xf>
    <xf numFmtId="0" fontId="74" fillId="0" borderId="0" xfId="43" applyFont="1"/>
    <xf numFmtId="0" fontId="74" fillId="27" borderId="0" xfId="43" applyFont="1" applyFill="1" applyAlignment="1">
      <alignment horizontal="centerContinuous"/>
    </xf>
    <xf numFmtId="0" fontId="74" fillId="27" borderId="0" xfId="43" applyFont="1" applyFill="1" applyAlignment="1">
      <alignment horizontal="right"/>
    </xf>
    <xf numFmtId="0" fontId="61" fillId="0" borderId="0" xfId="368" applyFont="1"/>
    <xf numFmtId="0" fontId="61" fillId="0" borderId="0" xfId="43" applyFont="1"/>
    <xf numFmtId="0" fontId="78" fillId="0" borderId="0" xfId="368" applyFont="1"/>
    <xf numFmtId="0" fontId="78" fillId="0" borderId="0" xfId="43" applyFont="1"/>
    <xf numFmtId="190" fontId="74" fillId="27" borderId="0" xfId="86" applyNumberFormat="1" applyFont="1" applyFill="1" applyAlignment="1">
      <alignment horizontal="centerContinuous"/>
    </xf>
    <xf numFmtId="190" fontId="74" fillId="27" borderId="0" xfId="86" applyNumberFormat="1" applyFont="1" applyFill="1"/>
    <xf numFmtId="190" fontId="115" fillId="27" borderId="0" xfId="86" applyNumberFormat="1" applyFont="1" applyFill="1" applyAlignment="1">
      <alignment horizontal="center"/>
    </xf>
    <xf numFmtId="0" fontId="78" fillId="0" borderId="0" xfId="43" applyFont="1" applyFill="1" applyAlignment="1"/>
    <xf numFmtId="191" fontId="74" fillId="27" borderId="0" xfId="86" applyNumberFormat="1" applyFont="1" applyFill="1"/>
    <xf numFmtId="15" fontId="115" fillId="27" borderId="0" xfId="86" applyNumberFormat="1" applyFont="1" applyFill="1" applyAlignment="1">
      <alignment horizontal="center"/>
    </xf>
    <xf numFmtId="49" fontId="120" fillId="27" borderId="0" xfId="85" applyNumberFormat="1" applyFont="1" applyFill="1" applyAlignment="1">
      <alignment horizontal="center"/>
    </xf>
    <xf numFmtId="176" fontId="115" fillId="27" borderId="0" xfId="85" applyNumberFormat="1" applyFont="1" applyFill="1" applyBorder="1" applyAlignment="1">
      <alignment horizontal="center"/>
    </xf>
    <xf numFmtId="167" fontId="115" fillId="27" borderId="0" xfId="85" applyNumberFormat="1" applyFont="1" applyFill="1" applyBorder="1" applyAlignment="1">
      <alignment horizontal="center"/>
    </xf>
    <xf numFmtId="173" fontId="74" fillId="27" borderId="0" xfId="85" applyFont="1" applyFill="1"/>
    <xf numFmtId="167" fontId="74" fillId="27" borderId="0" xfId="85" applyNumberFormat="1" applyFont="1" applyFill="1"/>
    <xf numFmtId="167" fontId="78" fillId="27" borderId="23" xfId="85" applyNumberFormat="1" applyFont="1" applyFill="1" applyBorder="1" applyAlignment="1">
      <alignment horizontal="center" vertical="center"/>
    </xf>
    <xf numFmtId="0" fontId="79" fillId="30" borderId="23" xfId="43" applyFont="1" applyFill="1" applyBorder="1" applyAlignment="1">
      <alignment horizontal="center" vertical="center" wrapText="1"/>
    </xf>
    <xf numFmtId="0" fontId="79" fillId="30" borderId="22" xfId="43" applyFont="1" applyFill="1" applyBorder="1" applyAlignment="1">
      <alignment horizontal="center" vertical="center" wrapText="1"/>
    </xf>
    <xf numFmtId="0" fontId="79" fillId="30" borderId="74" xfId="43" applyFont="1" applyFill="1" applyBorder="1" applyAlignment="1">
      <alignment horizontal="center" vertical="center" wrapText="1"/>
    </xf>
    <xf numFmtId="0" fontId="74" fillId="27" borderId="0" xfId="43" applyFont="1" applyFill="1" applyBorder="1" applyAlignment="1">
      <alignment horizontal="centerContinuous"/>
    </xf>
    <xf numFmtId="0" fontId="74" fillId="27" borderId="0" xfId="43" applyFont="1" applyFill="1" applyBorder="1" applyAlignment="1">
      <alignment horizontal="center"/>
    </xf>
    <xf numFmtId="3" fontId="59" fillId="0" borderId="0" xfId="91" applyNumberFormat="1" applyFont="1" applyFill="1" applyAlignment="1">
      <alignment horizontal="center" vertical="center"/>
    </xf>
    <xf numFmtId="3" fontId="74" fillId="27" borderId="0" xfId="43" applyNumberFormat="1" applyFont="1" applyFill="1" applyAlignment="1">
      <alignment horizontal="center" vertical="center"/>
    </xf>
    <xf numFmtId="0" fontId="74" fillId="27" borderId="0" xfId="91" applyFont="1" applyFill="1" applyAlignment="1">
      <alignment vertical="center"/>
    </xf>
    <xf numFmtId="0" fontId="59" fillId="0" borderId="0" xfId="43" applyFont="1" applyFill="1" applyAlignment="1">
      <alignment vertical="center"/>
    </xf>
    <xf numFmtId="17" fontId="59" fillId="27" borderId="48" xfId="43" applyNumberFormat="1" applyFont="1" applyFill="1" applyBorder="1" applyAlignment="1">
      <alignment horizontal="center" vertical="center"/>
    </xf>
    <xf numFmtId="1" fontId="59" fillId="27" borderId="48" xfId="43" applyNumberFormat="1" applyFont="1" applyFill="1" applyBorder="1" applyAlignment="1">
      <alignment horizontal="center" vertical="center"/>
    </xf>
    <xf numFmtId="173" fontId="59" fillId="27" borderId="0" xfId="85" applyFont="1" applyFill="1" applyAlignment="1">
      <alignment vertical="center"/>
    </xf>
    <xf numFmtId="172" fontId="59" fillId="27" borderId="0" xfId="86" applyFont="1" applyFill="1" applyAlignment="1">
      <alignment vertical="center"/>
    </xf>
    <xf numFmtId="0" fontId="90" fillId="27" borderId="0" xfId="43" applyFont="1" applyFill="1" applyAlignment="1">
      <alignment vertical="center"/>
    </xf>
    <xf numFmtId="173" fontId="59" fillId="0" borderId="0" xfId="85" applyFont="1" applyFill="1" applyAlignment="1">
      <alignment horizontal="center" vertical="center"/>
    </xf>
    <xf numFmtId="0" fontId="75" fillId="28" borderId="0" xfId="43" applyFont="1" applyFill="1" applyAlignment="1">
      <alignment vertical="center"/>
    </xf>
    <xf numFmtId="0" fontId="59" fillId="27" borderId="45" xfId="43" applyFont="1" applyFill="1" applyBorder="1" applyAlignment="1">
      <alignment vertical="center"/>
    </xf>
    <xf numFmtId="0" fontId="59" fillId="27" borderId="86" xfId="43" applyFont="1" applyFill="1" applyBorder="1" applyAlignment="1">
      <alignment vertical="center"/>
    </xf>
    <xf numFmtId="0" fontId="59" fillId="27" borderId="87" xfId="43" applyFont="1" applyFill="1" applyBorder="1" applyAlignment="1">
      <alignment vertical="center"/>
    </xf>
    <xf numFmtId="0" fontId="59" fillId="27" borderId="88" xfId="43" applyFont="1" applyFill="1" applyBorder="1" applyAlignment="1">
      <alignment vertical="center"/>
    </xf>
    <xf numFmtId="3" fontId="59" fillId="27" borderId="0" xfId="91" applyNumberFormat="1" applyFont="1" applyFill="1" applyBorder="1" applyAlignment="1">
      <alignment horizontal="center" vertical="center"/>
    </xf>
    <xf numFmtId="0" fontId="59" fillId="27" borderId="89" xfId="43" applyFont="1" applyFill="1" applyBorder="1" applyAlignment="1">
      <alignment vertical="center"/>
    </xf>
    <xf numFmtId="173" fontId="59" fillId="0" borderId="0" xfId="85" applyFont="1" applyFill="1" applyAlignment="1">
      <alignment vertical="center"/>
    </xf>
    <xf numFmtId="0" fontId="59" fillId="0" borderId="96" xfId="43" applyFont="1" applyFill="1" applyBorder="1" applyAlignment="1">
      <alignment vertical="center"/>
    </xf>
    <xf numFmtId="3" fontId="59" fillId="0" borderId="96" xfId="91" applyNumberFormat="1" applyFont="1" applyFill="1" applyBorder="1" applyAlignment="1">
      <alignment vertical="center"/>
    </xf>
    <xf numFmtId="0" fontId="84" fillId="0" borderId="89" xfId="43" applyFont="1" applyFill="1" applyBorder="1" applyAlignment="1">
      <alignment vertical="center"/>
    </xf>
    <xf numFmtId="0" fontId="67" fillId="27" borderId="0" xfId="43" applyFont="1" applyFill="1" applyBorder="1" applyAlignment="1">
      <alignment horizontal="center" vertical="center"/>
    </xf>
    <xf numFmtId="0" fontId="59" fillId="27" borderId="0" xfId="43" applyFont="1" applyFill="1" applyBorder="1" applyAlignment="1">
      <alignment horizontal="justify" vertical="center"/>
    </xf>
    <xf numFmtId="0" fontId="59" fillId="27" borderId="0" xfId="43" applyFont="1" applyFill="1" applyBorder="1" applyAlignment="1">
      <alignment horizontal="justify" vertical="center" wrapText="1"/>
    </xf>
    <xf numFmtId="3" fontId="107" fillId="30" borderId="15" xfId="43" applyNumberFormat="1" applyFont="1" applyFill="1" applyBorder="1" applyAlignment="1">
      <alignment vertical="center"/>
    </xf>
    <xf numFmtId="0" fontId="100" fillId="27" borderId="14" xfId="43" applyFont="1" applyFill="1" applyBorder="1" applyAlignment="1">
      <alignment vertical="center"/>
    </xf>
    <xf numFmtId="3" fontId="119" fillId="27" borderId="15" xfId="43" applyNumberFormat="1" applyFont="1" applyFill="1" applyBorder="1" applyAlignment="1">
      <alignment vertical="center"/>
    </xf>
    <xf numFmtId="3" fontId="119" fillId="0" borderId="15" xfId="43" applyNumberFormat="1" applyFont="1" applyFill="1" applyBorder="1" applyAlignment="1">
      <alignment vertical="center"/>
    </xf>
    <xf numFmtId="3" fontId="84" fillId="28" borderId="15" xfId="43" applyNumberFormat="1" applyFont="1" applyFill="1" applyBorder="1" applyAlignment="1">
      <alignment vertical="center"/>
    </xf>
    <xf numFmtId="10" fontId="73" fillId="30" borderId="15" xfId="97" applyNumberFormat="1" applyFont="1" applyFill="1" applyBorder="1" applyAlignment="1">
      <alignment horizontal="center" vertical="center"/>
    </xf>
    <xf numFmtId="0" fontId="66" fillId="27" borderId="14" xfId="43" applyFont="1" applyFill="1" applyBorder="1" applyAlignment="1">
      <alignment vertical="center"/>
    </xf>
    <xf numFmtId="10" fontId="66" fillId="27" borderId="15" xfId="97" applyNumberFormat="1" applyFont="1" applyFill="1" applyBorder="1" applyAlignment="1">
      <alignment horizontal="center" vertical="center"/>
    </xf>
    <xf numFmtId="3" fontId="66" fillId="0" borderId="15" xfId="43" applyNumberFormat="1" applyFont="1" applyFill="1" applyBorder="1" applyAlignment="1">
      <alignment vertical="center"/>
    </xf>
    <xf numFmtId="0" fontId="78" fillId="27" borderId="14" xfId="43" applyFont="1" applyFill="1" applyBorder="1" applyAlignment="1">
      <alignment vertical="center"/>
    </xf>
    <xf numFmtId="3" fontId="78" fillId="27" borderId="15" xfId="43" applyNumberFormat="1" applyFont="1" applyFill="1" applyBorder="1" applyAlignment="1">
      <alignment vertical="center"/>
    </xf>
    <xf numFmtId="10" fontId="78" fillId="27" borderId="15" xfId="97" applyNumberFormat="1" applyFont="1" applyFill="1" applyBorder="1" applyAlignment="1">
      <alignment horizontal="center" vertical="center"/>
    </xf>
    <xf numFmtId="3" fontId="78" fillId="28" borderId="15" xfId="43" applyNumberFormat="1" applyFont="1" applyFill="1" applyBorder="1" applyAlignment="1">
      <alignment vertical="center"/>
    </xf>
    <xf numFmtId="3" fontId="78" fillId="0" borderId="15" xfId="43" applyNumberFormat="1" applyFont="1" applyFill="1" applyBorder="1" applyAlignment="1">
      <alignment vertical="center"/>
    </xf>
    <xf numFmtId="3" fontId="66" fillId="28" borderId="15" xfId="43" applyNumberFormat="1" applyFont="1" applyFill="1" applyBorder="1" applyAlignment="1">
      <alignment vertical="center"/>
    </xf>
    <xf numFmtId="10" fontId="63" fillId="27" borderId="15" xfId="97" applyNumberFormat="1" applyFont="1" applyFill="1" applyBorder="1" applyAlignment="1">
      <alignment horizontal="center" vertical="center"/>
    </xf>
    <xf numFmtId="0" fontId="109" fillId="30" borderId="32" xfId="43" applyFont="1" applyFill="1" applyBorder="1" applyAlignment="1">
      <alignment vertical="center"/>
    </xf>
    <xf numFmtId="3" fontId="109" fillId="30" borderId="32" xfId="43" applyNumberFormat="1" applyFont="1" applyFill="1" applyBorder="1" applyAlignment="1">
      <alignment vertical="center"/>
    </xf>
    <xf numFmtId="10" fontId="109" fillId="30" borderId="32" xfId="97" applyNumberFormat="1" applyFont="1" applyFill="1" applyBorder="1" applyAlignment="1">
      <alignment horizontal="center" vertical="center"/>
    </xf>
    <xf numFmtId="0" fontId="73" fillId="30" borderId="15" xfId="43" applyFont="1" applyFill="1" applyBorder="1" applyAlignment="1">
      <alignment vertical="center"/>
    </xf>
    <xf numFmtId="10" fontId="73" fillId="30" borderId="15" xfId="43" applyNumberFormat="1" applyFont="1" applyFill="1" applyBorder="1" applyAlignment="1">
      <alignment horizontal="center" vertical="center"/>
    </xf>
    <xf numFmtId="0" fontId="61" fillId="27" borderId="14" xfId="43" applyFont="1" applyFill="1" applyBorder="1" applyAlignment="1">
      <alignment vertical="center"/>
    </xf>
    <xf numFmtId="177" fontId="61" fillId="27" borderId="15" xfId="43" applyNumberFormat="1" applyFont="1" applyFill="1" applyBorder="1" applyAlignment="1" applyProtection="1">
      <alignment vertical="center"/>
    </xf>
    <xf numFmtId="3" fontId="61" fillId="28" borderId="18" xfId="43" applyNumberFormat="1" applyFont="1" applyFill="1" applyBorder="1" applyAlignment="1" applyProtection="1">
      <alignment horizontal="right" vertical="center"/>
    </xf>
    <xf numFmtId="3" fontId="61" fillId="0" borderId="18" xfId="43" applyNumberFormat="1" applyFont="1" applyFill="1" applyBorder="1" applyAlignment="1" applyProtection="1">
      <alignment horizontal="right" vertical="center"/>
    </xf>
    <xf numFmtId="177" fontId="106" fillId="27" borderId="15" xfId="43" applyNumberFormat="1" applyFont="1" applyFill="1" applyBorder="1" applyAlignment="1" applyProtection="1">
      <alignment horizontal="left" indent="1"/>
    </xf>
    <xf numFmtId="3" fontId="78" fillId="28" borderId="18" xfId="43" applyNumberFormat="1" applyFont="1" applyFill="1" applyBorder="1" applyAlignment="1">
      <alignment horizontal="right"/>
    </xf>
    <xf numFmtId="3" fontId="78" fillId="0" borderId="18" xfId="43" applyNumberFormat="1" applyFont="1" applyFill="1" applyBorder="1" applyAlignment="1">
      <alignment horizontal="right"/>
    </xf>
    <xf numFmtId="3" fontId="78" fillId="28" borderId="18" xfId="43" applyNumberFormat="1" applyFont="1" applyFill="1" applyBorder="1" applyAlignment="1">
      <alignment horizontal="right" vertical="center"/>
    </xf>
    <xf numFmtId="3" fontId="78" fillId="0" borderId="18" xfId="43" applyNumberFormat="1" applyFont="1" applyFill="1" applyBorder="1" applyAlignment="1">
      <alignment horizontal="right" vertical="center"/>
    </xf>
    <xf numFmtId="177" fontId="106" fillId="27" borderId="15" xfId="43" applyNumberFormat="1" applyFont="1" applyFill="1" applyBorder="1" applyAlignment="1" applyProtection="1">
      <alignment horizontal="left" vertical="center" indent="1"/>
    </xf>
    <xf numFmtId="0" fontId="71" fillId="30" borderId="23" xfId="43" applyFont="1" applyFill="1" applyBorder="1" applyAlignment="1">
      <alignment horizontal="center" vertical="center" wrapText="1"/>
    </xf>
    <xf numFmtId="185" fontId="78" fillId="27" borderId="15" xfId="85" applyNumberFormat="1" applyFont="1" applyFill="1" applyBorder="1" applyAlignment="1">
      <alignment vertical="center"/>
    </xf>
    <xf numFmtId="192" fontId="78" fillId="27" borderId="15" xfId="85" applyNumberFormat="1" applyFont="1" applyFill="1" applyBorder="1" applyAlignment="1">
      <alignment vertical="center"/>
    </xf>
    <xf numFmtId="186" fontId="78" fillId="27" borderId="15" xfId="51" applyNumberFormat="1" applyFont="1" applyFill="1" applyBorder="1" applyAlignment="1">
      <alignment horizontal="center" vertical="center" wrapText="1"/>
    </xf>
    <xf numFmtId="0" fontId="78" fillId="27" borderId="15" xfId="90" applyFont="1" applyFill="1" applyBorder="1" applyAlignment="1">
      <alignment vertical="center"/>
    </xf>
    <xf numFmtId="186" fontId="73" fillId="30" borderId="15" xfId="51" applyNumberFormat="1" applyFont="1" applyFill="1" applyBorder="1" applyAlignment="1">
      <alignment horizontal="center" vertical="center" wrapText="1"/>
    </xf>
    <xf numFmtId="49" fontId="74" fillId="27" borderId="32" xfId="90" applyNumberFormat="1" applyFont="1" applyFill="1" applyBorder="1" applyAlignment="1">
      <alignment horizontal="center"/>
    </xf>
    <xf numFmtId="0" fontId="109" fillId="30" borderId="15" xfId="43" applyFont="1" applyFill="1" applyBorder="1" applyAlignment="1">
      <alignment horizontal="left" vertical="center" wrapText="1"/>
    </xf>
    <xf numFmtId="186" fontId="109" fillId="30" borderId="15" xfId="51" applyNumberFormat="1" applyFont="1" applyFill="1" applyBorder="1" applyAlignment="1">
      <alignment horizontal="center" vertical="center" wrapText="1"/>
    </xf>
    <xf numFmtId="0" fontId="73" fillId="30" borderId="15" xfId="90" applyFont="1" applyFill="1" applyBorder="1" applyAlignment="1">
      <alignment vertical="center"/>
    </xf>
    <xf numFmtId="0" fontId="83" fillId="0" borderId="0" xfId="43" applyFont="1"/>
    <xf numFmtId="0" fontId="66" fillId="0" borderId="0" xfId="43" applyFont="1" applyFill="1"/>
    <xf numFmtId="0" fontId="66" fillId="0" borderId="0" xfId="43" applyFont="1" applyFill="1" applyAlignment="1"/>
    <xf numFmtId="0" fontId="83" fillId="0" borderId="0" xfId="43" applyFont="1" applyFill="1" applyAlignment="1"/>
    <xf numFmtId="0" fontId="122" fillId="29" borderId="93" xfId="376" applyFont="1" applyFill="1" applyBorder="1" applyAlignment="1">
      <alignment horizontal="right" wrapText="1"/>
    </xf>
    <xf numFmtId="0" fontId="83" fillId="27" borderId="0" xfId="43" applyFont="1" applyFill="1" applyBorder="1"/>
    <xf numFmtId="0" fontId="97" fillId="30" borderId="14" xfId="43" applyFont="1" applyFill="1" applyBorder="1" applyAlignment="1">
      <alignment vertical="center"/>
    </xf>
    <xf numFmtId="0" fontId="97" fillId="30" borderId="15" xfId="43" applyFont="1" applyFill="1" applyBorder="1" applyAlignment="1">
      <alignment vertical="center"/>
    </xf>
    <xf numFmtId="3" fontId="73" fillId="30" borderId="16" xfId="43" applyNumberFormat="1" applyFont="1" applyFill="1" applyBorder="1" applyAlignment="1">
      <alignment vertical="center"/>
    </xf>
    <xf numFmtId="0" fontId="95" fillId="30" borderId="14" xfId="43" applyFont="1" applyFill="1" applyBorder="1" applyAlignment="1">
      <alignment vertical="center"/>
    </xf>
    <xf numFmtId="0" fontId="115" fillId="27" borderId="14" xfId="43" applyFont="1" applyFill="1" applyBorder="1"/>
    <xf numFmtId="0" fontId="78" fillId="27" borderId="32" xfId="43" applyNumberFormat="1" applyFont="1" applyFill="1" applyBorder="1" applyAlignment="1" applyProtection="1">
      <alignment vertical="center"/>
    </xf>
    <xf numFmtId="0" fontId="78" fillId="27" borderId="15" xfId="43" applyNumberFormat="1" applyFont="1" applyFill="1" applyBorder="1" applyAlignment="1" applyProtection="1">
      <alignment vertical="center"/>
    </xf>
    <xf numFmtId="0" fontId="87" fillId="27" borderId="15" xfId="43" applyNumberFormat="1" applyFont="1" applyFill="1" applyBorder="1" applyAlignment="1" applyProtection="1">
      <alignment vertical="center"/>
    </xf>
    <xf numFmtId="0" fontId="78" fillId="27" borderId="36" xfId="43" applyNumberFormat="1" applyFont="1" applyFill="1" applyBorder="1" applyAlignment="1" applyProtection="1">
      <alignment vertical="center"/>
    </xf>
    <xf numFmtId="0" fontId="87" fillId="0" borderId="15" xfId="43" applyNumberFormat="1" applyFont="1" applyFill="1" applyBorder="1" applyAlignment="1" applyProtection="1">
      <alignment vertical="center"/>
    </xf>
    <xf numFmtId="0" fontId="87" fillId="27" borderId="50" xfId="43" applyNumberFormat="1" applyFont="1" applyFill="1" applyBorder="1" applyAlignment="1" applyProtection="1">
      <alignment vertical="center"/>
    </xf>
    <xf numFmtId="0" fontId="87" fillId="27" borderId="15" xfId="43" applyNumberFormat="1" applyFont="1" applyFill="1" applyBorder="1" applyAlignment="1" applyProtection="1">
      <alignment horizontal="left" vertical="center"/>
    </xf>
    <xf numFmtId="0" fontId="87" fillId="28" borderId="15" xfId="43" applyNumberFormat="1" applyFont="1" applyFill="1" applyBorder="1" applyAlignment="1" applyProtection="1">
      <alignment vertical="center"/>
    </xf>
    <xf numFmtId="0" fontId="71" fillId="30" borderId="15" xfId="43" applyNumberFormat="1" applyFont="1" applyFill="1" applyBorder="1" applyAlignment="1" applyProtection="1">
      <alignment vertical="center"/>
    </xf>
    <xf numFmtId="1" fontId="59" fillId="0" borderId="25" xfId="91" applyNumberFormat="1" applyFont="1" applyFill="1" applyBorder="1" applyAlignment="1">
      <alignment vertical="center"/>
    </xf>
    <xf numFmtId="173" fontId="59" fillId="0" borderId="0" xfId="85" applyFont="1" applyFill="1" applyBorder="1" applyAlignment="1">
      <alignment vertical="center"/>
    </xf>
    <xf numFmtId="0" fontId="71" fillId="30" borderId="32" xfId="43" applyNumberFormat="1" applyFont="1" applyFill="1" applyBorder="1" applyAlignment="1" applyProtection="1">
      <alignment vertical="center"/>
    </xf>
    <xf numFmtId="0" fontId="89" fillId="28" borderId="15" xfId="43" applyNumberFormat="1" applyFont="1" applyFill="1" applyBorder="1" applyAlignment="1" applyProtection="1">
      <alignment vertical="center"/>
    </xf>
    <xf numFmtId="0" fontId="89" fillId="27" borderId="15" xfId="43" applyNumberFormat="1" applyFont="1" applyFill="1" applyBorder="1" applyAlignment="1" applyProtection="1">
      <alignment vertical="center"/>
    </xf>
    <xf numFmtId="0" fontId="87" fillId="27" borderId="36" xfId="43" applyNumberFormat="1" applyFont="1" applyFill="1" applyBorder="1" applyAlignment="1" applyProtection="1">
      <alignment vertical="center"/>
    </xf>
    <xf numFmtId="0" fontId="89" fillId="27" borderId="24" xfId="43" applyNumberFormat="1" applyFont="1" applyFill="1" applyBorder="1" applyAlignment="1" applyProtection="1">
      <alignment vertical="center"/>
    </xf>
    <xf numFmtId="0" fontId="61" fillId="27" borderId="15" xfId="43" applyNumberFormat="1" applyFont="1" applyFill="1" applyBorder="1" applyAlignment="1" applyProtection="1">
      <alignment vertical="center"/>
    </xf>
    <xf numFmtId="0" fontId="78" fillId="28" borderId="24" xfId="43" applyNumberFormat="1" applyFont="1" applyFill="1" applyBorder="1" applyAlignment="1" applyProtection="1">
      <alignment vertical="center"/>
    </xf>
    <xf numFmtId="10" fontId="71" fillId="30" borderId="16" xfId="97" applyNumberFormat="1" applyFont="1" applyFill="1" applyBorder="1" applyAlignment="1" applyProtection="1">
      <alignment horizontal="right" vertical="center"/>
    </xf>
    <xf numFmtId="167" fontId="61" fillId="28" borderId="15" xfId="43" applyNumberFormat="1" applyFont="1" applyFill="1" applyBorder="1" applyAlignment="1" applyProtection="1">
      <alignment horizontal="right" vertical="center"/>
    </xf>
    <xf numFmtId="167" fontId="88" fillId="27" borderId="15" xfId="43" applyNumberFormat="1" applyFont="1" applyFill="1" applyBorder="1" applyAlignment="1">
      <alignment vertical="center"/>
    </xf>
    <xf numFmtId="167" fontId="71" fillId="30" borderId="16" xfId="43" applyNumberFormat="1" applyFont="1" applyFill="1" applyBorder="1" applyAlignment="1" applyProtection="1">
      <alignment horizontal="right" vertical="center"/>
    </xf>
    <xf numFmtId="167" fontId="71" fillId="30" borderId="15" xfId="43" applyNumberFormat="1" applyFont="1" applyFill="1" applyBorder="1" applyAlignment="1" applyProtection="1">
      <alignment horizontal="right" vertical="center"/>
    </xf>
    <xf numFmtId="167" fontId="61" fillId="27" borderId="15" xfId="43" applyNumberFormat="1" applyFont="1" applyFill="1" applyBorder="1" applyAlignment="1" applyProtection="1">
      <alignment horizontal="right" vertical="center"/>
    </xf>
    <xf numFmtId="167" fontId="61" fillId="0" borderId="15" xfId="43" applyNumberFormat="1" applyFont="1" applyFill="1" applyBorder="1" applyAlignment="1" applyProtection="1">
      <alignment horizontal="right" vertical="center"/>
    </xf>
    <xf numFmtId="167" fontId="88" fillId="27" borderId="15" xfId="43" applyNumberFormat="1" applyFont="1" applyFill="1" applyBorder="1" applyAlignment="1" applyProtection="1">
      <alignment horizontal="right" vertical="center"/>
    </xf>
    <xf numFmtId="167" fontId="88" fillId="27" borderId="50" xfId="43" applyNumberFormat="1" applyFont="1" applyFill="1" applyBorder="1" applyAlignment="1">
      <alignment vertical="center"/>
    </xf>
    <xf numFmtId="167" fontId="88" fillId="27" borderId="36" xfId="43" applyNumberFormat="1" applyFont="1" applyFill="1" applyBorder="1" applyAlignment="1" applyProtection="1">
      <alignment horizontal="right" vertical="center"/>
    </xf>
    <xf numFmtId="167" fontId="78" fillId="27" borderId="15" xfId="43" applyNumberFormat="1" applyFont="1" applyFill="1" applyBorder="1" applyAlignment="1" applyProtection="1">
      <alignment horizontal="right" vertical="center"/>
    </xf>
    <xf numFmtId="167" fontId="78" fillId="27" borderId="15" xfId="43" applyNumberFormat="1" applyFont="1" applyFill="1" applyBorder="1" applyAlignment="1">
      <alignment vertical="center"/>
    </xf>
    <xf numFmtId="167" fontId="78" fillId="28" borderId="15" xfId="43" applyNumberFormat="1" applyFont="1" applyFill="1" applyBorder="1" applyAlignment="1" applyProtection="1">
      <alignment horizontal="right" vertical="center"/>
    </xf>
    <xf numFmtId="167" fontId="78" fillId="0" borderId="15" xfId="43" applyNumberFormat="1" applyFont="1" applyFill="1" applyBorder="1" applyAlignment="1" applyProtection="1">
      <alignment horizontal="right" vertical="center"/>
    </xf>
    <xf numFmtId="167" fontId="78" fillId="27" borderId="36" xfId="43" applyNumberFormat="1" applyFont="1" applyFill="1" applyBorder="1" applyAlignment="1">
      <alignment vertical="center"/>
    </xf>
    <xf numFmtId="167" fontId="78" fillId="27" borderId="32" xfId="43" applyNumberFormat="1" applyFont="1" applyFill="1" applyBorder="1" applyAlignment="1">
      <alignment vertical="center"/>
    </xf>
    <xf numFmtId="3" fontId="78" fillId="28" borderId="24" xfId="43" applyNumberFormat="1" applyFont="1" applyFill="1" applyBorder="1" applyAlignment="1">
      <alignment vertical="center"/>
    </xf>
    <xf numFmtId="1" fontId="59" fillId="27" borderId="0" xfId="43" applyNumberFormat="1" applyFont="1" applyFill="1" applyBorder="1" applyAlignment="1">
      <alignment horizontal="center" vertical="center"/>
    </xf>
    <xf numFmtId="0" fontId="71" fillId="30" borderId="15" xfId="43" applyFont="1" applyFill="1" applyBorder="1" applyAlignment="1">
      <alignment horizontal="left" vertical="center"/>
    </xf>
    <xf numFmtId="0" fontId="65" fillId="27" borderId="15" xfId="43" applyFont="1" applyFill="1" applyBorder="1" applyAlignment="1">
      <alignment vertical="center"/>
    </xf>
    <xf numFmtId="0" fontId="80" fillId="30" borderId="15" xfId="43" applyFont="1" applyFill="1" applyBorder="1" applyAlignment="1">
      <alignment vertical="center"/>
    </xf>
    <xf numFmtId="0" fontId="59" fillId="0" borderId="15" xfId="43" applyFont="1" applyFill="1" applyBorder="1" applyAlignment="1">
      <alignment vertical="center"/>
    </xf>
    <xf numFmtId="0" fontId="124" fillId="30" borderId="24" xfId="43" applyFont="1" applyFill="1" applyBorder="1"/>
    <xf numFmtId="172" fontId="125" fillId="0" borderId="0" xfId="86" applyFont="1"/>
    <xf numFmtId="0" fontId="124" fillId="30" borderId="32" xfId="43" applyFont="1" applyFill="1" applyBorder="1"/>
    <xf numFmtId="0" fontId="80" fillId="30" borderId="14" xfId="43" applyFont="1" applyFill="1" applyBorder="1" applyAlignment="1">
      <alignment vertical="center"/>
    </xf>
    <xf numFmtId="0" fontId="65" fillId="0" borderId="14" xfId="43" applyFont="1" applyFill="1" applyBorder="1" applyAlignment="1">
      <alignment vertical="center"/>
    </xf>
    <xf numFmtId="0" fontId="71" fillId="30" borderId="15" xfId="43" applyFont="1" applyFill="1" applyBorder="1" applyAlignment="1">
      <alignment horizontal="center" vertical="center"/>
    </xf>
    <xf numFmtId="0" fontId="79" fillId="30" borderId="15" xfId="43" applyFont="1" applyFill="1" applyBorder="1" applyAlignment="1">
      <alignment horizontal="center" vertical="center"/>
    </xf>
    <xf numFmtId="0" fontId="77" fillId="30" borderId="94" xfId="43" applyFont="1" applyFill="1" applyBorder="1" applyAlignment="1">
      <alignment vertical="center"/>
    </xf>
    <xf numFmtId="172" fontId="73" fillId="30" borderId="78" xfId="86" applyFont="1" applyFill="1" applyBorder="1" applyAlignment="1" applyProtection="1">
      <alignment horizontal="center" vertical="center"/>
    </xf>
    <xf numFmtId="0" fontId="78" fillId="27" borderId="18" xfId="85" applyNumberFormat="1" applyFont="1" applyFill="1" applyBorder="1" applyAlignment="1">
      <alignment horizontal="left" vertical="center"/>
    </xf>
    <xf numFmtId="0" fontId="78" fillId="27" borderId="18" xfId="43" applyNumberFormat="1" applyFont="1" applyFill="1" applyBorder="1" applyAlignment="1">
      <alignment horizontal="left" vertical="center"/>
    </xf>
    <xf numFmtId="172" fontId="78" fillId="27" borderId="20" xfId="86" applyFont="1" applyFill="1" applyBorder="1" applyAlignment="1" applyProtection="1">
      <alignment horizontal="center" vertical="center"/>
    </xf>
    <xf numFmtId="0" fontId="71" fillId="30" borderId="55" xfId="43" applyFont="1" applyFill="1" applyBorder="1" applyAlignment="1">
      <alignment horizontal="center" vertical="center"/>
    </xf>
    <xf numFmtId="0" fontId="71" fillId="30" borderId="75" xfId="43" applyFont="1" applyFill="1" applyBorder="1" applyAlignment="1">
      <alignment horizontal="center" vertical="center"/>
    </xf>
    <xf numFmtId="0" fontId="71" fillId="30" borderId="75" xfId="43" applyFont="1" applyFill="1" applyBorder="1" applyAlignment="1">
      <alignment horizontal="center" vertical="center" wrapText="1"/>
    </xf>
    <xf numFmtId="0" fontId="78" fillId="27" borderId="33" xfId="43" applyFont="1" applyFill="1" applyBorder="1" applyAlignment="1">
      <alignment vertical="center"/>
    </xf>
    <xf numFmtId="167" fontId="78" fillId="27" borderId="33" xfId="86" applyNumberFormat="1" applyFont="1" applyFill="1" applyBorder="1" applyAlignment="1">
      <alignment vertical="center"/>
    </xf>
    <xf numFmtId="167" fontId="78" fillId="27" borderId="62" xfId="86" applyNumberFormat="1" applyFont="1" applyFill="1" applyBorder="1" applyAlignment="1">
      <alignment vertical="center"/>
    </xf>
    <xf numFmtId="167" fontId="61" fillId="27" borderId="32" xfId="86" applyNumberFormat="1" applyFont="1" applyFill="1" applyBorder="1" applyAlignment="1">
      <alignment horizontal="right" vertical="center"/>
    </xf>
    <xf numFmtId="0" fontId="78" fillId="27" borderId="19" xfId="43" applyFont="1" applyFill="1" applyBorder="1" applyAlignment="1">
      <alignment vertical="center"/>
    </xf>
    <xf numFmtId="167" fontId="78" fillId="27" borderId="19" xfId="86" applyNumberFormat="1" applyFont="1" applyFill="1" applyBorder="1" applyAlignment="1">
      <alignment vertical="center"/>
    </xf>
    <xf numFmtId="167" fontId="78" fillId="27" borderId="63" xfId="86" applyNumberFormat="1" applyFont="1" applyFill="1" applyBorder="1" applyAlignment="1">
      <alignment vertical="center"/>
    </xf>
    <xf numFmtId="167" fontId="61" fillId="27" borderId="15" xfId="86" applyNumberFormat="1" applyFont="1" applyFill="1" applyBorder="1" applyAlignment="1">
      <alignment horizontal="right" vertical="center"/>
    </xf>
    <xf numFmtId="0" fontId="61" fillId="27" borderId="40" xfId="43" applyFont="1" applyFill="1" applyBorder="1" applyAlignment="1">
      <alignment vertical="center"/>
    </xf>
    <xf numFmtId="167" fontId="61" fillId="27" borderId="40" xfId="86" applyNumberFormat="1" applyFont="1" applyFill="1" applyBorder="1" applyAlignment="1">
      <alignment vertical="center"/>
    </xf>
    <xf numFmtId="167" fontId="61" fillId="27" borderId="64" xfId="86" applyNumberFormat="1" applyFont="1" applyFill="1" applyBorder="1" applyAlignment="1">
      <alignment vertical="center"/>
    </xf>
    <xf numFmtId="167" fontId="61" fillId="27" borderId="63" xfId="86" applyNumberFormat="1" applyFont="1" applyFill="1" applyBorder="1" applyAlignment="1">
      <alignment vertical="center"/>
    </xf>
    <xf numFmtId="167" fontId="61" fillId="27" borderId="19" xfId="86" applyNumberFormat="1" applyFont="1" applyFill="1" applyBorder="1" applyAlignment="1">
      <alignment vertical="center"/>
    </xf>
    <xf numFmtId="167" fontId="61" fillId="27" borderId="15" xfId="86" applyNumberFormat="1" applyFont="1" applyFill="1" applyBorder="1" applyAlignment="1">
      <alignment vertical="center"/>
    </xf>
    <xf numFmtId="0" fontId="78" fillId="30" borderId="71" xfId="43" applyFont="1" applyFill="1" applyBorder="1" applyAlignment="1">
      <alignment vertical="center"/>
    </xf>
    <xf numFmtId="0" fontId="78" fillId="30" borderId="25" xfId="43" applyFont="1" applyFill="1" applyBorder="1" applyAlignment="1">
      <alignment vertical="center"/>
    </xf>
    <xf numFmtId="167" fontId="78" fillId="30" borderId="25" xfId="43" applyNumberFormat="1" applyFont="1" applyFill="1" applyBorder="1" applyAlignment="1">
      <alignment vertical="center"/>
    </xf>
    <xf numFmtId="167" fontId="61" fillId="30" borderId="25" xfId="43" applyNumberFormat="1" applyFont="1" applyFill="1" applyBorder="1" applyAlignment="1">
      <alignment horizontal="center" vertical="center"/>
    </xf>
    <xf numFmtId="167" fontId="61" fillId="30" borderId="39" xfId="43" applyNumberFormat="1" applyFont="1" applyFill="1" applyBorder="1" applyAlignment="1">
      <alignment horizontal="center" vertical="center"/>
    </xf>
    <xf numFmtId="167" fontId="61" fillId="30" borderId="50" xfId="43" applyNumberFormat="1" applyFont="1" applyFill="1" applyBorder="1" applyAlignment="1">
      <alignment horizontal="center" vertical="center"/>
    </xf>
    <xf numFmtId="0" fontId="78" fillId="27" borderId="52" xfId="43" applyFont="1" applyFill="1" applyBorder="1" applyAlignment="1">
      <alignment vertical="center"/>
    </xf>
    <xf numFmtId="167" fontId="78" fillId="27" borderId="52" xfId="86" applyNumberFormat="1" applyFont="1" applyFill="1" applyBorder="1" applyAlignment="1">
      <alignment vertical="center"/>
    </xf>
    <xf numFmtId="167" fontId="78" fillId="27" borderId="65" xfId="86" applyNumberFormat="1" applyFont="1" applyFill="1" applyBorder="1" applyAlignment="1">
      <alignment vertical="center"/>
    </xf>
    <xf numFmtId="0" fontId="61" fillId="27" borderId="19" xfId="43" applyFont="1" applyFill="1" applyBorder="1" applyAlignment="1">
      <alignment vertical="center"/>
    </xf>
    <xf numFmtId="167" fontId="78" fillId="27" borderId="52" xfId="369" applyNumberFormat="1" applyFont="1" applyFill="1" applyBorder="1" applyAlignment="1">
      <alignment vertical="center"/>
    </xf>
    <xf numFmtId="167" fontId="78" fillId="27" borderId="65" xfId="369" applyNumberFormat="1" applyFont="1" applyFill="1" applyBorder="1" applyAlignment="1">
      <alignment vertical="center"/>
    </xf>
    <xf numFmtId="167" fontId="61" fillId="27" borderId="15" xfId="369" applyNumberFormat="1" applyFont="1" applyFill="1" applyBorder="1" applyAlignment="1">
      <alignment vertical="center"/>
    </xf>
    <xf numFmtId="167" fontId="78" fillId="27" borderId="19" xfId="369" applyNumberFormat="1" applyFont="1" applyFill="1" applyBorder="1" applyAlignment="1">
      <alignment vertical="center"/>
    </xf>
    <xf numFmtId="167" fontId="78" fillId="27" borderId="63" xfId="369" applyNumberFormat="1" applyFont="1" applyFill="1" applyBorder="1" applyAlignment="1">
      <alignment vertical="center"/>
    </xf>
    <xf numFmtId="167" fontId="61" fillId="27" borderId="40" xfId="369" applyNumberFormat="1" applyFont="1" applyFill="1" applyBorder="1" applyAlignment="1">
      <alignment vertical="center"/>
    </xf>
    <xf numFmtId="167" fontId="78" fillId="27" borderId="0" xfId="86" applyNumberFormat="1" applyFont="1" applyFill="1" applyBorder="1" applyAlignment="1">
      <alignment vertical="center"/>
    </xf>
    <xf numFmtId="167" fontId="78" fillId="30" borderId="71" xfId="43" applyNumberFormat="1" applyFont="1" applyFill="1" applyBorder="1" applyAlignment="1">
      <alignment vertical="center"/>
    </xf>
    <xf numFmtId="167" fontId="61" fillId="27" borderId="64" xfId="86" applyNumberFormat="1" applyFont="1" applyFill="1" applyBorder="1" applyAlignment="1">
      <alignment horizontal="center" vertical="center"/>
    </xf>
    <xf numFmtId="17" fontId="59" fillId="27" borderId="18" xfId="43" applyNumberFormat="1" applyFont="1" applyFill="1" applyBorder="1" applyAlignment="1">
      <alignment horizontal="center" vertical="center"/>
    </xf>
    <xf numFmtId="186" fontId="67" fillId="27" borderId="19" xfId="43" applyNumberFormat="1" applyFont="1" applyFill="1" applyBorder="1" applyAlignment="1">
      <alignment horizontal="right" vertical="center"/>
    </xf>
    <xf numFmtId="186" fontId="59" fillId="27" borderId="19" xfId="43" applyNumberFormat="1" applyFont="1" applyFill="1" applyBorder="1" applyAlignment="1">
      <alignment horizontal="right" vertical="center"/>
    </xf>
    <xf numFmtId="178" fontId="59" fillId="27" borderId="20" xfId="97" applyNumberFormat="1" applyFont="1" applyFill="1" applyBorder="1" applyAlignment="1">
      <alignment horizontal="right" vertical="center"/>
    </xf>
    <xf numFmtId="186" fontId="59" fillId="27" borderId="20" xfId="43" applyNumberFormat="1" applyFont="1" applyFill="1" applyBorder="1" applyAlignment="1">
      <alignment horizontal="right" vertical="center"/>
    </xf>
    <xf numFmtId="186" fontId="59" fillId="27" borderId="37" xfId="43" applyNumberFormat="1" applyFont="1" applyFill="1" applyBorder="1" applyAlignment="1">
      <alignment horizontal="right" vertical="center"/>
    </xf>
    <xf numFmtId="186" fontId="59" fillId="27" borderId="0" xfId="43" applyNumberFormat="1" applyFont="1" applyFill="1" applyBorder="1" applyAlignment="1">
      <alignment horizontal="right" vertical="center"/>
    </xf>
    <xf numFmtId="186" fontId="67" fillId="27" borderId="0" xfId="43" applyNumberFormat="1" applyFont="1" applyFill="1" applyBorder="1" applyAlignment="1">
      <alignment horizontal="right" vertical="center"/>
    </xf>
    <xf numFmtId="186" fontId="67" fillId="27" borderId="37" xfId="43" applyNumberFormat="1" applyFont="1" applyFill="1" applyBorder="1" applyAlignment="1">
      <alignment horizontal="right" vertical="center"/>
    </xf>
    <xf numFmtId="0" fontId="71" fillId="30" borderId="23" xfId="379" quotePrefix="1" applyFont="1" applyFill="1" applyBorder="1" applyAlignment="1">
      <alignment horizontal="center" vertical="center" wrapText="1"/>
    </xf>
    <xf numFmtId="0" fontId="71" fillId="30" borderId="23" xfId="379" applyFont="1" applyFill="1" applyBorder="1" applyAlignment="1">
      <alignment horizontal="center" vertical="center" wrapText="1"/>
    </xf>
    <xf numFmtId="3" fontId="109" fillId="30" borderId="15" xfId="43" applyNumberFormat="1" applyFont="1" applyFill="1" applyBorder="1" applyAlignment="1">
      <alignment vertical="center"/>
    </xf>
    <xf numFmtId="3" fontId="84" fillId="28" borderId="18" xfId="43" applyNumberFormat="1" applyFont="1" applyFill="1" applyBorder="1" applyAlignment="1">
      <alignment horizontal="right" vertical="center"/>
    </xf>
    <xf numFmtId="10" fontId="84" fillId="0" borderId="20" xfId="372" applyNumberFormat="1" applyFont="1" applyFill="1" applyBorder="1" applyAlignment="1" applyProtection="1">
      <alignment horizontal="center" vertical="center"/>
    </xf>
    <xf numFmtId="177" fontId="84" fillId="27" borderId="15" xfId="43" applyNumberFormat="1" applyFont="1" applyFill="1" applyBorder="1" applyAlignment="1" applyProtection="1">
      <alignment horizontal="left" vertical="center" indent="1"/>
    </xf>
    <xf numFmtId="3" fontId="84" fillId="0" borderId="18" xfId="43" applyNumberFormat="1" applyFont="1" applyFill="1" applyBorder="1" applyAlignment="1">
      <alignment horizontal="right" vertical="center"/>
    </xf>
    <xf numFmtId="0" fontId="61" fillId="28" borderId="0" xfId="43" applyFont="1" applyFill="1" applyAlignment="1">
      <alignment vertical="center"/>
    </xf>
    <xf numFmtId="49" fontId="78" fillId="27" borderId="32" xfId="90" applyNumberFormat="1" applyFont="1" applyFill="1" applyBorder="1" applyAlignment="1">
      <alignment horizontal="center" vertical="center"/>
    </xf>
    <xf numFmtId="190" fontId="59" fillId="27" borderId="0" xfId="86" applyNumberFormat="1" applyFont="1" applyFill="1" applyAlignment="1">
      <alignment horizontal="right" vertical="center"/>
    </xf>
    <xf numFmtId="191" fontId="59" fillId="27" borderId="0" xfId="86" applyNumberFormat="1" applyFont="1" applyFill="1" applyAlignment="1">
      <alignment horizontal="right" vertical="center"/>
    </xf>
    <xf numFmtId="0" fontId="59" fillId="27" borderId="0" xfId="43" applyFont="1" applyFill="1" applyBorder="1" applyAlignment="1">
      <alignment horizontal="left" vertical="center"/>
    </xf>
    <xf numFmtId="171" fontId="59" fillId="27" borderId="0" xfId="86" applyNumberFormat="1" applyFont="1" applyFill="1" applyAlignment="1">
      <alignment horizontal="right" vertical="center"/>
    </xf>
    <xf numFmtId="0" fontId="121" fillId="27" borderId="18" xfId="43" applyFont="1" applyFill="1" applyBorder="1" applyAlignment="1">
      <alignment vertical="center"/>
    </xf>
    <xf numFmtId="0" fontId="121" fillId="27" borderId="16" xfId="43" applyFont="1" applyFill="1" applyBorder="1" applyAlignment="1">
      <alignment vertical="center"/>
    </xf>
    <xf numFmtId="171" fontId="66" fillId="27" borderId="19" xfId="86" applyNumberFormat="1" applyFont="1" applyFill="1" applyBorder="1" applyAlignment="1" applyProtection="1">
      <alignment vertical="center"/>
    </xf>
    <xf numFmtId="171" fontId="66" fillId="27" borderId="0" xfId="86" applyNumberFormat="1" applyFont="1" applyFill="1" applyBorder="1" applyAlignment="1" applyProtection="1">
      <alignment vertical="center"/>
    </xf>
    <xf numFmtId="171" fontId="66" fillId="27" borderId="15" xfId="86" applyNumberFormat="1" applyFont="1" applyFill="1" applyBorder="1" applyAlignment="1" applyProtection="1">
      <alignment vertical="center"/>
    </xf>
    <xf numFmtId="0" fontId="59" fillId="27" borderId="18" xfId="43" applyFont="1" applyFill="1" applyBorder="1" applyAlignment="1">
      <alignment horizontal="left" vertical="center"/>
    </xf>
    <xf numFmtId="0" fontId="59" fillId="27" borderId="16" xfId="43" applyFont="1" applyFill="1" applyBorder="1" applyAlignment="1">
      <alignment horizontal="left" vertical="center"/>
    </xf>
    <xf numFmtId="171" fontId="59" fillId="27" borderId="19" xfId="86" applyNumberFormat="1" applyFont="1" applyFill="1" applyBorder="1" applyAlignment="1">
      <alignment horizontal="center" vertical="center"/>
    </xf>
    <xf numFmtId="171" fontId="59" fillId="27" borderId="16" xfId="86" applyNumberFormat="1" applyFont="1" applyFill="1" applyBorder="1" applyAlignment="1">
      <alignment horizontal="center" vertical="center"/>
    </xf>
    <xf numFmtId="171" fontId="59" fillId="27" borderId="15" xfId="86" applyNumberFormat="1" applyFont="1" applyFill="1" applyBorder="1" applyAlignment="1">
      <alignment horizontal="center" vertical="center"/>
    </xf>
    <xf numFmtId="0" fontId="59" fillId="27" borderId="14" xfId="43" applyFont="1" applyFill="1" applyBorder="1" applyAlignment="1">
      <alignment horizontal="left" vertical="center"/>
    </xf>
    <xf numFmtId="49" fontId="59" fillId="27" borderId="20" xfId="43" applyNumberFormat="1" applyFont="1" applyFill="1" applyBorder="1" applyAlignment="1">
      <alignment horizontal="center" vertical="center"/>
    </xf>
    <xf numFmtId="171" fontId="59" fillId="27" borderId="19" xfId="86" applyNumberFormat="1" applyFont="1" applyFill="1" applyBorder="1" applyAlignment="1">
      <alignment horizontal="right" vertical="center"/>
    </xf>
    <xf numFmtId="171" fontId="59" fillId="0" borderId="0" xfId="86" applyNumberFormat="1" applyFont="1" applyFill="1" applyBorder="1" applyAlignment="1">
      <alignment horizontal="right" vertical="center"/>
    </xf>
    <xf numFmtId="171" fontId="59" fillId="27" borderId="15" xfId="86" applyNumberFormat="1" applyFont="1" applyFill="1" applyBorder="1" applyAlignment="1">
      <alignment horizontal="right" vertical="center"/>
    </xf>
    <xf numFmtId="171" fontId="59" fillId="27" borderId="16" xfId="86" applyNumberFormat="1" applyFont="1" applyFill="1" applyBorder="1" applyAlignment="1">
      <alignment horizontal="right" vertical="center"/>
    </xf>
    <xf numFmtId="195" fontId="59" fillId="27" borderId="19" xfId="85" applyNumberFormat="1" applyFont="1" applyFill="1" applyBorder="1" applyAlignment="1">
      <alignment horizontal="right" vertical="center"/>
    </xf>
    <xf numFmtId="171" fontId="66" fillId="27" borderId="14" xfId="86" applyNumberFormat="1" applyFont="1" applyFill="1" applyBorder="1" applyAlignment="1" applyProtection="1">
      <alignment horizontal="right" vertical="center"/>
    </xf>
    <xf numFmtId="171" fontId="66" fillId="27" borderId="19" xfId="86" applyNumberFormat="1" applyFont="1" applyFill="1" applyBorder="1" applyAlignment="1" applyProtection="1">
      <alignment horizontal="right" vertical="center"/>
    </xf>
    <xf numFmtId="171" fontId="66" fillId="27" borderId="16" xfId="86" applyNumberFormat="1" applyFont="1" applyFill="1" applyBorder="1" applyAlignment="1" applyProtection="1">
      <alignment horizontal="right" vertical="center"/>
    </xf>
    <xf numFmtId="171" fontId="66" fillId="27" borderId="15" xfId="86" applyNumberFormat="1" applyFont="1" applyFill="1" applyBorder="1" applyAlignment="1" applyProtection="1">
      <alignment horizontal="right" vertical="center"/>
    </xf>
    <xf numFmtId="0" fontId="121" fillId="27" borderId="18" xfId="43" applyFont="1" applyFill="1" applyBorder="1" applyAlignment="1">
      <alignment horizontal="left" vertical="center"/>
    </xf>
    <xf numFmtId="49" fontId="83" fillId="27" borderId="20" xfId="43" applyNumberFormat="1" applyFont="1" applyFill="1" applyBorder="1" applyAlignment="1">
      <alignment horizontal="center" vertical="center"/>
    </xf>
    <xf numFmtId="0" fontId="59" fillId="27" borderId="30" xfId="43" applyFont="1" applyFill="1" applyBorder="1" applyAlignment="1">
      <alignment horizontal="left" vertical="center"/>
    </xf>
    <xf numFmtId="0" fontId="59" fillId="27" borderId="35" xfId="43" applyFont="1" applyFill="1" applyBorder="1" applyAlignment="1">
      <alignment horizontal="left" vertical="center"/>
    </xf>
    <xf numFmtId="172" fontId="59" fillId="27" borderId="30" xfId="86" applyFont="1" applyFill="1" applyBorder="1" applyAlignment="1">
      <alignment horizontal="right" vertical="center"/>
    </xf>
    <xf numFmtId="172" fontId="59" fillId="27" borderId="61" xfId="86" applyFont="1" applyFill="1" applyBorder="1" applyAlignment="1">
      <alignment horizontal="right" vertical="center"/>
    </xf>
    <xf numFmtId="172" fontId="59" fillId="27" borderId="31" xfId="86" applyFont="1" applyFill="1" applyBorder="1" applyAlignment="1">
      <alignment horizontal="right" vertical="center"/>
    </xf>
    <xf numFmtId="172" fontId="59" fillId="27" borderId="24" xfId="86" applyFont="1" applyFill="1" applyBorder="1" applyAlignment="1">
      <alignment horizontal="right" vertical="center"/>
    </xf>
    <xf numFmtId="172" fontId="59" fillId="27" borderId="0" xfId="86" applyFont="1" applyFill="1" applyBorder="1" applyAlignment="1">
      <alignment horizontal="right" vertical="center"/>
    </xf>
    <xf numFmtId="0" fontId="66" fillId="27" borderId="0" xfId="43" applyFont="1" applyFill="1" applyAlignment="1">
      <alignment vertical="center"/>
    </xf>
    <xf numFmtId="15" fontId="115" fillId="27" borderId="0" xfId="86" applyNumberFormat="1" applyFont="1" applyFill="1" applyAlignment="1">
      <alignment horizontal="center" vertical="center"/>
    </xf>
    <xf numFmtId="171" fontId="59" fillId="27" borderId="33" xfId="86" applyNumberFormat="1" applyFont="1" applyFill="1" applyBorder="1" applyAlignment="1">
      <alignment horizontal="right" vertical="center"/>
    </xf>
    <xf numFmtId="171" fontId="59" fillId="27" borderId="20" xfId="86" applyNumberFormat="1" applyFont="1" applyFill="1" applyBorder="1" applyAlignment="1">
      <alignment horizontal="right" vertical="center"/>
    </xf>
    <xf numFmtId="0" fontId="100" fillId="27" borderId="18" xfId="43" applyFont="1" applyFill="1" applyBorder="1" applyAlignment="1">
      <alignment horizontal="left" vertical="center"/>
    </xf>
    <xf numFmtId="0" fontId="100" fillId="27" borderId="16" xfId="43" applyFont="1" applyFill="1" applyBorder="1" applyAlignment="1">
      <alignment horizontal="left" vertical="center"/>
    </xf>
    <xf numFmtId="171" fontId="78" fillId="27" borderId="19" xfId="86" applyNumberFormat="1" applyFont="1" applyFill="1" applyBorder="1" applyAlignment="1">
      <alignment horizontal="right" vertical="center"/>
    </xf>
    <xf numFmtId="171" fontId="78" fillId="27" borderId="16" xfId="86" applyNumberFormat="1" applyFont="1" applyFill="1" applyBorder="1" applyAlignment="1">
      <alignment horizontal="right" vertical="center"/>
    </xf>
    <xf numFmtId="171" fontId="78" fillId="27" borderId="20" xfId="86" applyNumberFormat="1" applyFont="1" applyFill="1" applyBorder="1" applyAlignment="1">
      <alignment horizontal="right" vertical="center"/>
    </xf>
    <xf numFmtId="171" fontId="59" fillId="27" borderId="63" xfId="86" applyNumberFormat="1" applyFont="1" applyFill="1" applyBorder="1" applyAlignment="1">
      <alignment horizontal="right" vertical="center"/>
    </xf>
    <xf numFmtId="171" fontId="59" fillId="27" borderId="31" xfId="86" applyNumberFormat="1" applyFont="1" applyFill="1" applyBorder="1" applyAlignment="1">
      <alignment horizontal="right" vertical="center"/>
    </xf>
    <xf numFmtId="14" fontId="78" fillId="27" borderId="15" xfId="43" applyNumberFormat="1" applyFont="1" applyFill="1" applyBorder="1" applyAlignment="1">
      <alignment horizontal="center" vertical="center"/>
    </xf>
    <xf numFmtId="179" fontId="78" fillId="27" borderId="18" xfId="86" applyNumberFormat="1" applyFont="1" applyFill="1" applyBorder="1" applyAlignment="1">
      <alignment horizontal="center" vertical="center"/>
    </xf>
    <xf numFmtId="179" fontId="78" fillId="27" borderId="15" xfId="86" applyNumberFormat="1" applyFont="1" applyFill="1" applyBorder="1" applyAlignment="1">
      <alignment horizontal="center" vertical="center"/>
    </xf>
    <xf numFmtId="14" fontId="78" fillId="27" borderId="14" xfId="43" applyNumberFormat="1" applyFont="1" applyFill="1" applyBorder="1" applyAlignment="1">
      <alignment horizontal="center" vertical="center"/>
    </xf>
    <xf numFmtId="179" fontId="78" fillId="27" borderId="14" xfId="86" applyNumberFormat="1" applyFont="1" applyFill="1" applyBorder="1" applyAlignment="1">
      <alignment horizontal="center" vertical="center"/>
    </xf>
    <xf numFmtId="179" fontId="78" fillId="27" borderId="0" xfId="86" applyNumberFormat="1" applyFont="1" applyFill="1" applyBorder="1" applyAlignment="1">
      <alignment horizontal="center" vertical="center"/>
    </xf>
    <xf numFmtId="179" fontId="78" fillId="27" borderId="16" xfId="86" applyNumberFormat="1" applyFont="1" applyFill="1" applyBorder="1" applyAlignment="1">
      <alignment horizontal="center" vertical="center"/>
    </xf>
    <xf numFmtId="14" fontId="78" fillId="27" borderId="24" xfId="43" applyNumberFormat="1" applyFont="1" applyFill="1" applyBorder="1" applyAlignment="1">
      <alignment horizontal="center" vertical="center"/>
    </xf>
    <xf numFmtId="179" fontId="78" fillId="27" borderId="24" xfId="86" applyNumberFormat="1" applyFont="1" applyFill="1" applyBorder="1" applyAlignment="1">
      <alignment horizontal="center" vertical="center"/>
    </xf>
    <xf numFmtId="0" fontId="59" fillId="27" borderId="0" xfId="43" applyFont="1" applyFill="1" applyAlignment="1" applyProtection="1">
      <alignment horizontal="left" vertical="center"/>
    </xf>
    <xf numFmtId="0" fontId="78" fillId="27" borderId="0" xfId="43" applyFont="1" applyFill="1" applyAlignment="1">
      <alignment vertical="center"/>
    </xf>
    <xf numFmtId="0" fontId="59" fillId="28" borderId="0" xfId="43" applyFont="1" applyFill="1" applyAlignment="1">
      <alignment vertical="center"/>
    </xf>
    <xf numFmtId="0" fontId="61" fillId="0" borderId="0" xfId="378" applyFont="1" applyFill="1" applyAlignment="1">
      <alignment vertical="center"/>
    </xf>
    <xf numFmtId="10" fontId="59" fillId="0" borderId="15" xfId="372" applyNumberFormat="1" applyFont="1" applyFill="1" applyBorder="1" applyAlignment="1">
      <alignment horizontal="center"/>
    </xf>
    <xf numFmtId="10" fontId="73" fillId="30" borderId="23" xfId="43" applyNumberFormat="1" applyFont="1" applyFill="1" applyBorder="1" applyAlignment="1">
      <alignment horizontal="center" vertical="center"/>
    </xf>
    <xf numFmtId="10" fontId="59" fillId="0" borderId="15" xfId="372" applyNumberFormat="1" applyFont="1" applyFill="1" applyBorder="1" applyAlignment="1">
      <alignment horizontal="center" vertical="center"/>
    </xf>
    <xf numFmtId="10" fontId="61" fillId="27" borderId="15" xfId="372" applyNumberFormat="1" applyFont="1" applyFill="1" applyBorder="1" applyAlignment="1">
      <alignment horizontal="center" vertical="center"/>
    </xf>
    <xf numFmtId="0" fontId="59" fillId="28" borderId="14" xfId="43" applyFont="1" applyFill="1" applyBorder="1" applyAlignment="1">
      <alignment vertical="center"/>
    </xf>
    <xf numFmtId="177" fontId="89" fillId="27" borderId="15" xfId="43" applyNumberFormat="1" applyFont="1" applyFill="1" applyBorder="1" applyAlignment="1" applyProtection="1">
      <alignment vertical="center"/>
    </xf>
    <xf numFmtId="0" fontId="59" fillId="0" borderId="0" xfId="378" applyFont="1" applyFill="1" applyAlignment="1">
      <alignment vertical="center"/>
    </xf>
    <xf numFmtId="0" fontId="59" fillId="27" borderId="0" xfId="378" applyFont="1" applyFill="1" applyAlignment="1">
      <alignment vertical="center"/>
    </xf>
    <xf numFmtId="0" fontId="59" fillId="27" borderId="0" xfId="378" applyFont="1" applyFill="1" applyBorder="1" applyAlignment="1">
      <alignment vertical="center"/>
    </xf>
    <xf numFmtId="186" fontId="59" fillId="0" borderId="0" xfId="378" applyNumberFormat="1" applyFont="1" applyFill="1" applyAlignment="1">
      <alignment vertical="center"/>
    </xf>
    <xf numFmtId="172" fontId="59" fillId="0" borderId="0" xfId="86" applyFont="1" applyFill="1" applyAlignment="1">
      <alignment vertical="center"/>
    </xf>
    <xf numFmtId="0" fontId="59" fillId="0" borderId="0" xfId="378" applyFont="1" applyFill="1" applyBorder="1" applyAlignment="1">
      <alignment vertical="center"/>
    </xf>
    <xf numFmtId="0" fontId="59" fillId="0" borderId="0" xfId="379" applyFont="1" applyFill="1" applyBorder="1" applyAlignment="1">
      <alignment vertical="center"/>
    </xf>
    <xf numFmtId="0" fontId="67" fillId="0" borderId="0" xfId="379" applyFont="1" applyFill="1" applyBorder="1" applyAlignment="1">
      <alignment horizontal="centerContinuous" vertical="center"/>
    </xf>
    <xf numFmtId="0" fontId="67" fillId="0" borderId="15" xfId="379" applyFont="1" applyFill="1" applyBorder="1" applyAlignment="1">
      <alignment vertical="center"/>
    </xf>
    <xf numFmtId="0" fontId="67" fillId="0" borderId="32" xfId="379" applyFont="1" applyFill="1" applyBorder="1" applyAlignment="1">
      <alignment vertical="center"/>
    </xf>
    <xf numFmtId="3" fontId="71" fillId="30" borderId="23" xfId="379" applyNumberFormat="1" applyFont="1" applyFill="1" applyBorder="1" applyAlignment="1" applyProtection="1">
      <alignment horizontal="left" vertical="center"/>
    </xf>
    <xf numFmtId="186" fontId="67" fillId="27" borderId="15" xfId="379" applyNumberFormat="1" applyFont="1" applyFill="1" applyBorder="1" applyAlignment="1" applyProtection="1">
      <alignment horizontal="left" vertical="center"/>
    </xf>
    <xf numFmtId="0" fontId="59" fillId="27" borderId="15" xfId="379" applyFont="1" applyFill="1" applyBorder="1" applyAlignment="1">
      <alignment vertical="center"/>
    </xf>
    <xf numFmtId="3" fontId="67" fillId="27" borderId="15" xfId="379" applyNumberFormat="1" applyFont="1" applyFill="1" applyBorder="1" applyAlignment="1" applyProtection="1">
      <alignment horizontal="left" vertical="center"/>
    </xf>
    <xf numFmtId="3" fontId="67" fillId="27" borderId="24" xfId="379" applyNumberFormat="1" applyFont="1" applyFill="1" applyBorder="1" applyAlignment="1" applyProtection="1">
      <alignment horizontal="left" vertical="center"/>
    </xf>
    <xf numFmtId="0" fontId="74" fillId="0" borderId="0" xfId="378" applyFont="1" applyFill="1" applyAlignment="1">
      <alignment vertical="center" wrapText="1"/>
    </xf>
    <xf numFmtId="197" fontId="59" fillId="0" borderId="0" xfId="43" applyNumberFormat="1" applyFont="1" applyFill="1" applyAlignment="1">
      <alignment vertical="center"/>
    </xf>
    <xf numFmtId="3" fontId="59" fillId="27" borderId="38" xfId="433" applyNumberFormat="1" applyFont="1" applyFill="1" applyBorder="1" applyAlignment="1">
      <alignment horizontal="center"/>
    </xf>
    <xf numFmtId="3" fontId="59" fillId="27" borderId="40" xfId="433" applyNumberFormat="1" applyFont="1" applyFill="1" applyBorder="1" applyAlignment="1">
      <alignment horizontal="center"/>
    </xf>
    <xf numFmtId="0" fontId="67" fillId="27" borderId="27" xfId="43" applyFont="1" applyFill="1" applyBorder="1" applyAlignment="1">
      <alignment horizontal="center"/>
    </xf>
    <xf numFmtId="0" fontId="67" fillId="27" borderId="33" xfId="43" applyFont="1" applyFill="1" applyBorder="1" applyAlignment="1">
      <alignment horizontal="center"/>
    </xf>
    <xf numFmtId="3" fontId="59" fillId="27" borderId="18" xfId="432" applyNumberFormat="1" applyFont="1" applyFill="1" applyBorder="1"/>
    <xf numFmtId="3" fontId="67" fillId="0" borderId="21" xfId="432" applyNumberFormat="1" applyFont="1" applyFill="1" applyBorder="1"/>
    <xf numFmtId="3" fontId="67" fillId="0" borderId="72" xfId="432" applyNumberFormat="1" applyFont="1" applyFill="1" applyBorder="1"/>
    <xf numFmtId="3" fontId="59" fillId="22" borderId="15" xfId="43" applyNumberFormat="1" applyFont="1" applyFill="1" applyBorder="1" applyAlignment="1">
      <alignment vertical="center"/>
    </xf>
    <xf numFmtId="3" fontId="59" fillId="22" borderId="15" xfId="43" applyNumberFormat="1" applyFont="1" applyFill="1" applyBorder="1"/>
    <xf numFmtId="3" fontId="78" fillId="22" borderId="15" xfId="43" applyNumberFormat="1" applyFont="1" applyFill="1" applyBorder="1"/>
    <xf numFmtId="3" fontId="71" fillId="30" borderId="15" xfId="43" applyNumberFormat="1" applyFont="1" applyFill="1" applyBorder="1" applyAlignment="1">
      <alignment vertical="center" wrapText="1"/>
    </xf>
    <xf numFmtId="3" fontId="59" fillId="22" borderId="24" xfId="43" applyNumberFormat="1" applyFont="1" applyFill="1" applyBorder="1"/>
    <xf numFmtId="3" fontId="61" fillId="27" borderId="15" xfId="379" applyNumberFormat="1" applyFont="1" applyFill="1" applyBorder="1" applyAlignment="1" applyProtection="1">
      <alignment horizontal="left" vertical="center"/>
    </xf>
    <xf numFmtId="3" fontId="66" fillId="27" borderId="32" xfId="379" applyNumberFormat="1" applyFont="1" applyFill="1" applyBorder="1" applyAlignment="1" applyProtection="1">
      <alignment horizontal="left" vertical="center"/>
    </xf>
    <xf numFmtId="167" fontId="71" fillId="30" borderId="32" xfId="43" applyNumberFormat="1" applyFont="1" applyFill="1" applyBorder="1" applyAlignment="1" applyProtection="1">
      <alignment horizontal="right" vertical="center"/>
    </xf>
    <xf numFmtId="3" fontId="71" fillId="30" borderId="66" xfId="43" applyNumberFormat="1" applyFont="1" applyFill="1" applyBorder="1" applyAlignment="1">
      <alignment horizontal="right" vertical="center"/>
    </xf>
    <xf numFmtId="3" fontId="61" fillId="27" borderId="15" xfId="43" applyNumberFormat="1" applyFont="1" applyFill="1" applyBorder="1" applyAlignment="1" applyProtection="1">
      <alignment horizontal="right" vertical="center"/>
    </xf>
    <xf numFmtId="0" fontId="126" fillId="0" borderId="0" xfId="79" applyFont="1" applyFill="1" applyAlignment="1" applyProtection="1">
      <alignment horizontal="center" vertical="center"/>
    </xf>
    <xf numFmtId="0" fontId="127" fillId="0" borderId="0" xfId="368" applyFont="1" applyAlignment="1">
      <alignment vertical="center"/>
    </xf>
    <xf numFmtId="0" fontId="78" fillId="0" borderId="0" xfId="43" applyFont="1" applyFill="1" applyAlignment="1">
      <alignment vertical="center"/>
    </xf>
    <xf numFmtId="0" fontId="78" fillId="0" borderId="0" xfId="378" applyFont="1" applyFill="1" applyAlignment="1">
      <alignment vertical="center"/>
    </xf>
    <xf numFmtId="0" fontId="126" fillId="0" borderId="0" xfId="79" applyFont="1" applyFill="1" applyAlignment="1" applyProtection="1">
      <alignment horizontal="center"/>
    </xf>
    <xf numFmtId="0" fontId="78" fillId="0" borderId="0" xfId="43" applyFont="1" applyFill="1" applyBorder="1"/>
    <xf numFmtId="0" fontId="61" fillId="28" borderId="0" xfId="368" applyFont="1" applyFill="1"/>
    <xf numFmtId="3" fontId="78" fillId="27" borderId="0" xfId="91" applyNumberFormat="1" applyFont="1" applyFill="1" applyAlignment="1">
      <alignment horizontal="center"/>
    </xf>
    <xf numFmtId="3" fontId="78" fillId="27" borderId="0" xfId="91" applyNumberFormat="1" applyFont="1" applyFill="1" applyAlignment="1">
      <alignment horizontal="center" vertical="center"/>
    </xf>
    <xf numFmtId="0" fontId="60" fillId="0" borderId="0" xfId="79" applyFont="1" applyFill="1" applyAlignment="1" applyProtection="1">
      <alignment horizontal="center"/>
    </xf>
    <xf numFmtId="0" fontId="67" fillId="27" borderId="0" xfId="43" applyFont="1" applyFill="1"/>
    <xf numFmtId="0" fontId="67" fillId="27" borderId="0" xfId="43" applyFont="1" applyFill="1" applyAlignment="1">
      <alignment horizontal="center"/>
    </xf>
    <xf numFmtId="0" fontId="66" fillId="27" borderId="0" xfId="43" applyFont="1" applyFill="1" applyAlignment="1"/>
    <xf numFmtId="0" fontId="59" fillId="27" borderId="0" xfId="43" applyFont="1" applyFill="1" applyAlignment="1">
      <alignment horizontal="center" vertical="center" wrapText="1"/>
    </xf>
    <xf numFmtId="0" fontId="59" fillId="27" borderId="0" xfId="43" applyFont="1" applyFill="1" applyAlignment="1">
      <alignment horizontal="center" vertical="center"/>
    </xf>
    <xf numFmtId="0" fontId="67" fillId="27" borderId="0" xfId="43" applyFont="1" applyFill="1" applyAlignment="1">
      <alignment vertical="center"/>
    </xf>
    <xf numFmtId="0" fontId="72" fillId="30" borderId="43" xfId="43" applyFont="1" applyFill="1" applyBorder="1" applyAlignment="1">
      <alignment horizontal="center" vertical="center"/>
    </xf>
    <xf numFmtId="0" fontId="72" fillId="30" borderId="99" xfId="43" applyFont="1" applyFill="1" applyBorder="1" applyAlignment="1">
      <alignment horizontal="center" vertical="center"/>
    </xf>
    <xf numFmtId="0" fontId="72" fillId="30" borderId="66" xfId="43" applyFont="1" applyFill="1" applyBorder="1" applyAlignment="1">
      <alignment horizontal="center" vertical="center"/>
    </xf>
    <xf numFmtId="0" fontId="67" fillId="27" borderId="100" xfId="43" applyFont="1" applyFill="1" applyBorder="1" applyAlignment="1">
      <alignment vertical="center"/>
    </xf>
    <xf numFmtId="178" fontId="67" fillId="27" borderId="100" xfId="372" applyNumberFormat="1" applyFont="1" applyFill="1" applyBorder="1" applyAlignment="1">
      <alignment horizontal="center" vertical="center"/>
    </xf>
    <xf numFmtId="0" fontId="67" fillId="27" borderId="101" xfId="43" applyFont="1" applyFill="1" applyBorder="1" applyAlignment="1">
      <alignment vertical="center"/>
    </xf>
    <xf numFmtId="178" fontId="67" fillId="27" borderId="101" xfId="372" applyNumberFormat="1" applyFont="1" applyFill="1" applyBorder="1" applyAlignment="1">
      <alignment horizontal="center" vertical="center"/>
    </xf>
    <xf numFmtId="0" fontId="67" fillId="0" borderId="101" xfId="43" applyFont="1" applyFill="1" applyBorder="1" applyAlignment="1">
      <alignment vertical="center"/>
    </xf>
    <xf numFmtId="49" fontId="67" fillId="27" borderId="101" xfId="372" applyNumberFormat="1" applyFont="1" applyFill="1" applyBorder="1" applyAlignment="1">
      <alignment horizontal="center" vertical="center"/>
    </xf>
    <xf numFmtId="172" fontId="59" fillId="27" borderId="0" xfId="369" applyFont="1" applyFill="1"/>
    <xf numFmtId="0" fontId="67" fillId="0" borderId="102" xfId="43" applyFont="1" applyFill="1" applyBorder="1" applyAlignment="1">
      <alignment vertical="center"/>
    </xf>
    <xf numFmtId="178" fontId="67" fillId="27" borderId="102" xfId="372" applyNumberFormat="1" applyFont="1" applyFill="1" applyBorder="1" applyAlignment="1">
      <alignment horizontal="center" vertical="center"/>
    </xf>
    <xf numFmtId="49" fontId="67" fillId="27" borderId="102" xfId="372" applyNumberFormat="1" applyFont="1" applyFill="1" applyBorder="1" applyAlignment="1">
      <alignment horizontal="center" vertical="center"/>
    </xf>
    <xf numFmtId="0" fontId="67" fillId="0" borderId="100" xfId="43" applyFont="1" applyFill="1" applyBorder="1" applyAlignment="1">
      <alignment vertical="center"/>
    </xf>
    <xf numFmtId="178" fontId="67" fillId="27" borderId="0" xfId="372" applyNumberFormat="1" applyFont="1" applyFill="1" applyAlignment="1">
      <alignment horizontal="center"/>
    </xf>
    <xf numFmtId="201" fontId="67" fillId="27" borderId="99" xfId="370" applyNumberFormat="1" applyFont="1" applyFill="1" applyBorder="1" applyAlignment="1">
      <alignment horizontal="center" vertical="center"/>
    </xf>
    <xf numFmtId="0" fontId="67" fillId="28" borderId="100" xfId="43" applyFont="1" applyFill="1" applyBorder="1" applyAlignment="1">
      <alignment horizontal="left" vertical="center"/>
    </xf>
    <xf numFmtId="0" fontId="67" fillId="28" borderId="102" xfId="43" applyFont="1" applyFill="1" applyBorder="1" applyAlignment="1">
      <alignment horizontal="left" vertical="center"/>
    </xf>
    <xf numFmtId="0" fontId="67" fillId="28" borderId="0" xfId="43" applyFont="1" applyFill="1" applyBorder="1" applyAlignment="1">
      <alignment horizontal="left"/>
    </xf>
    <xf numFmtId="178" fontId="67" fillId="27" borderId="0" xfId="372" applyNumberFormat="1" applyFont="1" applyFill="1" applyBorder="1" applyAlignment="1">
      <alignment horizontal="center"/>
    </xf>
    <xf numFmtId="0" fontId="67" fillId="28" borderId="0" xfId="43" applyFont="1" applyFill="1" applyAlignment="1">
      <alignment horizontal="left"/>
    </xf>
    <xf numFmtId="201" fontId="67" fillId="27" borderId="0" xfId="370" applyNumberFormat="1" applyFont="1" applyFill="1" applyBorder="1" applyAlignment="1">
      <alignment horizontal="center"/>
    </xf>
    <xf numFmtId="202" fontId="67" fillId="27" borderId="0" xfId="370" applyNumberFormat="1" applyFont="1" applyFill="1" applyAlignment="1">
      <alignment horizontal="center"/>
    </xf>
    <xf numFmtId="0" fontId="72" fillId="30" borderId="99" xfId="43" applyFont="1" applyFill="1" applyBorder="1" applyAlignment="1">
      <alignment horizontal="center" vertical="center" wrapText="1"/>
    </xf>
    <xf numFmtId="0" fontId="67" fillId="0" borderId="100" xfId="43" applyFont="1" applyFill="1" applyBorder="1" applyAlignment="1">
      <alignment horizontal="left" vertical="center"/>
    </xf>
    <xf numFmtId="0" fontId="67" fillId="0" borderId="102" xfId="43" applyFont="1" applyFill="1" applyBorder="1" applyAlignment="1">
      <alignment horizontal="left" vertical="center"/>
    </xf>
    <xf numFmtId="0" fontId="67" fillId="0" borderId="0" xfId="43" applyFont="1" applyFill="1" applyBorder="1" applyAlignment="1">
      <alignment horizontal="left"/>
    </xf>
    <xf numFmtId="0" fontId="67" fillId="0" borderId="0" xfId="43" applyFont="1" applyFill="1" applyAlignment="1">
      <alignment horizontal="left"/>
    </xf>
    <xf numFmtId="0" fontId="74" fillId="0" borderId="32" xfId="43" applyFont="1" applyFill="1" applyBorder="1"/>
    <xf numFmtId="165" fontId="59" fillId="0" borderId="0" xfId="0" applyNumberFormat="1" applyFont="1"/>
    <xf numFmtId="3" fontId="59" fillId="0" borderId="0" xfId="368" applyNumberFormat="1" applyFont="1"/>
    <xf numFmtId="3" fontId="59" fillId="0" borderId="0" xfId="43" applyNumberFormat="1" applyFont="1" applyFill="1"/>
    <xf numFmtId="173" fontId="90" fillId="27" borderId="0" xfId="85" applyFont="1" applyFill="1" applyAlignment="1">
      <alignment vertical="center"/>
    </xf>
    <xf numFmtId="0" fontId="59" fillId="0" borderId="87" xfId="43" applyFont="1" applyFill="1" applyBorder="1" applyAlignment="1">
      <alignment horizontal="left" vertical="center" indent="1"/>
    </xf>
    <xf numFmtId="0" fontId="59" fillId="0" borderId="0" xfId="43" applyFont="1" applyFill="1" applyBorder="1" applyAlignment="1">
      <alignment horizontal="left" vertical="center" indent="2"/>
    </xf>
    <xf numFmtId="0" fontId="84" fillId="0" borderId="0" xfId="43" applyFont="1" applyFill="1" applyBorder="1" applyAlignment="1">
      <alignment horizontal="left" vertical="center" indent="1"/>
    </xf>
    <xf numFmtId="0" fontId="59" fillId="27" borderId="0" xfId="43" applyFont="1" applyFill="1" applyAlignment="1">
      <alignment horizontal="left" wrapText="1"/>
    </xf>
    <xf numFmtId="204" fontId="63" fillId="27" borderId="15" xfId="97" applyNumberFormat="1" applyFont="1" applyFill="1" applyBorder="1" applyAlignment="1">
      <alignment horizontal="center"/>
    </xf>
    <xf numFmtId="205" fontId="59" fillId="0" borderId="0" xfId="85" applyNumberFormat="1" applyFont="1"/>
    <xf numFmtId="173" fontId="74" fillId="27" borderId="0" xfId="85" applyFont="1" applyFill="1" applyAlignment="1">
      <alignment vertical="center"/>
    </xf>
    <xf numFmtId="173" fontId="59" fillId="27" borderId="0" xfId="85" applyFont="1" applyFill="1" applyAlignment="1">
      <alignment horizontal="center" vertical="center"/>
    </xf>
    <xf numFmtId="173" fontId="78" fillId="27" borderId="0" xfId="85" applyFont="1" applyFill="1" applyBorder="1"/>
    <xf numFmtId="171" fontId="78" fillId="27" borderId="0" xfId="43" applyNumberFormat="1" applyFont="1" applyFill="1" applyBorder="1"/>
    <xf numFmtId="206" fontId="62" fillId="0" borderId="0" xfId="43" applyNumberFormat="1" applyFont="1" applyFill="1"/>
    <xf numFmtId="0" fontId="59" fillId="27" borderId="0" xfId="43" applyFont="1" applyFill="1" applyBorder="1" applyAlignment="1">
      <alignment vertical="center" wrapText="1"/>
    </xf>
    <xf numFmtId="10" fontId="78" fillId="28" borderId="15" xfId="97" applyNumberFormat="1" applyFont="1" applyFill="1" applyBorder="1" applyAlignment="1">
      <alignment horizontal="center" vertical="center"/>
    </xf>
    <xf numFmtId="0" fontId="67" fillId="0" borderId="43" xfId="43" applyFont="1" applyFill="1" applyBorder="1" applyAlignment="1">
      <alignment horizontal="left" vertical="center"/>
    </xf>
    <xf numFmtId="0" fontId="74" fillId="0" borderId="0" xfId="43" applyFont="1" applyFill="1" applyAlignment="1">
      <alignment horizontal="left" vertical="center" indent="2"/>
    </xf>
    <xf numFmtId="3" fontId="74" fillId="0" borderId="0" xfId="43" applyNumberFormat="1" applyFont="1" applyFill="1" applyAlignment="1">
      <alignment horizontal="left" vertical="center" indent="2"/>
    </xf>
    <xf numFmtId="173" fontId="61" fillId="27" borderId="0" xfId="85" applyFont="1" applyFill="1" applyAlignment="1">
      <alignment horizontal="center"/>
    </xf>
    <xf numFmtId="207" fontId="61" fillId="27" borderId="0" xfId="85" applyNumberFormat="1" applyFont="1" applyFill="1" applyAlignment="1">
      <alignment horizontal="center"/>
    </xf>
    <xf numFmtId="209" fontId="59" fillId="27" borderId="0" xfId="85" applyNumberFormat="1" applyFont="1" applyFill="1" applyAlignment="1">
      <alignment horizontal="center"/>
    </xf>
    <xf numFmtId="210" fontId="83" fillId="0" borderId="0" xfId="43" applyNumberFormat="1" applyFont="1" applyFill="1"/>
    <xf numFmtId="0" fontId="67" fillId="0" borderId="54" xfId="43" applyFont="1" applyFill="1" applyBorder="1" applyAlignment="1">
      <alignment vertical="center"/>
    </xf>
    <xf numFmtId="0" fontId="67" fillId="0" borderId="104" xfId="43" applyFont="1" applyFill="1" applyBorder="1" applyAlignment="1">
      <alignment vertical="center"/>
    </xf>
    <xf numFmtId="0" fontId="67" fillId="0" borderId="103" xfId="43" applyFont="1" applyFill="1" applyBorder="1" applyAlignment="1">
      <alignment vertical="center"/>
    </xf>
    <xf numFmtId="173" fontId="59" fillId="28" borderId="14" xfId="85" applyFont="1" applyFill="1" applyBorder="1" applyAlignment="1">
      <alignment wrapText="1"/>
    </xf>
    <xf numFmtId="173" fontId="67" fillId="0" borderId="0" xfId="85" applyNumberFormat="1" applyFont="1" applyFill="1" applyAlignment="1">
      <alignment horizontal="center" vertical="center"/>
    </xf>
    <xf numFmtId="0" fontId="75" fillId="0" borderId="0" xfId="43" applyFont="1" applyFill="1" applyAlignment="1">
      <alignment vertical="center"/>
    </xf>
    <xf numFmtId="10" fontId="131" fillId="27" borderId="20" xfId="372" applyNumberFormat="1" applyFont="1" applyFill="1" applyBorder="1" applyAlignment="1" applyProtection="1">
      <alignment horizontal="center"/>
    </xf>
    <xf numFmtId="10" fontId="132" fillId="27" borderId="20" xfId="372" applyNumberFormat="1" applyFont="1" applyFill="1" applyBorder="1" applyAlignment="1" applyProtection="1">
      <alignment horizontal="center"/>
    </xf>
    <xf numFmtId="211" fontId="67" fillId="27" borderId="32" xfId="85" applyNumberFormat="1" applyFont="1" applyFill="1" applyBorder="1" applyAlignment="1">
      <alignment horizontal="center" vertical="center"/>
    </xf>
    <xf numFmtId="211" fontId="95" fillId="30" borderId="15" xfId="85" applyNumberFormat="1" applyFont="1" applyFill="1" applyBorder="1" applyAlignment="1">
      <alignment vertical="center"/>
    </xf>
    <xf numFmtId="211" fontId="64" fillId="27" borderId="15" xfId="85" applyNumberFormat="1" applyFont="1" applyFill="1" applyBorder="1"/>
    <xf numFmtId="211" fontId="59" fillId="27" borderId="15" xfId="85" applyNumberFormat="1" applyFont="1" applyFill="1" applyBorder="1"/>
    <xf numFmtId="211" fontId="66" fillId="27" borderId="15" xfId="85" applyNumberFormat="1" applyFont="1" applyFill="1" applyBorder="1"/>
    <xf numFmtId="211" fontId="67" fillId="27" borderId="15" xfId="85" applyNumberFormat="1" applyFont="1" applyFill="1" applyBorder="1" applyAlignment="1"/>
    <xf numFmtId="211" fontId="61" fillId="27" borderId="15" xfId="85" applyNumberFormat="1" applyFont="1" applyFill="1" applyBorder="1" applyAlignment="1">
      <alignment vertical="center"/>
    </xf>
    <xf numFmtId="211" fontId="59" fillId="27" borderId="15" xfId="85" applyNumberFormat="1" applyFont="1" applyFill="1" applyBorder="1" applyAlignment="1">
      <alignment horizontal="right" vertical="center"/>
    </xf>
    <xf numFmtId="211" fontId="59" fillId="27" borderId="15" xfId="85" applyNumberFormat="1" applyFont="1" applyFill="1" applyBorder="1" applyAlignment="1">
      <alignment horizontal="right"/>
    </xf>
    <xf numFmtId="211" fontId="59" fillId="27" borderId="15" xfId="85" applyNumberFormat="1" applyFont="1" applyFill="1" applyBorder="1" applyAlignment="1">
      <alignment vertical="center"/>
    </xf>
    <xf numFmtId="211" fontId="61" fillId="27" borderId="15" xfId="85" applyNumberFormat="1" applyFont="1" applyFill="1" applyBorder="1" applyAlignment="1">
      <alignment wrapText="1"/>
    </xf>
    <xf numFmtId="211" fontId="61" fillId="27" borderId="15" xfId="85" applyNumberFormat="1" applyFont="1" applyFill="1" applyBorder="1" applyAlignment="1"/>
    <xf numFmtId="211" fontId="61" fillId="27" borderId="15" xfId="85" applyNumberFormat="1" applyFont="1" applyFill="1" applyBorder="1" applyAlignment="1">
      <alignment horizontal="right" vertical="center"/>
    </xf>
    <xf numFmtId="211" fontId="115" fillId="27" borderId="15" xfId="85" applyNumberFormat="1" applyFont="1" applyFill="1" applyBorder="1" applyAlignment="1"/>
    <xf numFmtId="211" fontId="74" fillId="27" borderId="15" xfId="85" applyNumberFormat="1" applyFont="1" applyFill="1" applyBorder="1" applyAlignment="1">
      <alignment horizontal="right"/>
    </xf>
    <xf numFmtId="211" fontId="66" fillId="28" borderId="15" xfId="85" applyNumberFormat="1" applyFont="1" applyFill="1" applyBorder="1" applyAlignment="1">
      <alignment vertical="center"/>
    </xf>
    <xf numFmtId="211" fontId="67" fillId="28" borderId="15" xfId="85" applyNumberFormat="1" applyFont="1" applyFill="1" applyBorder="1" applyAlignment="1"/>
    <xf numFmtId="211" fontId="95" fillId="30" borderId="15" xfId="85" applyNumberFormat="1" applyFont="1" applyFill="1" applyBorder="1" applyAlignment="1">
      <alignment horizontal="right" vertical="center"/>
    </xf>
    <xf numFmtId="211" fontId="75" fillId="0" borderId="24" xfId="85" applyNumberFormat="1" applyFont="1" applyFill="1" applyBorder="1"/>
    <xf numFmtId="0" fontId="92" fillId="0" borderId="0" xfId="43" applyFont="1" applyFill="1"/>
    <xf numFmtId="0" fontId="128" fillId="0" borderId="0" xfId="43" applyFont="1" applyFill="1" applyAlignment="1" applyProtection="1">
      <alignment horizontal="left"/>
    </xf>
    <xf numFmtId="167" fontId="59" fillId="28" borderId="0" xfId="43" applyNumberFormat="1" applyFont="1" applyFill="1"/>
    <xf numFmtId="167" fontId="61" fillId="27" borderId="64" xfId="369" applyNumberFormat="1" applyFont="1" applyFill="1" applyBorder="1" applyAlignment="1">
      <alignment vertical="center"/>
    </xf>
    <xf numFmtId="196" fontId="78" fillId="27" borderId="19" xfId="86" applyNumberFormat="1" applyFont="1" applyFill="1" applyBorder="1" applyAlignment="1">
      <alignment vertical="center"/>
    </xf>
    <xf numFmtId="196" fontId="61" fillId="27" borderId="19" xfId="86" applyNumberFormat="1" applyFont="1" applyFill="1" applyBorder="1" applyAlignment="1">
      <alignment vertical="center"/>
    </xf>
    <xf numFmtId="167" fontId="61" fillId="30" borderId="105" xfId="43" applyNumberFormat="1" applyFont="1" applyFill="1" applyBorder="1" applyAlignment="1">
      <alignment horizontal="center" vertical="center"/>
    </xf>
    <xf numFmtId="167" fontId="61" fillId="30" borderId="40" xfId="43" applyNumberFormat="1" applyFont="1" applyFill="1" applyBorder="1" applyAlignment="1">
      <alignment horizontal="center" vertical="center"/>
    </xf>
    <xf numFmtId="167" fontId="61" fillId="27" borderId="0" xfId="86" applyNumberFormat="1" applyFont="1" applyFill="1" applyBorder="1" applyAlignment="1">
      <alignment vertical="center"/>
    </xf>
    <xf numFmtId="167" fontId="61" fillId="27" borderId="0" xfId="86" applyNumberFormat="1" applyFont="1" applyFill="1" applyBorder="1" applyAlignment="1">
      <alignment horizontal="right" vertical="center"/>
    </xf>
    <xf numFmtId="167" fontId="61" fillId="27" borderId="0" xfId="369" applyNumberFormat="1" applyFont="1" applyFill="1" applyBorder="1" applyAlignment="1">
      <alignment vertical="center"/>
    </xf>
    <xf numFmtId="167" fontId="78" fillId="27" borderId="47" xfId="86" applyNumberFormat="1" applyFont="1" applyFill="1" applyBorder="1" applyAlignment="1">
      <alignment vertical="center"/>
    </xf>
    <xf numFmtId="167" fontId="61" fillId="30" borderId="106" xfId="43" applyNumberFormat="1" applyFont="1" applyFill="1" applyBorder="1" applyAlignment="1">
      <alignment horizontal="center" vertical="center"/>
    </xf>
    <xf numFmtId="167" fontId="61" fillId="27" borderId="50" xfId="86" applyNumberFormat="1" applyFont="1" applyFill="1" applyBorder="1" applyAlignment="1">
      <alignment horizontal="center" vertical="center"/>
    </xf>
    <xf numFmtId="167" fontId="61" fillId="27" borderId="24" xfId="86" applyNumberFormat="1" applyFont="1" applyFill="1" applyBorder="1" applyAlignment="1">
      <alignment horizontal="center" vertical="center"/>
    </xf>
    <xf numFmtId="211" fontId="61" fillId="27" borderId="15" xfId="43" applyNumberFormat="1" applyFont="1" applyFill="1" applyBorder="1" applyAlignment="1" applyProtection="1">
      <alignment horizontal="right" vertical="center"/>
    </xf>
    <xf numFmtId="211" fontId="71" fillId="30" borderId="15" xfId="43" applyNumberFormat="1" applyFont="1" applyFill="1" applyBorder="1" applyAlignment="1" applyProtection="1">
      <alignment horizontal="right" vertical="center"/>
    </xf>
    <xf numFmtId="211" fontId="61" fillId="0" borderId="15" xfId="43" applyNumberFormat="1" applyFont="1" applyFill="1" applyBorder="1" applyAlignment="1" applyProtection="1">
      <alignment horizontal="right" vertical="center"/>
    </xf>
    <xf numFmtId="211" fontId="78" fillId="27" borderId="15" xfId="43" applyNumberFormat="1" applyFont="1" applyFill="1" applyBorder="1" applyAlignment="1">
      <alignment vertical="center"/>
    </xf>
    <xf numFmtId="211" fontId="78" fillId="27" borderId="15" xfId="43" applyNumberFormat="1" applyFont="1" applyFill="1" applyBorder="1" applyAlignment="1" applyProtection="1">
      <alignment horizontal="right" vertical="center"/>
    </xf>
    <xf numFmtId="211" fontId="78" fillId="28" borderId="15" xfId="43" applyNumberFormat="1" applyFont="1" applyFill="1" applyBorder="1" applyAlignment="1" applyProtection="1">
      <alignment horizontal="right" vertical="center"/>
    </xf>
    <xf numFmtId="211" fontId="78" fillId="0" borderId="15" xfId="43" applyNumberFormat="1" applyFont="1" applyFill="1" applyBorder="1" applyAlignment="1" applyProtection="1">
      <alignment horizontal="right" vertical="center"/>
    </xf>
    <xf numFmtId="173" fontId="59" fillId="0" borderId="0" xfId="85" applyFont="1" applyAlignment="1">
      <alignment vertical="center"/>
    </xf>
    <xf numFmtId="0" fontId="78" fillId="27" borderId="32" xfId="43" applyFont="1" applyFill="1" applyBorder="1" applyAlignment="1">
      <alignment horizontal="centerContinuous" vertical="center" wrapText="1"/>
    </xf>
    <xf numFmtId="0" fontId="78" fillId="27" borderId="24" xfId="43" applyFont="1" applyFill="1" applyBorder="1" applyAlignment="1">
      <alignment horizontal="center" vertical="center" wrapText="1"/>
    </xf>
    <xf numFmtId="3" fontId="59" fillId="27" borderId="37" xfId="432" applyNumberFormat="1" applyFont="1" applyFill="1" applyBorder="1"/>
    <xf numFmtId="3" fontId="74" fillId="0" borderId="0" xfId="0" applyNumberFormat="1" applyFont="1"/>
    <xf numFmtId="3" fontId="59" fillId="27" borderId="15" xfId="43" applyNumberFormat="1" applyFont="1" applyFill="1" applyBorder="1"/>
    <xf numFmtId="3" fontId="67" fillId="27" borderId="15" xfId="43" applyNumberFormat="1" applyFont="1" applyFill="1" applyBorder="1" applyAlignment="1">
      <alignment vertical="center"/>
    </xf>
    <xf numFmtId="3" fontId="133" fillId="27" borderId="15" xfId="43" applyNumberFormat="1" applyFont="1" applyFill="1" applyBorder="1"/>
    <xf numFmtId="0" fontId="59" fillId="27" borderId="0" xfId="91" applyFont="1" applyFill="1" applyAlignment="1">
      <alignment horizontal="left" vertical="center" wrapText="1"/>
    </xf>
    <xf numFmtId="0" fontId="31" fillId="30" borderId="14" xfId="43" applyNumberFormat="1" applyFont="1" applyFill="1" applyBorder="1" applyAlignment="1" applyProtection="1"/>
    <xf numFmtId="10" fontId="71" fillId="30" borderId="15" xfId="97" applyNumberFormat="1" applyFont="1" applyFill="1" applyBorder="1" applyAlignment="1" applyProtection="1">
      <alignment horizontal="right" vertical="center"/>
    </xf>
    <xf numFmtId="15" fontId="78" fillId="0" borderId="19" xfId="43" applyNumberFormat="1" applyFont="1" applyFill="1" applyBorder="1" applyAlignment="1">
      <alignment horizontal="center"/>
    </xf>
    <xf numFmtId="0" fontId="61" fillId="0" borderId="19" xfId="43" applyFont="1" applyFill="1" applyBorder="1"/>
    <xf numFmtId="1" fontId="61" fillId="0" borderId="63" xfId="43" applyNumberFormat="1" applyFont="1" applyFill="1" applyBorder="1" applyAlignment="1">
      <alignment horizontal="center"/>
    </xf>
    <xf numFmtId="3" fontId="94" fillId="0" borderId="52" xfId="43" applyNumberFormat="1" applyFont="1" applyFill="1" applyBorder="1" applyAlignment="1">
      <alignment vertical="center" wrapText="1"/>
    </xf>
    <xf numFmtId="0" fontId="103" fillId="0" borderId="19" xfId="43" applyFont="1" applyFill="1" applyBorder="1"/>
    <xf numFmtId="1" fontId="104" fillId="0" borderId="63" xfId="43" applyNumberFormat="1" applyFont="1" applyFill="1" applyBorder="1" applyAlignment="1">
      <alignment horizontal="center"/>
    </xf>
    <xf numFmtId="3" fontId="119" fillId="0" borderId="19" xfId="43" applyNumberFormat="1" applyFont="1" applyFill="1" applyBorder="1" applyAlignment="1">
      <alignment horizontal="right" indent="1"/>
    </xf>
    <xf numFmtId="3" fontId="78" fillId="0" borderId="19" xfId="43" applyNumberFormat="1" applyFont="1" applyFill="1" applyBorder="1" applyAlignment="1">
      <alignment horizontal="right" indent="1"/>
    </xf>
    <xf numFmtId="1" fontId="105" fillId="0" borderId="63" xfId="43" applyNumberFormat="1" applyFont="1" applyFill="1" applyBorder="1" applyAlignment="1">
      <alignment horizontal="center"/>
    </xf>
    <xf numFmtId="3" fontId="61" fillId="0" borderId="19" xfId="43" applyNumberFormat="1" applyFont="1" applyFill="1" applyBorder="1" applyAlignment="1">
      <alignment horizontal="right" indent="1"/>
    </xf>
    <xf numFmtId="3" fontId="78" fillId="0" borderId="19" xfId="43" quotePrefix="1" applyNumberFormat="1" applyFont="1" applyFill="1" applyBorder="1" applyAlignment="1">
      <alignment horizontal="right" indent="1"/>
    </xf>
    <xf numFmtId="3" fontId="61" fillId="0" borderId="19" xfId="43" quotePrefix="1" applyNumberFormat="1" applyFont="1" applyFill="1" applyBorder="1" applyAlignment="1">
      <alignment horizontal="right" indent="1"/>
    </xf>
    <xf numFmtId="0" fontId="78" fillId="0" borderId="19" xfId="43" applyFont="1" applyFill="1" applyBorder="1"/>
    <xf numFmtId="3" fontId="78" fillId="0" borderId="0" xfId="43" applyNumberFormat="1" applyFont="1" applyFill="1"/>
    <xf numFmtId="15" fontId="59" fillId="0" borderId="0" xfId="43" applyNumberFormat="1" applyFont="1" applyFill="1" applyAlignment="1"/>
    <xf numFmtId="173" fontId="59" fillId="0" borderId="0" xfId="370" applyFont="1" applyFill="1"/>
    <xf numFmtId="171" fontId="67" fillId="0" borderId="0" xfId="369" applyNumberFormat="1" applyFont="1" applyFill="1"/>
    <xf numFmtId="165" fontId="78" fillId="0" borderId="0" xfId="43" applyNumberFormat="1" applyFont="1" applyFill="1"/>
    <xf numFmtId="172" fontId="78" fillId="0" borderId="0" xfId="369" applyFont="1" applyFill="1"/>
    <xf numFmtId="3" fontId="73" fillId="30" borderId="105" xfId="43" applyNumberFormat="1" applyFont="1" applyFill="1" applyBorder="1" applyAlignment="1">
      <alignment horizontal="right" vertical="center" indent="1"/>
    </xf>
    <xf numFmtId="0" fontId="78" fillId="0" borderId="19" xfId="43" applyFont="1" applyFill="1" applyBorder="1" applyAlignment="1">
      <alignment horizontal="center"/>
    </xf>
    <xf numFmtId="0" fontId="78" fillId="0" borderId="37" xfId="43" applyFont="1" applyFill="1" applyBorder="1" applyAlignment="1">
      <alignment horizontal="center"/>
    </xf>
    <xf numFmtId="49" fontId="78" fillId="0" borderId="19" xfId="43" applyNumberFormat="1" applyFont="1" applyFill="1" applyBorder="1" applyAlignment="1">
      <alignment horizontal="center"/>
    </xf>
    <xf numFmtId="1" fontId="78" fillId="0" borderId="19" xfId="43" applyNumberFormat="1" applyFont="1" applyFill="1" applyBorder="1" applyAlignment="1">
      <alignment horizontal="center"/>
    </xf>
    <xf numFmtId="191" fontId="134" fillId="0" borderId="19" xfId="369" applyNumberFormat="1" applyFont="1" applyFill="1" applyBorder="1" applyAlignment="1" applyProtection="1">
      <alignment horizontal="center" vertical="center" wrapText="1"/>
    </xf>
    <xf numFmtId="15" fontId="61" fillId="0" borderId="19" xfId="43" applyNumberFormat="1" applyFont="1" applyFill="1" applyBorder="1" applyAlignment="1">
      <alignment horizontal="center" vertical="center" wrapText="1"/>
    </xf>
    <xf numFmtId="0" fontId="61" fillId="0" borderId="37" xfId="43" applyFont="1" applyFill="1" applyBorder="1" applyAlignment="1">
      <alignment vertical="center" wrapText="1"/>
    </xf>
    <xf numFmtId="49" fontId="61" fillId="0" borderId="19" xfId="43" applyNumberFormat="1" applyFont="1" applyFill="1" applyBorder="1" applyAlignment="1">
      <alignment horizontal="center" vertical="center" wrapText="1"/>
    </xf>
    <xf numFmtId="1" fontId="61" fillId="0" borderId="19" xfId="43" applyNumberFormat="1" applyFont="1" applyFill="1" applyBorder="1" applyAlignment="1" applyProtection="1">
      <alignment horizontal="center" vertical="center" wrapText="1"/>
    </xf>
    <xf numFmtId="3" fontId="61" fillId="0" borderId="19" xfId="369" applyNumberFormat="1" applyFont="1" applyFill="1" applyBorder="1" applyAlignment="1" applyProtection="1">
      <alignment horizontal="right" vertical="center" wrapText="1" indent="1"/>
    </xf>
    <xf numFmtId="15" fontId="78" fillId="0" borderId="19" xfId="43" applyNumberFormat="1" applyFont="1" applyFill="1" applyBorder="1" applyAlignment="1">
      <alignment horizontal="center" vertical="center" wrapText="1"/>
    </xf>
    <xf numFmtId="212" fontId="78" fillId="0" borderId="19" xfId="372" applyNumberFormat="1" applyFont="1" applyFill="1" applyBorder="1" applyAlignment="1">
      <alignment horizontal="center"/>
    </xf>
    <xf numFmtId="3" fontId="78" fillId="0" borderId="19" xfId="369" applyNumberFormat="1" applyFont="1" applyFill="1" applyBorder="1" applyAlignment="1">
      <alignment horizontal="right" wrapText="1" indent="1"/>
    </xf>
    <xf numFmtId="0" fontId="78" fillId="0" borderId="0" xfId="43" applyFont="1" applyFill="1" applyBorder="1" applyAlignment="1">
      <alignment horizontal="left"/>
    </xf>
    <xf numFmtId="10" fontId="78" fillId="0" borderId="19" xfId="372" applyNumberFormat="1" applyFont="1" applyFill="1" applyBorder="1" applyAlignment="1">
      <alignment horizontal="center"/>
    </xf>
    <xf numFmtId="0" fontId="61" fillId="0" borderId="19" xfId="43" applyFont="1" applyFill="1" applyBorder="1" applyAlignment="1">
      <alignment vertical="center" wrapText="1"/>
    </xf>
    <xf numFmtId="204" fontId="78" fillId="0" borderId="19" xfId="43" applyNumberFormat="1" applyFont="1" applyFill="1" applyBorder="1" applyAlignment="1">
      <alignment horizontal="center"/>
    </xf>
    <xf numFmtId="204" fontId="78" fillId="0" borderId="19" xfId="372" applyNumberFormat="1" applyFont="1" applyFill="1" applyBorder="1" applyAlignment="1">
      <alignment horizontal="center"/>
    </xf>
    <xf numFmtId="0" fontId="106" fillId="0" borderId="19" xfId="43" applyFont="1" applyFill="1" applyBorder="1"/>
    <xf numFmtId="3" fontId="78" fillId="0" borderId="19" xfId="369" applyNumberFormat="1" applyFont="1" applyFill="1" applyBorder="1" applyAlignment="1">
      <alignment horizontal="right" indent="1"/>
    </xf>
    <xf numFmtId="0" fontId="100" fillId="0" borderId="37" xfId="43" applyFont="1" applyFill="1" applyBorder="1" applyAlignment="1">
      <alignment vertical="center" wrapText="1"/>
    </xf>
    <xf numFmtId="49" fontId="106" fillId="0" borderId="19" xfId="43" applyNumberFormat="1" applyFont="1" applyFill="1" applyBorder="1" applyAlignment="1">
      <alignment horizontal="center" vertical="center" wrapText="1"/>
    </xf>
    <xf numFmtId="1" fontId="78" fillId="0" borderId="19" xfId="43" applyNumberFormat="1" applyFont="1" applyFill="1" applyBorder="1" applyAlignment="1" applyProtection="1">
      <alignment horizontal="center" vertical="center" wrapText="1"/>
    </xf>
    <xf numFmtId="3" fontId="106" fillId="0" borderId="19" xfId="369" applyNumberFormat="1" applyFont="1" applyFill="1" applyBorder="1" applyAlignment="1" applyProtection="1">
      <alignment horizontal="right" vertical="center" wrapText="1" indent="1"/>
    </xf>
    <xf numFmtId="0" fontId="100" fillId="0" borderId="19" xfId="43" applyFont="1" applyFill="1" applyBorder="1" applyAlignment="1">
      <alignment vertical="center" wrapText="1"/>
    </xf>
    <xf numFmtId="3" fontId="78" fillId="0" borderId="19" xfId="369" applyNumberFormat="1" applyFont="1" applyFill="1" applyBorder="1" applyAlignment="1" applyProtection="1">
      <alignment horizontal="right" vertical="center" wrapText="1" indent="1"/>
    </xf>
    <xf numFmtId="0" fontId="78" fillId="0" borderId="19" xfId="43" applyFont="1" applyFill="1" applyBorder="1" applyAlignment="1">
      <alignment vertical="center" wrapText="1"/>
    </xf>
    <xf numFmtId="49" fontId="78" fillId="0" borderId="19" xfId="43" applyNumberFormat="1" applyFont="1" applyFill="1" applyBorder="1" applyAlignment="1">
      <alignment horizontal="center" vertical="center" wrapText="1"/>
    </xf>
    <xf numFmtId="49" fontId="78" fillId="0" borderId="0" xfId="43" applyNumberFormat="1" applyFont="1" applyFill="1" applyAlignment="1">
      <alignment horizontal="center"/>
    </xf>
    <xf numFmtId="1" fontId="78" fillId="0" borderId="0" xfId="43" applyNumberFormat="1" applyFont="1" applyFill="1" applyAlignment="1">
      <alignment horizontal="center"/>
    </xf>
    <xf numFmtId="49" fontId="59" fillId="0" borderId="0" xfId="43" applyNumberFormat="1" applyFont="1" applyFill="1" applyAlignment="1">
      <alignment horizontal="center"/>
    </xf>
    <xf numFmtId="1" fontId="59" fillId="0" borderId="0" xfId="43" applyNumberFormat="1" applyFont="1" applyFill="1" applyAlignment="1">
      <alignment horizontal="center"/>
    </xf>
    <xf numFmtId="1" fontId="59" fillId="0" borderId="0" xfId="369" applyNumberFormat="1" applyFont="1" applyFill="1" applyAlignment="1">
      <alignment horizontal="center"/>
    </xf>
    <xf numFmtId="1" fontId="78" fillId="0" borderId="0" xfId="369" applyNumberFormat="1" applyFont="1" applyFill="1" applyAlignment="1">
      <alignment horizontal="center"/>
    </xf>
    <xf numFmtId="15" fontId="78" fillId="0" borderId="0" xfId="43" applyNumberFormat="1" applyFont="1" applyFill="1" applyAlignment="1"/>
    <xf numFmtId="3" fontId="73" fillId="30" borderId="105" xfId="43" applyNumberFormat="1" applyFont="1" applyFill="1" applyBorder="1" applyAlignment="1">
      <alignment horizontal="right" vertical="center" wrapText="1" indent="1"/>
    </xf>
    <xf numFmtId="0" fontId="59" fillId="0" borderId="19" xfId="43" applyFont="1" applyFill="1" applyBorder="1"/>
    <xf numFmtId="200" fontId="7" fillId="0" borderId="19" xfId="85" applyNumberFormat="1" applyFont="1" applyFill="1" applyBorder="1" applyAlignment="1">
      <alignment horizontal="center"/>
    </xf>
    <xf numFmtId="212" fontId="59" fillId="0" borderId="0" xfId="43" applyNumberFormat="1" applyFont="1" applyFill="1" applyBorder="1" applyAlignment="1">
      <alignment horizontal="center"/>
    </xf>
    <xf numFmtId="10" fontId="59" fillId="0" borderId="19" xfId="43" applyNumberFormat="1" applyFont="1" applyFill="1" applyBorder="1" applyAlignment="1">
      <alignment horizontal="center"/>
    </xf>
    <xf numFmtId="213" fontId="59" fillId="0" borderId="19" xfId="43" applyNumberFormat="1" applyFont="1" applyFill="1" applyBorder="1" applyAlignment="1">
      <alignment horizontal="center"/>
    </xf>
    <xf numFmtId="15" fontId="59" fillId="0" borderId="19" xfId="43" applyNumberFormat="1" applyFont="1" applyFill="1" applyBorder="1" applyAlignment="1">
      <alignment horizontal="center"/>
    </xf>
    <xf numFmtId="0" fontId="135" fillId="0" borderId="63" xfId="43" applyFont="1" applyFill="1" applyBorder="1" applyAlignment="1">
      <alignment horizontal="center"/>
    </xf>
    <xf numFmtId="174" fontId="136" fillId="0" borderId="19" xfId="43" applyNumberFormat="1" applyFont="1" applyFill="1" applyBorder="1"/>
    <xf numFmtId="0" fontId="136" fillId="0" borderId="19" xfId="43" applyFont="1" applyFill="1" applyBorder="1" applyAlignment="1">
      <alignment horizontal="center"/>
    </xf>
    <xf numFmtId="1" fontId="135" fillId="0" borderId="0" xfId="43" applyNumberFormat="1" applyFont="1" applyFill="1" applyBorder="1" applyAlignment="1">
      <alignment horizontal="center"/>
    </xf>
    <xf numFmtId="190" fontId="88" fillId="0" borderId="19" xfId="369" applyNumberFormat="1" applyFont="1" applyFill="1" applyBorder="1"/>
    <xf numFmtId="190" fontId="78" fillId="0" borderId="19" xfId="369" applyNumberFormat="1" applyFont="1" applyFill="1" applyBorder="1"/>
    <xf numFmtId="190" fontId="78" fillId="0" borderId="37" xfId="369" applyNumberFormat="1" applyFont="1" applyFill="1" applyBorder="1"/>
    <xf numFmtId="184" fontId="61" fillId="0" borderId="63" xfId="43" applyNumberFormat="1" applyFont="1" applyFill="1" applyBorder="1" applyAlignment="1">
      <alignment horizontal="center"/>
    </xf>
    <xf numFmtId="10" fontId="61" fillId="0" borderId="19" xfId="43" applyNumberFormat="1" applyFont="1" applyFill="1" applyBorder="1" applyAlignment="1">
      <alignment horizontal="center"/>
    </xf>
    <xf numFmtId="1" fontId="61" fillId="0" borderId="0" xfId="43" applyNumberFormat="1" applyFont="1" applyFill="1" applyBorder="1" applyAlignment="1">
      <alignment horizontal="center"/>
    </xf>
    <xf numFmtId="3" fontId="61" fillId="0" borderId="19" xfId="369" applyNumberFormat="1" applyFont="1" applyFill="1" applyBorder="1" applyAlignment="1">
      <alignment horizontal="right" indent="1"/>
    </xf>
    <xf numFmtId="184" fontId="78" fillId="0" borderId="63" xfId="43" applyNumberFormat="1" applyFont="1" applyFill="1" applyBorder="1" applyAlignment="1">
      <alignment horizontal="center"/>
    </xf>
    <xf numFmtId="0" fontId="78" fillId="0" borderId="19" xfId="89" applyFont="1" applyFill="1" applyBorder="1" applyAlignment="1">
      <alignment horizontal="left" wrapText="1"/>
    </xf>
    <xf numFmtId="10" fontId="78" fillId="0" borderId="19" xfId="43" applyNumberFormat="1" applyFont="1" applyFill="1" applyBorder="1" applyAlignment="1">
      <alignment horizontal="center"/>
    </xf>
    <xf numFmtId="1" fontId="78" fillId="0" borderId="0" xfId="43" applyNumberFormat="1" applyFont="1" applyFill="1" applyBorder="1" applyAlignment="1">
      <alignment horizontal="center"/>
    </xf>
    <xf numFmtId="3" fontId="78" fillId="0" borderId="37" xfId="43" quotePrefix="1" applyNumberFormat="1" applyFont="1" applyFill="1" applyBorder="1" applyAlignment="1">
      <alignment horizontal="right" indent="1"/>
    </xf>
    <xf numFmtId="3" fontId="78" fillId="0" borderId="37" xfId="369" applyNumberFormat="1" applyFont="1" applyFill="1" applyBorder="1" applyAlignment="1">
      <alignment horizontal="right" indent="1"/>
    </xf>
    <xf numFmtId="3" fontId="61" fillId="0" borderId="37" xfId="369" applyNumberFormat="1" applyFont="1" applyFill="1" applyBorder="1" applyAlignment="1">
      <alignment horizontal="right" indent="1"/>
    </xf>
    <xf numFmtId="0" fontId="78" fillId="0" borderId="63" xfId="43" applyFont="1" applyFill="1" applyBorder="1" applyAlignment="1">
      <alignment horizontal="center"/>
    </xf>
    <xf numFmtId="0" fontId="61" fillId="0" borderId="63" xfId="43" applyFont="1" applyFill="1" applyBorder="1" applyAlignment="1">
      <alignment horizontal="center"/>
    </xf>
    <xf numFmtId="3" fontId="61" fillId="0" borderId="19" xfId="369" applyNumberFormat="1" applyFont="1" applyFill="1" applyBorder="1" applyAlignment="1">
      <alignment horizontal="right" wrapText="1" indent="1"/>
    </xf>
    <xf numFmtId="0" fontId="61" fillId="0" borderId="19" xfId="43" applyFont="1" applyFill="1" applyBorder="1" applyAlignment="1">
      <alignment horizontal="center"/>
    </xf>
    <xf numFmtId="0" fontId="61" fillId="0" borderId="19" xfId="89" applyFont="1" applyFill="1" applyBorder="1" applyAlignment="1">
      <alignment horizontal="left" wrapText="1"/>
    </xf>
    <xf numFmtId="10" fontId="61" fillId="0" borderId="19" xfId="372" applyNumberFormat="1" applyFont="1" applyFill="1" applyBorder="1" applyAlignment="1">
      <alignment horizontal="center"/>
    </xf>
    <xf numFmtId="0" fontId="81" fillId="0" borderId="19" xfId="43" applyFont="1" applyFill="1" applyBorder="1" applyAlignment="1">
      <alignment horizontal="left" wrapText="1"/>
    </xf>
    <xf numFmtId="0" fontId="87" fillId="0" borderId="19" xfId="89" applyFont="1" applyFill="1" applyBorder="1" applyAlignment="1">
      <alignment horizontal="left" wrapText="1"/>
    </xf>
    <xf numFmtId="190" fontId="87" fillId="0" borderId="19" xfId="369" applyNumberFormat="1" applyFont="1" applyFill="1" applyBorder="1" applyAlignment="1">
      <alignment horizontal="right" wrapText="1"/>
    </xf>
    <xf numFmtId="190" fontId="73" fillId="30" borderId="105" xfId="369" applyNumberFormat="1" applyFont="1" applyFill="1" applyBorder="1" applyAlignment="1">
      <alignment horizontal="right"/>
    </xf>
    <xf numFmtId="0" fontId="7" fillId="0" borderId="0" xfId="43" applyFont="1" applyFill="1"/>
    <xf numFmtId="190" fontId="78" fillId="0" borderId="0" xfId="369" applyNumberFormat="1" applyFont="1" applyFill="1"/>
    <xf numFmtId="190" fontId="61" fillId="0" borderId="0" xfId="369" applyNumberFormat="1" applyFont="1" applyFill="1"/>
    <xf numFmtId="0" fontId="137" fillId="0" borderId="0" xfId="43" applyFont="1" applyFill="1"/>
    <xf numFmtId="174" fontId="137" fillId="0" borderId="0" xfId="370" applyNumberFormat="1" applyFont="1" applyFill="1"/>
    <xf numFmtId="0" fontId="7" fillId="0" borderId="0" xfId="43" applyFont="1" applyFill="1" applyAlignment="1"/>
    <xf numFmtId="169" fontId="59" fillId="0" borderId="0" xfId="368" applyNumberFormat="1" applyFont="1"/>
    <xf numFmtId="208" fontId="59" fillId="0" borderId="0" xfId="85" applyNumberFormat="1" applyFont="1"/>
    <xf numFmtId="209" fontId="59" fillId="0" borderId="0" xfId="85" applyNumberFormat="1" applyFont="1"/>
    <xf numFmtId="209" fontId="67" fillId="27" borderId="16" xfId="85" applyNumberFormat="1" applyFont="1" applyFill="1" applyBorder="1" applyAlignment="1">
      <alignment horizontal="center"/>
    </xf>
    <xf numFmtId="209" fontId="67" fillId="27" borderId="28" xfId="85" applyNumberFormat="1" applyFont="1" applyFill="1" applyBorder="1" applyAlignment="1">
      <alignment horizontal="center"/>
    </xf>
    <xf numFmtId="173" fontId="83" fillId="0" borderId="0" xfId="85" applyFont="1" applyFill="1"/>
    <xf numFmtId="0" fontId="59" fillId="31" borderId="45" xfId="43" applyFont="1" applyFill="1" applyBorder="1" applyAlignment="1">
      <alignment vertical="center"/>
    </xf>
    <xf numFmtId="3" fontId="59" fillId="31" borderId="46" xfId="43" applyNumberFormat="1" applyFont="1" applyFill="1" applyBorder="1" applyAlignment="1">
      <alignment horizontal="right" vertical="center"/>
    </xf>
    <xf numFmtId="0" fontId="59" fillId="31" borderId="25" xfId="43" applyFont="1" applyFill="1" applyBorder="1" applyAlignment="1">
      <alignment vertical="center"/>
    </xf>
    <xf numFmtId="3" fontId="59" fillId="31" borderId="25" xfId="43" applyNumberFormat="1" applyFont="1" applyFill="1" applyBorder="1" applyAlignment="1">
      <alignment vertical="center"/>
    </xf>
    <xf numFmtId="3" fontId="59" fillId="31" borderId="25" xfId="43" applyNumberFormat="1" applyFont="1" applyFill="1" applyBorder="1" applyAlignment="1">
      <alignment horizontal="right" vertical="center"/>
    </xf>
    <xf numFmtId="0" fontId="59" fillId="31" borderId="86" xfId="43" applyFont="1" applyFill="1" applyBorder="1" applyAlignment="1">
      <alignment vertical="center"/>
    </xf>
    <xf numFmtId="3" fontId="59" fillId="31" borderId="86" xfId="43" applyNumberFormat="1" applyFont="1" applyFill="1" applyBorder="1" applyAlignment="1">
      <alignment vertical="center"/>
    </xf>
    <xf numFmtId="3" fontId="59" fillId="31" borderId="86" xfId="43" applyNumberFormat="1" applyFont="1" applyFill="1" applyBorder="1" applyAlignment="1">
      <alignment horizontal="right" vertical="center"/>
    </xf>
    <xf numFmtId="3" fontId="59" fillId="31" borderId="25" xfId="91" applyNumberFormat="1" applyFont="1" applyFill="1" applyBorder="1" applyAlignment="1">
      <alignment vertical="center"/>
    </xf>
    <xf numFmtId="3" fontId="64" fillId="27" borderId="0" xfId="43" applyNumberFormat="1" applyFont="1" applyFill="1" applyAlignment="1">
      <alignment horizontal="center" vertical="center"/>
    </xf>
    <xf numFmtId="203" fontId="90" fillId="27" borderId="0" xfId="85" applyNumberFormat="1" applyFont="1" applyFill="1" applyAlignment="1">
      <alignment horizontal="center" vertical="center"/>
    </xf>
    <xf numFmtId="173" fontId="90" fillId="27" borderId="0" xfId="85" applyFont="1" applyFill="1" applyAlignment="1">
      <alignment horizontal="center" vertical="center"/>
    </xf>
    <xf numFmtId="186" fontId="59" fillId="28" borderId="37" xfId="43" applyNumberFormat="1" applyFont="1" applyFill="1" applyBorder="1" applyAlignment="1">
      <alignment horizontal="right" vertical="center"/>
    </xf>
    <xf numFmtId="173" fontId="67" fillId="27" borderId="0" xfId="85" applyFont="1" applyFill="1"/>
    <xf numFmtId="3" fontId="62" fillId="0" borderId="0" xfId="43" applyNumberFormat="1" applyFont="1" applyFill="1"/>
    <xf numFmtId="186" fontId="59" fillId="27" borderId="0" xfId="91" applyNumberFormat="1" applyFont="1" applyFill="1" applyAlignment="1">
      <alignment horizontal="center"/>
    </xf>
    <xf numFmtId="200" fontId="6" fillId="0" borderId="19" xfId="85" applyNumberFormat="1" applyFont="1" applyFill="1" applyBorder="1" applyAlignment="1">
      <alignment horizontal="center"/>
    </xf>
    <xf numFmtId="172" fontId="59" fillId="0" borderId="0" xfId="368" applyNumberFormat="1" applyFont="1"/>
    <xf numFmtId="3" fontId="67" fillId="0" borderId="0" xfId="43" applyNumberFormat="1" applyFont="1" applyFill="1" applyAlignment="1">
      <alignment horizontal="right" vertical="center"/>
    </xf>
    <xf numFmtId="3" fontId="59" fillId="0" borderId="86" xfId="43" applyNumberFormat="1" applyFont="1" applyFill="1" applyBorder="1" applyAlignment="1">
      <alignment horizontal="right" vertical="center"/>
    </xf>
    <xf numFmtId="3" fontId="59" fillId="0" borderId="87" xfId="43" applyNumberFormat="1" applyFont="1" applyFill="1" applyBorder="1" applyAlignment="1">
      <alignment vertical="center"/>
    </xf>
    <xf numFmtId="3" fontId="59" fillId="0" borderId="86" xfId="43" applyNumberFormat="1" applyFont="1" applyFill="1" applyBorder="1" applyAlignment="1">
      <alignment vertical="center"/>
    </xf>
    <xf numFmtId="3" fontId="59" fillId="0" borderId="88" xfId="43" applyNumberFormat="1" applyFont="1" applyFill="1" applyBorder="1" applyAlignment="1">
      <alignment vertical="center"/>
    </xf>
    <xf numFmtId="3" fontId="59" fillId="0" borderId="0" xfId="43" applyNumberFormat="1" applyFont="1" applyFill="1" applyBorder="1" applyAlignment="1">
      <alignment vertical="center"/>
    </xf>
    <xf numFmtId="3" fontId="59" fillId="0" borderId="86" xfId="43" applyNumberFormat="1" applyFont="1" applyFill="1" applyBorder="1" applyAlignment="1">
      <alignment vertical="center"/>
    </xf>
    <xf numFmtId="3" fontId="59" fillId="0" borderId="0" xfId="43" applyNumberFormat="1" applyFont="1" applyFill="1" applyAlignment="1">
      <alignment vertical="center"/>
    </xf>
    <xf numFmtId="1" fontId="59" fillId="0" borderId="0" xfId="43" applyNumberFormat="1" applyFont="1" applyFill="1" applyAlignment="1">
      <alignment vertical="center"/>
    </xf>
    <xf numFmtId="3" fontId="59" fillId="0" borderId="25" xfId="91" applyNumberFormat="1" applyFont="1" applyFill="1" applyBorder="1" applyAlignment="1">
      <alignment vertical="center"/>
    </xf>
    <xf numFmtId="3" fontId="59" fillId="27" borderId="0" xfId="91" applyNumberFormat="1" applyFont="1" applyFill="1" applyAlignment="1">
      <alignment horizontal="center" vertical="center"/>
    </xf>
    <xf numFmtId="0" fontId="59" fillId="27" borderId="0" xfId="43" applyFont="1" applyFill="1" applyAlignment="1">
      <alignment vertical="center"/>
    </xf>
    <xf numFmtId="173" fontId="59" fillId="0" borderId="0" xfId="85" applyFont="1" applyFill="1" applyAlignment="1">
      <alignment horizontal="center" vertical="center"/>
    </xf>
    <xf numFmtId="0" fontId="59" fillId="0" borderId="25" xfId="43" applyFont="1" applyFill="1" applyBorder="1" applyAlignment="1">
      <alignment vertical="center"/>
    </xf>
    <xf numFmtId="0" fontId="59" fillId="0" borderId="25" xfId="91" applyFont="1" applyFill="1" applyBorder="1" applyAlignment="1">
      <alignment vertical="center"/>
    </xf>
    <xf numFmtId="3" fontId="59" fillId="0" borderId="25" xfId="91" applyNumberFormat="1" applyFont="1" applyFill="1" applyBorder="1" applyAlignment="1">
      <alignment vertical="center"/>
    </xf>
    <xf numFmtId="1" fontId="59" fillId="0" borderId="25" xfId="91" applyNumberFormat="1" applyFont="1" applyFill="1" applyBorder="1" applyAlignment="1">
      <alignment vertical="center"/>
    </xf>
    <xf numFmtId="3" fontId="59" fillId="0" borderId="87" xfId="43" applyNumberFormat="1" applyFont="1" applyFill="1" applyBorder="1" applyAlignment="1">
      <alignment vertical="center"/>
    </xf>
    <xf numFmtId="3" fontId="59" fillId="0" borderId="0" xfId="91" applyNumberFormat="1" applyFont="1" applyFill="1" applyBorder="1" applyAlignment="1">
      <alignment vertical="center"/>
    </xf>
    <xf numFmtId="3" fontId="59" fillId="0" borderId="0" xfId="91" applyNumberFormat="1" applyFont="1" applyFill="1" applyBorder="1" applyAlignment="1">
      <alignment vertical="center"/>
    </xf>
    <xf numFmtId="3" fontId="59" fillId="0" borderId="0" xfId="91" applyNumberFormat="1" applyFont="1" applyFill="1" applyBorder="1" applyAlignment="1">
      <alignment vertical="center"/>
    </xf>
    <xf numFmtId="3" fontId="59" fillId="0" borderId="25" xfId="91" applyNumberFormat="1" applyFont="1" applyFill="1" applyBorder="1" applyAlignment="1">
      <alignment vertical="center"/>
    </xf>
    <xf numFmtId="3" fontId="59" fillId="0" borderId="86" xfId="43" applyNumberFormat="1" applyFont="1" applyFill="1" applyBorder="1" applyAlignment="1">
      <alignment horizontal="right" vertical="center"/>
    </xf>
    <xf numFmtId="3" fontId="59" fillId="0" borderId="87" xfId="43" applyNumberFormat="1" applyFont="1" applyFill="1" applyBorder="1" applyAlignment="1">
      <alignment horizontal="right" vertical="center"/>
    </xf>
    <xf numFmtId="3" fontId="59" fillId="0" borderId="25" xfId="43" applyNumberFormat="1" applyFont="1" applyFill="1" applyBorder="1" applyAlignment="1">
      <alignment horizontal="right" vertical="center"/>
    </xf>
    <xf numFmtId="0" fontId="59" fillId="0" borderId="25" xfId="43" applyFont="1" applyFill="1" applyBorder="1" applyAlignment="1">
      <alignment vertical="center"/>
    </xf>
    <xf numFmtId="3" fontId="59" fillId="0" borderId="0" xfId="43" applyNumberFormat="1" applyFont="1" applyFill="1" applyBorder="1" applyAlignment="1">
      <alignment horizontal="right" vertical="center"/>
    </xf>
    <xf numFmtId="0" fontId="59" fillId="0" borderId="25" xfId="91" applyFont="1" applyFill="1" applyBorder="1" applyAlignment="1">
      <alignment vertical="center"/>
    </xf>
    <xf numFmtId="3" fontId="59" fillId="0" borderId="25" xfId="91" applyNumberFormat="1" applyFont="1" applyFill="1" applyBorder="1" applyAlignment="1">
      <alignment vertical="center"/>
    </xf>
    <xf numFmtId="173" fontId="59" fillId="0" borderId="0" xfId="85" applyFont="1" applyFill="1" applyAlignment="1">
      <alignment horizontal="center" vertical="center"/>
    </xf>
    <xf numFmtId="3" fontId="67" fillId="0" borderId="0" xfId="43" applyNumberFormat="1" applyFont="1" applyFill="1" applyAlignment="1">
      <alignment horizontal="right" vertical="center"/>
    </xf>
    <xf numFmtId="167" fontId="61" fillId="30" borderId="41" xfId="43" applyNumberFormat="1" applyFont="1" applyFill="1" applyBorder="1" applyAlignment="1">
      <alignment horizontal="center" vertical="center"/>
    </xf>
    <xf numFmtId="167" fontId="61" fillId="30" borderId="78" xfId="43" applyNumberFormat="1" applyFont="1" applyFill="1" applyBorder="1" applyAlignment="1">
      <alignment horizontal="center" vertical="center"/>
    </xf>
    <xf numFmtId="167" fontId="61" fillId="27" borderId="41" xfId="86" applyNumberFormat="1" applyFont="1" applyFill="1" applyBorder="1" applyAlignment="1">
      <alignment horizontal="center" vertical="center"/>
    </xf>
    <xf numFmtId="167" fontId="61" fillId="27" borderId="31" xfId="86" applyNumberFormat="1" applyFont="1" applyFill="1" applyBorder="1" applyAlignment="1">
      <alignment horizontal="center" vertical="center"/>
    </xf>
    <xf numFmtId="173" fontId="91" fillId="0" borderId="0" xfId="85" applyFont="1"/>
    <xf numFmtId="177" fontId="138" fillId="27" borderId="14" xfId="43" applyNumberFormat="1" applyFont="1" applyFill="1" applyBorder="1" applyAlignment="1" applyProtection="1"/>
    <xf numFmtId="173" fontId="59" fillId="0" borderId="0" xfId="85" applyFont="1" applyAlignment="1">
      <alignment wrapText="1"/>
    </xf>
    <xf numFmtId="10" fontId="67" fillId="0" borderId="15" xfId="372" applyNumberFormat="1" applyFont="1" applyFill="1" applyBorder="1" applyAlignment="1">
      <alignment horizontal="center"/>
    </xf>
    <xf numFmtId="10" fontId="61" fillId="0" borderId="15" xfId="372" applyNumberFormat="1" applyFont="1" applyFill="1" applyBorder="1" applyAlignment="1">
      <alignment horizontal="center" vertical="center"/>
    </xf>
    <xf numFmtId="0" fontId="59" fillId="0" borderId="24" xfId="43" applyFont="1" applyFill="1" applyBorder="1" applyAlignment="1">
      <alignment horizontal="right"/>
    </xf>
    <xf numFmtId="169" fontId="59" fillId="0" borderId="0" xfId="43" applyNumberFormat="1" applyFont="1" applyFill="1"/>
    <xf numFmtId="190" fontId="59" fillId="0" borderId="0" xfId="43" applyNumberFormat="1" applyFont="1" applyFill="1"/>
    <xf numFmtId="169" fontId="59" fillId="0" borderId="0" xfId="43" applyNumberFormat="1" applyFont="1"/>
    <xf numFmtId="0" fontId="67" fillId="0" borderId="19" xfId="43" applyFont="1" applyFill="1" applyBorder="1"/>
    <xf numFmtId="15" fontId="137" fillId="0" borderId="19" xfId="43" applyNumberFormat="1" applyFont="1" applyFill="1" applyBorder="1" applyAlignment="1">
      <alignment horizontal="center"/>
    </xf>
    <xf numFmtId="0" fontId="139" fillId="0" borderId="19" xfId="43" applyFont="1" applyFill="1" applyBorder="1"/>
    <xf numFmtId="0" fontId="140" fillId="0" borderId="19" xfId="43" applyFont="1" applyFill="1" applyBorder="1"/>
    <xf numFmtId="10" fontId="137" fillId="0" borderId="19" xfId="372" applyNumberFormat="1" applyFont="1" applyFill="1" applyBorder="1" applyAlignment="1">
      <alignment horizontal="center"/>
    </xf>
    <xf numFmtId="15" fontId="140" fillId="0" borderId="19" xfId="43" applyNumberFormat="1" applyFont="1" applyFill="1" applyBorder="1" applyAlignment="1">
      <alignment horizontal="center"/>
    </xf>
    <xf numFmtId="10" fontId="140" fillId="0" borderId="19" xfId="372" applyNumberFormat="1" applyFont="1" applyFill="1" applyBorder="1" applyAlignment="1">
      <alignment horizontal="center"/>
    </xf>
    <xf numFmtId="0" fontId="59" fillId="0" borderId="0" xfId="43" applyFont="1" applyFill="1" applyBorder="1" applyAlignment="1">
      <alignment horizontal="center"/>
    </xf>
    <xf numFmtId="0" fontId="59" fillId="0" borderId="0" xfId="43" applyFont="1" applyFill="1" applyAlignment="1">
      <alignment horizontal="center"/>
    </xf>
    <xf numFmtId="0" fontId="59" fillId="0" borderId="19" xfId="43" applyFont="1" applyFill="1" applyBorder="1" applyAlignment="1">
      <alignment horizontal="center"/>
    </xf>
    <xf numFmtId="10" fontId="59" fillId="0" borderId="19" xfId="97" applyNumberFormat="1" applyFont="1" applyFill="1" applyBorder="1" applyAlignment="1">
      <alignment horizontal="center"/>
    </xf>
    <xf numFmtId="10" fontId="137" fillId="0" borderId="0" xfId="97" applyNumberFormat="1" applyFont="1" applyFill="1" applyBorder="1" applyAlignment="1">
      <alignment horizontal="center"/>
    </xf>
    <xf numFmtId="10" fontId="137" fillId="0" borderId="19" xfId="97" applyNumberFormat="1" applyFont="1" applyFill="1" applyBorder="1" applyAlignment="1">
      <alignment horizontal="center"/>
    </xf>
    <xf numFmtId="0" fontId="137" fillId="0" borderId="19" xfId="43" applyFont="1" applyFill="1" applyBorder="1"/>
    <xf numFmtId="0" fontId="141" fillId="0" borderId="19" xfId="43" applyFont="1" applyFill="1" applyBorder="1"/>
    <xf numFmtId="178" fontId="140" fillId="0" borderId="19" xfId="372" applyNumberFormat="1" applyFont="1" applyFill="1" applyBorder="1" applyAlignment="1">
      <alignment horizontal="center"/>
    </xf>
    <xf numFmtId="0" fontId="137" fillId="0" borderId="19" xfId="43" applyFont="1" applyFill="1" applyBorder="1" applyAlignment="1">
      <alignment horizontal="center"/>
    </xf>
    <xf numFmtId="15" fontId="59" fillId="0" borderId="0" xfId="43" applyNumberFormat="1" applyFont="1" applyFill="1" applyAlignment="1">
      <alignment horizontal="center"/>
    </xf>
    <xf numFmtId="1" fontId="4" fillId="0" borderId="63" xfId="43" applyNumberFormat="1" applyFont="1" applyFill="1" applyBorder="1" applyAlignment="1">
      <alignment horizontal="center"/>
    </xf>
    <xf numFmtId="208" fontId="59" fillId="27" borderId="0" xfId="85" applyNumberFormat="1" applyFont="1" applyFill="1" applyAlignment="1">
      <alignment horizontal="right"/>
    </xf>
    <xf numFmtId="205" fontId="59" fillId="0" borderId="0" xfId="85" applyNumberFormat="1" applyFont="1" applyAlignment="1">
      <alignment vertical="center"/>
    </xf>
    <xf numFmtId="205" fontId="74" fillId="0" borderId="0" xfId="85" applyNumberFormat="1" applyFont="1" applyAlignment="1">
      <alignment vertical="center"/>
    </xf>
    <xf numFmtId="215" fontId="59" fillId="0" borderId="0" xfId="85" applyNumberFormat="1" applyFont="1"/>
    <xf numFmtId="216" fontId="59" fillId="0" borderId="0" xfId="368" applyNumberFormat="1" applyFont="1"/>
    <xf numFmtId="173" fontId="0" fillId="0" borderId="0" xfId="85" applyFont="1"/>
    <xf numFmtId="169" fontId="62" fillId="0" borderId="0" xfId="43" applyNumberFormat="1" applyFont="1" applyFill="1"/>
    <xf numFmtId="0" fontId="143" fillId="27" borderId="0" xfId="470" applyFont="1" applyFill="1"/>
    <xf numFmtId="0" fontId="0" fillId="28" borderId="0" xfId="0" applyFill="1"/>
    <xf numFmtId="0" fontId="143" fillId="27" borderId="0" xfId="470" applyFont="1" applyFill="1" applyAlignment="1"/>
    <xf numFmtId="0" fontId="65" fillId="27" borderId="67" xfId="79" applyFont="1" applyFill="1" applyBorder="1" applyAlignment="1" applyProtection="1">
      <alignment horizontal="center" vertical="center"/>
    </xf>
    <xf numFmtId="0" fontId="65" fillId="27" borderId="70" xfId="79" applyFont="1" applyFill="1" applyBorder="1" applyAlignment="1" applyProtection="1">
      <alignment horizontal="center" vertical="center"/>
    </xf>
    <xf numFmtId="0" fontId="65" fillId="0" borderId="67" xfId="79" applyFont="1" applyFill="1" applyBorder="1" applyAlignment="1" applyProtection="1">
      <alignment horizontal="center" vertical="center"/>
    </xf>
    <xf numFmtId="185" fontId="78" fillId="27" borderId="15" xfId="43" applyNumberFormat="1" applyFont="1" applyFill="1" applyBorder="1"/>
    <xf numFmtId="3" fontId="116" fillId="30" borderId="23" xfId="43" applyNumberFormat="1" applyFont="1" applyFill="1" applyBorder="1" applyAlignment="1">
      <alignment vertical="center"/>
    </xf>
    <xf numFmtId="0" fontId="107" fillId="30" borderId="22" xfId="43" applyFont="1" applyFill="1" applyBorder="1" applyAlignment="1">
      <alignment horizontal="center" vertical="center"/>
    </xf>
    <xf numFmtId="173" fontId="59" fillId="27" borderId="0" xfId="85" applyFont="1" applyFill="1" applyAlignment="1">
      <alignment vertical="center" wrapText="1"/>
    </xf>
    <xf numFmtId="167" fontId="83" fillId="28" borderId="0" xfId="43" applyNumberFormat="1" applyFont="1" applyFill="1"/>
    <xf numFmtId="0" fontId="3" fillId="0" borderId="0" xfId="43" applyFont="1" applyFill="1" applyAlignment="1"/>
    <xf numFmtId="0" fontId="59" fillId="0" borderId="0" xfId="43" applyFont="1" applyFill="1" applyAlignment="1">
      <alignment horizontal="left" vertical="center" wrapText="1"/>
    </xf>
    <xf numFmtId="0" fontId="59" fillId="0" borderId="0" xfId="43" applyFont="1" applyFill="1" applyAlignment="1">
      <alignment horizontal="left"/>
    </xf>
    <xf numFmtId="4" fontId="79" fillId="30" borderId="24" xfId="43" applyNumberFormat="1" applyFont="1" applyFill="1" applyBorder="1" applyAlignment="1">
      <alignment horizontal="center" vertical="center" wrapText="1"/>
    </xf>
    <xf numFmtId="173" fontId="59" fillId="0" borderId="0" xfId="85" applyFont="1"/>
    <xf numFmtId="0" fontId="59" fillId="27" borderId="15" xfId="43" applyFont="1" applyFill="1" applyBorder="1"/>
    <xf numFmtId="0" fontId="59" fillId="27" borderId="24" xfId="43" applyFont="1" applyFill="1" applyBorder="1"/>
    <xf numFmtId="3" fontId="59" fillId="27" borderId="32" xfId="43" applyNumberFormat="1" applyFont="1" applyFill="1" applyBorder="1"/>
    <xf numFmtId="189" fontId="59" fillId="27" borderId="32" xfId="43" applyNumberFormat="1" applyFont="1" applyFill="1" applyBorder="1"/>
    <xf numFmtId="3" fontId="59" fillId="27" borderId="15" xfId="43" applyNumberFormat="1" applyFont="1" applyFill="1" applyBorder="1"/>
    <xf numFmtId="3" fontId="67" fillId="27" borderId="15" xfId="43" applyNumberFormat="1" applyFont="1" applyFill="1" applyBorder="1"/>
    <xf numFmtId="3" fontId="84" fillId="27" borderId="15" xfId="43" applyNumberFormat="1" applyFont="1" applyFill="1" applyBorder="1"/>
    <xf numFmtId="3" fontId="98" fillId="27" borderId="15" xfId="43" applyNumberFormat="1" applyFont="1" applyFill="1" applyBorder="1"/>
    <xf numFmtId="3" fontId="69" fillId="27" borderId="15" xfId="43" applyNumberFormat="1" applyFont="1" applyFill="1" applyBorder="1"/>
    <xf numFmtId="176" fontId="69" fillId="27" borderId="15" xfId="370" applyNumberFormat="1" applyFont="1" applyFill="1" applyBorder="1"/>
    <xf numFmtId="3" fontId="59" fillId="0" borderId="15" xfId="43" applyNumberFormat="1" applyFont="1" applyFill="1" applyBorder="1"/>
    <xf numFmtId="3" fontId="59" fillId="27" borderId="24" xfId="43" applyNumberFormat="1" applyFont="1" applyFill="1" applyBorder="1"/>
    <xf numFmtId="3" fontId="67" fillId="27" borderId="15" xfId="43" applyNumberFormat="1" applyFont="1" applyFill="1" applyBorder="1" applyAlignment="1">
      <alignment vertical="center"/>
    </xf>
    <xf numFmtId="3" fontId="61" fillId="27" borderId="15" xfId="43" applyNumberFormat="1" applyFont="1" applyFill="1" applyBorder="1" applyAlignment="1">
      <alignment vertical="center"/>
    </xf>
    <xf numFmtId="3" fontId="59" fillId="27" borderId="15" xfId="43" applyNumberFormat="1" applyFont="1" applyFill="1" applyBorder="1" applyAlignment="1">
      <alignment vertical="center"/>
    </xf>
    <xf numFmtId="176" fontId="61" fillId="27" borderId="15" xfId="370" applyNumberFormat="1" applyFont="1" applyFill="1" applyBorder="1" applyAlignment="1">
      <alignment vertical="center"/>
    </xf>
    <xf numFmtId="3" fontId="96" fillId="30" borderId="15" xfId="43" applyNumberFormat="1" applyFont="1" applyFill="1" applyBorder="1" applyAlignment="1">
      <alignment vertical="center"/>
    </xf>
    <xf numFmtId="3" fontId="73" fillId="30" borderId="15" xfId="43" applyNumberFormat="1" applyFont="1" applyFill="1" applyBorder="1" applyAlignment="1">
      <alignment vertical="center"/>
    </xf>
    <xf numFmtId="3" fontId="116" fillId="30" borderId="15" xfId="43" applyNumberFormat="1" applyFont="1" applyFill="1" applyBorder="1" applyAlignment="1">
      <alignment vertical="center"/>
    </xf>
    <xf numFmtId="176" fontId="73" fillId="30" borderId="15" xfId="370" applyNumberFormat="1" applyFont="1" applyFill="1" applyBorder="1" applyAlignment="1">
      <alignment vertical="center"/>
    </xf>
    <xf numFmtId="3" fontId="107" fillId="30" borderId="16" xfId="43" applyNumberFormat="1" applyFont="1" applyFill="1" applyBorder="1" applyAlignment="1">
      <alignment vertical="center"/>
    </xf>
    <xf numFmtId="3" fontId="73" fillId="30" borderId="16" xfId="43" applyNumberFormat="1" applyFont="1" applyFill="1" applyBorder="1" applyAlignment="1">
      <alignment vertical="center"/>
    </xf>
    <xf numFmtId="173" fontId="74" fillId="27" borderId="0" xfId="85" applyFont="1" applyFill="1" applyBorder="1"/>
    <xf numFmtId="167" fontId="74" fillId="27" borderId="0" xfId="85" applyNumberFormat="1" applyFont="1" applyFill="1" applyBorder="1"/>
    <xf numFmtId="208" fontId="74" fillId="0" borderId="0" xfId="85" applyNumberFormat="1" applyFont="1"/>
    <xf numFmtId="3" fontId="67" fillId="27" borderId="32" xfId="85" applyNumberFormat="1" applyFont="1" applyFill="1" applyBorder="1" applyAlignment="1">
      <alignment horizontal="center" vertical="center"/>
    </xf>
    <xf numFmtId="3" fontId="67" fillId="27" borderId="16" xfId="85" applyNumberFormat="1" applyFont="1" applyFill="1" applyBorder="1" applyAlignment="1">
      <alignment horizontal="center" vertical="center"/>
    </xf>
    <xf numFmtId="3" fontId="59" fillId="27" borderId="15" xfId="85" applyNumberFormat="1" applyFont="1" applyFill="1" applyBorder="1"/>
    <xf numFmtId="3" fontId="59" fillId="27" borderId="16" xfId="85" applyNumberFormat="1" applyFont="1" applyFill="1" applyBorder="1"/>
    <xf numFmtId="3" fontId="66" fillId="27" borderId="15" xfId="85" applyNumberFormat="1" applyFont="1" applyFill="1" applyBorder="1"/>
    <xf numFmtId="3" fontId="66" fillId="27" borderId="16" xfId="85" applyNumberFormat="1" applyFont="1" applyFill="1" applyBorder="1"/>
    <xf numFmtId="208" fontId="83" fillId="0" borderId="0" xfId="85" applyNumberFormat="1" applyFont="1"/>
    <xf numFmtId="3" fontId="67" fillId="27" borderId="15" xfId="85" applyNumberFormat="1" applyFont="1" applyFill="1" applyBorder="1" applyAlignment="1"/>
    <xf numFmtId="3" fontId="61" fillId="27" borderId="15" xfId="85" applyNumberFormat="1" applyFont="1" applyFill="1" applyBorder="1" applyAlignment="1">
      <alignment vertical="center"/>
    </xf>
    <xf numFmtId="208" fontId="78" fillId="0" borderId="0" xfId="85" applyNumberFormat="1" applyFont="1"/>
    <xf numFmtId="3" fontId="67" fillId="27" borderId="16" xfId="85" applyNumberFormat="1" applyFont="1" applyFill="1" applyBorder="1" applyAlignment="1"/>
    <xf numFmtId="3" fontId="59" fillId="27" borderId="15" xfId="85" applyNumberFormat="1" applyFont="1" applyFill="1" applyBorder="1" applyAlignment="1">
      <alignment horizontal="right" vertical="center"/>
    </xf>
    <xf numFmtId="0" fontId="59" fillId="0" borderId="16" xfId="368" applyFont="1" applyBorder="1"/>
    <xf numFmtId="3" fontId="59" fillId="27" borderId="15" xfId="85" applyNumberFormat="1" applyFont="1" applyFill="1" applyBorder="1" applyAlignment="1">
      <alignment horizontal="right"/>
    </xf>
    <xf numFmtId="3" fontId="59" fillId="27" borderId="16" xfId="85" applyNumberFormat="1" applyFont="1" applyFill="1" applyBorder="1" applyAlignment="1">
      <alignment horizontal="right"/>
    </xf>
    <xf numFmtId="3" fontId="59" fillId="27" borderId="15" xfId="85" applyNumberFormat="1" applyFont="1" applyFill="1" applyBorder="1" applyAlignment="1">
      <alignment vertical="center"/>
    </xf>
    <xf numFmtId="3" fontId="59" fillId="27" borderId="16" xfId="85" applyNumberFormat="1" applyFont="1" applyFill="1" applyBorder="1" applyAlignment="1">
      <alignment vertical="center"/>
    </xf>
    <xf numFmtId="3" fontId="61" fillId="27" borderId="15" xfId="85" applyNumberFormat="1" applyFont="1" applyFill="1" applyBorder="1" applyAlignment="1">
      <alignment vertical="center" wrapText="1"/>
    </xf>
    <xf numFmtId="3" fontId="61" fillId="27" borderId="16" xfId="85" applyNumberFormat="1" applyFont="1" applyFill="1" applyBorder="1" applyAlignment="1">
      <alignment vertical="center"/>
    </xf>
    <xf numFmtId="3" fontId="115" fillId="27" borderId="15" xfId="85" applyNumberFormat="1" applyFont="1" applyFill="1" applyBorder="1" applyAlignment="1"/>
    <xf numFmtId="3" fontId="115" fillId="27" borderId="16" xfId="85" applyNumberFormat="1" applyFont="1" applyFill="1" applyBorder="1" applyAlignment="1"/>
    <xf numFmtId="3" fontId="59" fillId="27" borderId="16" xfId="85" applyNumberFormat="1" applyFont="1" applyFill="1" applyBorder="1" applyAlignment="1">
      <alignment horizontal="right" vertical="center"/>
    </xf>
    <xf numFmtId="3" fontId="66" fillId="28" borderId="15" xfId="377" applyNumberFormat="1" applyFont="1" applyFill="1" applyBorder="1" applyAlignment="1">
      <alignment vertical="center"/>
    </xf>
    <xf numFmtId="3" fontId="67" fillId="28" borderId="15" xfId="85" applyNumberFormat="1" applyFont="1" applyFill="1" applyBorder="1" applyAlignment="1"/>
    <xf numFmtId="3" fontId="95" fillId="30" borderId="15" xfId="85" applyNumberFormat="1" applyFont="1" applyFill="1" applyBorder="1" applyAlignment="1">
      <alignment horizontal="right" vertical="center"/>
    </xf>
    <xf numFmtId="3" fontId="75" fillId="0" borderId="24" xfId="85" applyNumberFormat="1" applyFont="1" applyFill="1" applyBorder="1"/>
    <xf numFmtId="3" fontId="74" fillId="0" borderId="0" xfId="0" applyNumberFormat="1" applyFont="1" applyFill="1"/>
    <xf numFmtId="3" fontId="59" fillId="0" borderId="0" xfId="0" applyNumberFormat="1" applyFont="1" applyFill="1"/>
    <xf numFmtId="3" fontId="59" fillId="0" borderId="0" xfId="43" applyNumberFormat="1" applyFont="1"/>
    <xf numFmtId="211" fontId="59" fillId="0" borderId="0" xfId="368" applyNumberFormat="1" applyFont="1"/>
    <xf numFmtId="3" fontId="84" fillId="0" borderId="15" xfId="43" applyNumberFormat="1" applyFont="1" applyFill="1" applyBorder="1" applyAlignment="1">
      <alignment vertical="center"/>
    </xf>
    <xf numFmtId="172" fontId="59" fillId="0" borderId="0" xfId="43" applyNumberFormat="1" applyFont="1" applyFill="1" applyAlignment="1"/>
    <xf numFmtId="195" fontId="59" fillId="0" borderId="0" xfId="43" applyNumberFormat="1" applyFont="1" applyFill="1" applyAlignment="1"/>
    <xf numFmtId="173" fontId="78" fillId="0" borderId="0" xfId="85" applyFont="1" applyFill="1"/>
    <xf numFmtId="214" fontId="78" fillId="0" borderId="0" xfId="85" applyNumberFormat="1" applyFont="1"/>
    <xf numFmtId="0" fontId="59" fillId="0" borderId="25" xfId="374" applyFont="1" applyFill="1" applyBorder="1" applyAlignment="1">
      <alignment vertical="center"/>
    </xf>
    <xf numFmtId="0" fontId="59" fillId="0" borderId="88" xfId="43" applyFont="1" applyFill="1" applyBorder="1" applyAlignment="1">
      <alignment horizontal="left" vertical="center" indent="1"/>
    </xf>
    <xf numFmtId="217" fontId="59" fillId="0" borderId="0" xfId="85" applyNumberFormat="1" applyFont="1" applyFill="1" applyAlignment="1">
      <alignment vertical="center"/>
    </xf>
    <xf numFmtId="195" fontId="61" fillId="27" borderId="15" xfId="85" applyNumberFormat="1" applyFont="1" applyFill="1" applyBorder="1" applyAlignment="1">
      <alignment horizontal="center" vertical="center"/>
    </xf>
    <xf numFmtId="3" fontId="66" fillId="27" borderId="32" xfId="379" applyNumberFormat="1" applyFont="1" applyFill="1" applyBorder="1" applyAlignment="1">
      <alignment horizontal="center" vertical="center"/>
    </xf>
    <xf numFmtId="195" fontId="59" fillId="27" borderId="15" xfId="85" applyNumberFormat="1" applyFont="1" applyFill="1" applyBorder="1" applyAlignment="1">
      <alignment horizontal="center" vertical="center"/>
    </xf>
    <xf numFmtId="195" fontId="59" fillId="0" borderId="15" xfId="85" applyNumberFormat="1" applyFont="1" applyFill="1" applyBorder="1" applyAlignment="1">
      <alignment horizontal="center" vertical="center"/>
    </xf>
    <xf numFmtId="3" fontId="67" fillId="27" borderId="24" xfId="379" applyNumberFormat="1" applyFont="1" applyFill="1" applyBorder="1" applyAlignment="1">
      <alignment horizontal="center" vertical="center"/>
    </xf>
    <xf numFmtId="3" fontId="71" fillId="30" borderId="23" xfId="379" applyNumberFormat="1" applyFont="1" applyFill="1" applyBorder="1" applyAlignment="1">
      <alignment horizontal="center" vertical="center"/>
    </xf>
    <xf numFmtId="0" fontId="63" fillId="27" borderId="0" xfId="43" applyFont="1" applyFill="1" applyAlignment="1">
      <alignment horizontal="center" vertical="center"/>
    </xf>
    <xf numFmtId="0" fontId="61" fillId="27" borderId="0" xfId="43" applyFont="1" applyFill="1" applyAlignment="1">
      <alignment horizontal="center" vertical="center"/>
    </xf>
    <xf numFmtId="171" fontId="129" fillId="30" borderId="42" xfId="469" applyNumberFormat="1" applyFont="1" applyFill="1" applyBorder="1" applyAlignment="1">
      <alignment horizontal="center"/>
    </xf>
    <xf numFmtId="0" fontId="114" fillId="30" borderId="35" xfId="469" applyFont="1" applyFill="1" applyBorder="1" applyAlignment="1">
      <alignment horizontal="center"/>
    </xf>
    <xf numFmtId="0" fontId="114" fillId="30" borderId="35" xfId="469" applyNumberFormat="1" applyFont="1" applyFill="1" applyBorder="1" applyAlignment="1">
      <alignment horizontal="center"/>
    </xf>
    <xf numFmtId="0" fontId="129" fillId="30" borderId="24" xfId="469" applyNumberFormat="1" applyFont="1" applyFill="1" applyBorder="1" applyAlignment="1">
      <alignment horizontal="center"/>
    </xf>
    <xf numFmtId="0" fontId="78" fillId="27" borderId="32" xfId="469" applyNumberFormat="1" applyFont="1" applyFill="1" applyBorder="1" applyAlignment="1" applyProtection="1">
      <alignment vertical="center"/>
    </xf>
    <xf numFmtId="171" fontId="78" fillId="0" borderId="32" xfId="469" applyNumberFormat="1" applyFont="1" applyFill="1" applyBorder="1" applyAlignment="1">
      <alignment horizontal="center"/>
    </xf>
    <xf numFmtId="171" fontId="61" fillId="27" borderId="32" xfId="469" applyNumberFormat="1" applyFont="1" applyFill="1" applyBorder="1" applyAlignment="1">
      <alignment horizontal="center"/>
    </xf>
    <xf numFmtId="0" fontId="78" fillId="0" borderId="15" xfId="469" applyNumberFormat="1" applyFont="1" applyFill="1" applyBorder="1" applyAlignment="1" applyProtection="1">
      <alignment vertical="center"/>
    </xf>
    <xf numFmtId="171" fontId="78" fillId="0" borderId="15" xfId="469" applyNumberFormat="1" applyFont="1" applyFill="1" applyBorder="1" applyAlignment="1">
      <alignment horizontal="center" vertical="center"/>
    </xf>
    <xf numFmtId="171" fontId="61" fillId="0" borderId="15" xfId="469" applyNumberFormat="1" applyFont="1" applyFill="1" applyBorder="1" applyAlignment="1">
      <alignment horizontal="center" vertical="center"/>
    </xf>
    <xf numFmtId="0" fontId="87" fillId="0" borderId="15" xfId="469" applyNumberFormat="1" applyFont="1" applyFill="1" applyBorder="1" applyAlignment="1" applyProtection="1">
      <alignment vertical="center"/>
    </xf>
    <xf numFmtId="0" fontId="78" fillId="0" borderId="50" xfId="469" applyNumberFormat="1" applyFont="1" applyFill="1" applyBorder="1" applyAlignment="1" applyProtection="1">
      <alignment vertical="center"/>
    </xf>
    <xf numFmtId="171" fontId="78" fillId="0" borderId="50" xfId="469" applyNumberFormat="1" applyFont="1" applyFill="1" applyBorder="1" applyAlignment="1">
      <alignment horizontal="center" vertical="center"/>
    </xf>
    <xf numFmtId="171" fontId="61" fillId="0" borderId="50" xfId="469" applyNumberFormat="1" applyFont="1" applyFill="1" applyBorder="1" applyAlignment="1">
      <alignment horizontal="center" vertical="center"/>
    </xf>
    <xf numFmtId="0" fontId="78" fillId="0" borderId="36" xfId="469" applyNumberFormat="1" applyFont="1" applyFill="1" applyBorder="1" applyAlignment="1" applyProtection="1">
      <alignment vertical="center"/>
    </xf>
    <xf numFmtId="171" fontId="78" fillId="0" borderId="36" xfId="469" applyNumberFormat="1" applyFont="1" applyFill="1" applyBorder="1" applyAlignment="1">
      <alignment horizontal="center" vertical="center"/>
    </xf>
    <xf numFmtId="0" fontId="87" fillId="0" borderId="50" xfId="469" applyNumberFormat="1" applyFont="1" applyFill="1" applyBorder="1" applyAlignment="1" applyProtection="1">
      <alignment vertical="center"/>
    </xf>
    <xf numFmtId="0" fontId="87" fillId="0" borderId="15" xfId="469" applyNumberFormat="1" applyFont="1" applyFill="1" applyBorder="1" applyAlignment="1" applyProtection="1">
      <alignment horizontal="left" vertical="center"/>
    </xf>
    <xf numFmtId="0" fontId="61" fillId="27" borderId="24" xfId="469" applyNumberFormat="1" applyFont="1" applyFill="1" applyBorder="1" applyAlignment="1" applyProtection="1">
      <alignment vertical="center"/>
    </xf>
    <xf numFmtId="171" fontId="61" fillId="27" borderId="24" xfId="469" applyNumberFormat="1" applyFont="1" applyFill="1" applyBorder="1" applyAlignment="1">
      <alignment horizontal="center" vertical="center"/>
    </xf>
    <xf numFmtId="0" fontId="61" fillId="27" borderId="32" xfId="469" applyNumberFormat="1" applyFont="1" applyFill="1" applyBorder="1" applyAlignment="1" applyProtection="1">
      <alignment vertical="center"/>
    </xf>
    <xf numFmtId="171" fontId="61" fillId="27" borderId="15" xfId="469" applyNumberFormat="1" applyFont="1" applyFill="1" applyBorder="1" applyAlignment="1">
      <alignment horizontal="center"/>
    </xf>
    <xf numFmtId="0" fontId="71" fillId="30" borderId="15" xfId="469" applyNumberFormat="1" applyFont="1" applyFill="1" applyBorder="1" applyAlignment="1" applyProtection="1">
      <alignment vertical="center"/>
    </xf>
    <xf numFmtId="171" fontId="71" fillId="30" borderId="15" xfId="469" applyNumberFormat="1" applyFont="1" applyFill="1" applyBorder="1" applyAlignment="1">
      <alignment horizontal="center" vertical="center"/>
    </xf>
    <xf numFmtId="0" fontId="61" fillId="28" borderId="15" xfId="469" applyNumberFormat="1" applyFont="1" applyFill="1" applyBorder="1" applyAlignment="1" applyProtection="1">
      <alignment vertical="center"/>
    </xf>
    <xf numFmtId="171" fontId="61" fillId="27" borderId="15" xfId="469" applyNumberFormat="1" applyFont="1" applyFill="1" applyBorder="1" applyAlignment="1">
      <alignment horizontal="center" vertical="center"/>
    </xf>
    <xf numFmtId="0" fontId="61" fillId="27" borderId="24" xfId="469" applyNumberFormat="1" applyFont="1" applyFill="1" applyBorder="1" applyAlignment="1" applyProtection="1"/>
    <xf numFmtId="171" fontId="61" fillId="27" borderId="24" xfId="469" applyNumberFormat="1" applyFont="1" applyFill="1" applyBorder="1" applyAlignment="1">
      <alignment horizontal="center"/>
    </xf>
    <xf numFmtId="0" fontId="109" fillId="30" borderId="14" xfId="43" applyFont="1" applyFill="1" applyBorder="1" applyAlignment="1">
      <alignment vertical="center" wrapText="1"/>
    </xf>
    <xf numFmtId="0" fontId="73" fillId="30" borderId="14" xfId="43" applyFont="1" applyFill="1" applyBorder="1" applyAlignment="1">
      <alignment vertical="center" wrapText="1"/>
    </xf>
    <xf numFmtId="0" fontId="68" fillId="27" borderId="14" xfId="43" applyFont="1" applyFill="1" applyBorder="1"/>
    <xf numFmtId="3" fontId="59" fillId="0" borderId="15" xfId="43" applyNumberFormat="1" applyFont="1" applyFill="1" applyBorder="1" applyAlignment="1" applyProtection="1">
      <alignment vertical="center"/>
      <protection locked="0"/>
    </xf>
    <xf numFmtId="3" fontId="78" fillId="0" borderId="15" xfId="43" applyNumberFormat="1" applyFont="1" applyFill="1" applyBorder="1" applyProtection="1">
      <protection locked="0"/>
    </xf>
    <xf numFmtId="3" fontId="59" fillId="0" borderId="0" xfId="368" applyNumberFormat="1" applyFont="1" applyAlignment="1">
      <alignment vertical="center"/>
    </xf>
    <xf numFmtId="208" fontId="74" fillId="0" borderId="0" xfId="85" applyNumberFormat="1" applyFont="1" applyAlignment="1">
      <alignment vertical="center"/>
    </xf>
    <xf numFmtId="169" fontId="59" fillId="0" borderId="0" xfId="0" applyNumberFormat="1" applyFont="1"/>
    <xf numFmtId="195" fontId="59" fillId="27" borderId="20" xfId="85" applyNumberFormat="1" applyFont="1" applyFill="1" applyBorder="1"/>
    <xf numFmtId="195" fontId="59" fillId="27" borderId="41" xfId="85" applyNumberFormat="1" applyFont="1" applyFill="1" applyBorder="1" applyAlignment="1">
      <alignment horizontal="center"/>
    </xf>
    <xf numFmtId="195" fontId="67" fillId="0" borderId="97" xfId="85" applyNumberFormat="1" applyFont="1" applyFill="1" applyBorder="1"/>
    <xf numFmtId="195" fontId="59" fillId="0" borderId="0" xfId="85" applyNumberFormat="1" applyFont="1"/>
    <xf numFmtId="173" fontId="137" fillId="0" borderId="0" xfId="85" applyFont="1" applyFill="1"/>
    <xf numFmtId="0" fontId="63" fillId="27" borderId="43" xfId="43" applyFont="1" applyFill="1" applyBorder="1" applyAlignment="1">
      <alignment vertical="center"/>
    </xf>
    <xf numFmtId="0" fontId="63" fillId="27" borderId="44" xfId="43" applyFont="1" applyFill="1" applyBorder="1" applyAlignment="1">
      <alignment vertical="center"/>
    </xf>
    <xf numFmtId="0" fontId="63" fillId="27" borderId="66" xfId="43" applyFont="1" applyFill="1" applyBorder="1" applyAlignment="1">
      <alignment vertical="center"/>
    </xf>
    <xf numFmtId="207" fontId="59" fillId="0" borderId="0" xfId="85" applyNumberFormat="1" applyFont="1" applyFill="1" applyAlignment="1">
      <alignment horizontal="center"/>
    </xf>
    <xf numFmtId="3" fontId="78" fillId="27" borderId="15" xfId="43" applyNumberFormat="1" applyFont="1" applyFill="1" applyBorder="1" applyAlignment="1" applyProtection="1">
      <alignment horizontal="right" vertical="center"/>
    </xf>
    <xf numFmtId="0" fontId="59" fillId="0" borderId="0" xfId="43" applyFont="1" applyFill="1" applyAlignment="1">
      <alignment horizontal="left"/>
    </xf>
    <xf numFmtId="207" fontId="59" fillId="0" borderId="0" xfId="85" applyNumberFormat="1" applyFont="1" applyFill="1" applyAlignment="1">
      <alignment horizontal="center" vertical="center"/>
    </xf>
    <xf numFmtId="0" fontId="78" fillId="28" borderId="0" xfId="368" applyFont="1" applyFill="1"/>
    <xf numFmtId="218" fontId="59" fillId="27" borderId="0" xfId="369" applyNumberFormat="1" applyFont="1" applyFill="1"/>
    <xf numFmtId="0" fontId="62" fillId="27" borderId="0" xfId="43" applyFont="1" applyFill="1" applyAlignment="1">
      <alignment horizontal="center"/>
    </xf>
    <xf numFmtId="0" fontId="61" fillId="27" borderId="0" xfId="43" applyFont="1" applyFill="1" applyAlignment="1">
      <alignment horizontal="center"/>
    </xf>
    <xf numFmtId="0" fontId="145" fillId="27" borderId="0" xfId="43" applyFont="1" applyFill="1" applyAlignment="1">
      <alignment horizontal="center"/>
    </xf>
    <xf numFmtId="0" fontId="66" fillId="27" borderId="0" xfId="43" applyFont="1" applyFill="1" applyAlignment="1">
      <alignment horizontal="center"/>
    </xf>
    <xf numFmtId="0" fontId="59" fillId="27" borderId="0" xfId="43" applyFont="1" applyFill="1" applyAlignment="1">
      <alignment horizontal="center"/>
    </xf>
    <xf numFmtId="3" fontId="64" fillId="27" borderId="0" xfId="43" applyNumberFormat="1" applyFont="1" applyFill="1"/>
    <xf numFmtId="4" fontId="83" fillId="0" borderId="35" xfId="43" applyNumberFormat="1" applyFont="1" applyFill="1" applyBorder="1" applyAlignment="1">
      <alignment horizontal="center" vertical="center" wrapText="1"/>
    </xf>
    <xf numFmtId="15" fontId="83" fillId="0" borderId="24" xfId="43" applyNumberFormat="1" applyFont="1" applyFill="1" applyBorder="1" applyAlignment="1">
      <alignment horizontal="center" vertical="center" wrapText="1"/>
    </xf>
    <xf numFmtId="15" fontId="83" fillId="27" borderId="24" xfId="43" applyNumberFormat="1" applyFont="1" applyFill="1" applyBorder="1" applyAlignment="1">
      <alignment horizontal="center" vertical="center" wrapText="1"/>
    </xf>
    <xf numFmtId="0" fontId="59" fillId="0" borderId="26" xfId="43" applyFont="1" applyBorder="1"/>
    <xf numFmtId="3" fontId="83" fillId="0" borderId="32" xfId="43" applyNumberFormat="1" applyFont="1" applyFill="1" applyBorder="1"/>
    <xf numFmtId="219" fontId="83" fillId="0" borderId="32" xfId="370" applyNumberFormat="1" applyFont="1" applyFill="1" applyBorder="1"/>
    <xf numFmtId="3" fontId="146" fillId="30" borderId="15" xfId="43" applyNumberFormat="1" applyFont="1" applyFill="1" applyBorder="1" applyAlignment="1">
      <alignment vertical="center"/>
    </xf>
    <xf numFmtId="0" fontId="59" fillId="0" borderId="29" xfId="43" applyFont="1" applyBorder="1"/>
    <xf numFmtId="0" fontId="147" fillId="0" borderId="24" xfId="43" applyFont="1" applyFill="1" applyBorder="1"/>
    <xf numFmtId="0" fontId="109" fillId="30" borderId="14" xfId="43" applyFont="1" applyFill="1" applyBorder="1"/>
    <xf numFmtId="3" fontId="146" fillId="30" borderId="15" xfId="43" applyNumberFormat="1" applyFont="1" applyFill="1" applyBorder="1"/>
    <xf numFmtId="0" fontId="59" fillId="0" borderId="14" xfId="43" applyFont="1" applyBorder="1"/>
    <xf numFmtId="0" fontId="147" fillId="0" borderId="15" xfId="43" applyFont="1" applyFill="1" applyBorder="1"/>
    <xf numFmtId="0" fontId="97" fillId="30" borderId="14" xfId="43" applyFont="1" applyFill="1" applyBorder="1"/>
    <xf numFmtId="176" fontId="148" fillId="30" borderId="15" xfId="370" applyNumberFormat="1" applyFont="1" applyFill="1" applyBorder="1"/>
    <xf numFmtId="0" fontId="78" fillId="27" borderId="14" xfId="43" applyFont="1" applyFill="1" applyBorder="1"/>
    <xf numFmtId="0" fontId="147" fillId="27" borderId="15" xfId="43" applyFont="1" applyFill="1" applyBorder="1"/>
    <xf numFmtId="0" fontId="81" fillId="27" borderId="14" xfId="43" applyFont="1" applyFill="1" applyBorder="1"/>
    <xf numFmtId="3" fontId="149" fillId="27" borderId="15" xfId="43" applyNumberFormat="1" applyFont="1" applyFill="1" applyBorder="1"/>
    <xf numFmtId="3" fontId="147" fillId="27" borderId="15" xfId="43" applyNumberFormat="1" applyFont="1" applyFill="1" applyBorder="1"/>
    <xf numFmtId="3" fontId="61" fillId="27" borderId="15" xfId="43" applyNumberFormat="1" applyFont="1" applyFill="1" applyBorder="1"/>
    <xf numFmtId="170" fontId="149" fillId="27" borderId="15" xfId="370" applyNumberFormat="1" applyFont="1" applyFill="1" applyBorder="1"/>
    <xf numFmtId="170" fontId="67" fillId="27" borderId="14" xfId="370" applyNumberFormat="1" applyFont="1" applyFill="1" applyBorder="1"/>
    <xf numFmtId="3" fontId="148" fillId="30" borderId="15" xfId="43" applyNumberFormat="1" applyFont="1" applyFill="1" applyBorder="1"/>
    <xf numFmtId="170" fontId="148" fillId="30" borderId="15" xfId="370" applyNumberFormat="1" applyFont="1" applyFill="1" applyBorder="1"/>
    <xf numFmtId="0" fontId="78" fillId="27" borderId="29" xfId="43" applyFont="1" applyFill="1" applyBorder="1"/>
    <xf numFmtId="3" fontId="147" fillId="27" borderId="24" xfId="43" applyNumberFormat="1" applyFont="1" applyFill="1" applyBorder="1"/>
    <xf numFmtId="0" fontId="121" fillId="27" borderId="14" xfId="43" applyFont="1" applyFill="1" applyBorder="1"/>
    <xf numFmtId="176" fontId="149" fillId="27" borderId="15" xfId="370" applyNumberFormat="1" applyFont="1" applyFill="1" applyBorder="1"/>
    <xf numFmtId="176" fontId="149" fillId="27" borderId="15" xfId="43" applyNumberFormat="1" applyFont="1" applyFill="1" applyBorder="1"/>
    <xf numFmtId="3" fontId="147" fillId="27" borderId="32" xfId="43" applyNumberFormat="1" applyFont="1" applyFill="1" applyBorder="1"/>
    <xf numFmtId="176" fontId="150" fillId="30" borderId="15" xfId="370" applyNumberFormat="1" applyFont="1" applyFill="1" applyBorder="1"/>
    <xf numFmtId="0" fontId="59" fillId="0" borderId="0" xfId="368" applyFont="1" applyFill="1" applyAlignment="1">
      <alignment horizontal="left"/>
    </xf>
    <xf numFmtId="3" fontId="59" fillId="28" borderId="0" xfId="368" applyNumberFormat="1" applyFont="1" applyFill="1"/>
    <xf numFmtId="0" fontId="71" fillId="30" borderId="22" xfId="43" applyFont="1" applyFill="1" applyBorder="1" applyAlignment="1">
      <alignment horizontal="center" vertical="center" wrapText="1"/>
    </xf>
    <xf numFmtId="4" fontId="59" fillId="0" borderId="0" xfId="368" applyNumberFormat="1" applyFont="1" applyAlignment="1">
      <alignment vertical="center"/>
    </xf>
    <xf numFmtId="3" fontId="149" fillId="28" borderId="15" xfId="43" applyNumberFormat="1" applyFont="1" applyFill="1" applyBorder="1"/>
    <xf numFmtId="3" fontId="147" fillId="28" borderId="15" xfId="43" applyNumberFormat="1" applyFont="1" applyFill="1" applyBorder="1"/>
    <xf numFmtId="3" fontId="59" fillId="28" borderId="15" xfId="43" applyNumberFormat="1" applyFont="1" applyFill="1" applyBorder="1"/>
    <xf numFmtId="3" fontId="67" fillId="28" borderId="15" xfId="43" applyNumberFormat="1" applyFont="1" applyFill="1" applyBorder="1"/>
    <xf numFmtId="3" fontId="61" fillId="28" borderId="15" xfId="43" applyNumberFormat="1" applyFont="1" applyFill="1" applyBorder="1" applyAlignment="1">
      <alignment vertical="center"/>
    </xf>
    <xf numFmtId="215" fontId="59" fillId="0" borderId="0" xfId="85" applyNumberFormat="1" applyFont="1" applyFill="1" applyAlignment="1">
      <alignment horizontal="center"/>
    </xf>
    <xf numFmtId="177" fontId="106" fillId="27" borderId="15" xfId="469" applyNumberFormat="1" applyFont="1" applyFill="1" applyBorder="1" applyAlignment="1" applyProtection="1">
      <alignment horizontal="left" vertical="center" indent="1"/>
    </xf>
    <xf numFmtId="0" fontId="67" fillId="0" borderId="14" xfId="43" applyFont="1" applyFill="1" applyBorder="1" applyAlignment="1">
      <alignment horizontal="left" vertical="center" wrapText="1"/>
    </xf>
    <xf numFmtId="0" fontId="67" fillId="0" borderId="14" xfId="43" applyFont="1" applyFill="1" applyBorder="1"/>
    <xf numFmtId="3" fontId="67" fillId="0" borderId="15" xfId="43" applyNumberFormat="1" applyFont="1" applyFill="1" applyBorder="1"/>
    <xf numFmtId="176" fontId="61" fillId="0" borderId="15" xfId="370" applyNumberFormat="1" applyFont="1" applyFill="1" applyBorder="1" applyAlignment="1">
      <alignment vertical="center"/>
    </xf>
    <xf numFmtId="173" fontId="59" fillId="28" borderId="0" xfId="85" applyFont="1" applyFill="1"/>
    <xf numFmtId="173" fontId="59" fillId="28" borderId="0" xfId="85" applyFont="1" applyFill="1" applyAlignment="1">
      <alignment vertical="center"/>
    </xf>
    <xf numFmtId="214" fontId="59" fillId="28" borderId="0" xfId="85" applyNumberFormat="1" applyFont="1" applyFill="1"/>
    <xf numFmtId="1" fontId="59" fillId="27" borderId="0" xfId="43" applyNumberFormat="1" applyFont="1" applyFill="1" applyBorder="1" applyAlignment="1">
      <alignment vertical="center"/>
    </xf>
    <xf numFmtId="1" fontId="59" fillId="27" borderId="86" xfId="43" applyNumberFormat="1" applyFont="1" applyFill="1" applyBorder="1" applyAlignment="1">
      <alignment vertical="center"/>
    </xf>
    <xf numFmtId="1" fontId="59" fillId="27" borderId="87" xfId="43" applyNumberFormat="1" applyFont="1" applyFill="1" applyBorder="1" applyAlignment="1">
      <alignment vertical="center"/>
    </xf>
    <xf numFmtId="1" fontId="59" fillId="27" borderId="88" xfId="43" applyNumberFormat="1" applyFont="1" applyFill="1" applyBorder="1" applyAlignment="1">
      <alignment vertical="center"/>
    </xf>
    <xf numFmtId="1" fontId="75" fillId="28" borderId="0" xfId="43" applyNumberFormat="1" applyFont="1" applyFill="1" applyAlignment="1">
      <alignment vertical="center"/>
    </xf>
    <xf numFmtId="1" fontId="67" fillId="28" borderId="0" xfId="43" applyNumberFormat="1" applyFont="1" applyFill="1" applyAlignment="1">
      <alignment horizontal="right" vertical="center"/>
    </xf>
    <xf numFmtId="1" fontId="59" fillId="0" borderId="87" xfId="43" applyNumberFormat="1" applyFont="1" applyFill="1" applyBorder="1" applyAlignment="1">
      <alignment horizontal="right" vertical="center"/>
    </xf>
    <xf numFmtId="1" fontId="59" fillId="0" borderId="88" xfId="43" applyNumberFormat="1" applyFont="1" applyFill="1" applyBorder="1" applyAlignment="1">
      <alignment horizontal="right" vertical="center"/>
    </xf>
    <xf numFmtId="1" fontId="59" fillId="27" borderId="89" xfId="43" applyNumberFormat="1" applyFont="1" applyFill="1" applyBorder="1" applyAlignment="1">
      <alignment vertical="center"/>
    </xf>
    <xf numFmtId="1" fontId="59" fillId="0" borderId="89" xfId="43" applyNumberFormat="1" applyFont="1" applyFill="1" applyBorder="1" applyAlignment="1">
      <alignment horizontal="right" vertical="center"/>
    </xf>
    <xf numFmtId="1" fontId="59" fillId="27" borderId="25" xfId="43" applyNumberFormat="1" applyFont="1" applyFill="1" applyBorder="1" applyAlignment="1">
      <alignment vertical="center"/>
    </xf>
    <xf numFmtId="1" fontId="59" fillId="0" borderId="25" xfId="43" applyNumberFormat="1" applyFont="1" applyFill="1" applyBorder="1" applyAlignment="1">
      <alignment horizontal="right" vertical="center"/>
    </xf>
    <xf numFmtId="1" fontId="59" fillId="0" borderId="0" xfId="43" applyNumberFormat="1" applyFont="1" applyFill="1" applyBorder="1" applyAlignment="1">
      <alignment vertical="center"/>
    </xf>
    <xf numFmtId="1" fontId="59" fillId="0" borderId="0" xfId="43" applyNumberFormat="1" applyFont="1" applyFill="1" applyBorder="1" applyAlignment="1">
      <alignment horizontal="right" vertical="center"/>
    </xf>
    <xf numFmtId="1" fontId="59" fillId="0" borderId="39" xfId="43" applyNumberFormat="1" applyFont="1" applyFill="1" applyBorder="1" applyAlignment="1">
      <alignment vertical="center"/>
    </xf>
    <xf numFmtId="1" fontId="59" fillId="0" borderId="39" xfId="43" applyNumberFormat="1" applyFont="1" applyFill="1" applyBorder="1" applyAlignment="1">
      <alignment horizontal="right" vertical="center"/>
    </xf>
    <xf numFmtId="3" fontId="67" fillId="0" borderId="25" xfId="43" applyNumberFormat="1" applyFont="1" applyFill="1" applyBorder="1" applyAlignment="1">
      <alignment vertical="center"/>
    </xf>
    <xf numFmtId="3" fontId="59" fillId="0" borderId="25" xfId="85" applyNumberFormat="1" applyFont="1" applyFill="1" applyBorder="1" applyAlignment="1">
      <alignment vertical="center"/>
    </xf>
    <xf numFmtId="3" fontId="59" fillId="0" borderId="0" xfId="85" applyNumberFormat="1" applyFont="1" applyFill="1" applyAlignment="1">
      <alignment vertical="center"/>
    </xf>
    <xf numFmtId="3" fontId="153" fillId="30" borderId="15" xfId="43" applyNumberFormat="1" applyFont="1" applyFill="1" applyBorder="1" applyAlignment="1">
      <alignment vertical="center"/>
    </xf>
    <xf numFmtId="3" fontId="59" fillId="0" borderId="88" xfId="374" applyNumberFormat="1" applyFont="1" applyFill="1" applyBorder="1" applyAlignment="1">
      <alignment vertical="center"/>
    </xf>
    <xf numFmtId="1" fontId="59" fillId="0" borderId="88" xfId="374" applyNumberFormat="1" applyFont="1" applyFill="1" applyBorder="1" applyAlignment="1">
      <alignment vertical="center"/>
    </xf>
    <xf numFmtId="3" fontId="59" fillId="0" borderId="88" xfId="374" applyNumberFormat="1" applyFont="1" applyFill="1" applyBorder="1" applyAlignment="1">
      <alignment horizontal="right" vertical="center"/>
    </xf>
    <xf numFmtId="3" fontId="59" fillId="0" borderId="89" xfId="374" applyNumberFormat="1" applyFont="1" applyFill="1" applyBorder="1" applyAlignment="1">
      <alignment vertical="center"/>
    </xf>
    <xf numFmtId="1" fontId="59" fillId="0" borderId="89" xfId="374" applyNumberFormat="1" applyFont="1" applyFill="1" applyBorder="1" applyAlignment="1">
      <alignment vertical="center"/>
    </xf>
    <xf numFmtId="3" fontId="59" fillId="0" borderId="89" xfId="374" applyNumberFormat="1" applyFont="1" applyFill="1" applyBorder="1" applyAlignment="1">
      <alignment horizontal="right" vertical="center"/>
    </xf>
    <xf numFmtId="220" fontId="59" fillId="27" borderId="0" xfId="86" applyNumberFormat="1" applyFont="1" applyFill="1" applyAlignment="1">
      <alignment horizontal="right"/>
    </xf>
    <xf numFmtId="0" fontId="151" fillId="28" borderId="0" xfId="506" applyFont="1" applyFill="1" applyBorder="1" applyAlignment="1">
      <alignment wrapText="1"/>
    </xf>
    <xf numFmtId="0" fontId="151" fillId="28" borderId="0" xfId="506" applyFont="1" applyFill="1" applyBorder="1" applyAlignment="1">
      <alignment horizontal="left" wrapText="1"/>
    </xf>
    <xf numFmtId="186" fontId="67" fillId="0" borderId="37" xfId="43" applyNumberFormat="1" applyFont="1" applyFill="1" applyBorder="1" applyAlignment="1">
      <alignment horizontal="right" vertical="center"/>
    </xf>
    <xf numFmtId="186" fontId="59" fillId="0" borderId="37" xfId="43" applyNumberFormat="1" applyFont="1" applyFill="1" applyBorder="1" applyAlignment="1">
      <alignment horizontal="right" vertical="center"/>
    </xf>
    <xf numFmtId="178" fontId="59" fillId="0" borderId="20" xfId="97" applyNumberFormat="1" applyFont="1" applyFill="1" applyBorder="1" applyAlignment="1">
      <alignment horizontal="right" vertical="center"/>
    </xf>
    <xf numFmtId="10" fontId="93" fillId="30" borderId="78" xfId="372" applyNumberFormat="1" applyFont="1" applyFill="1" applyBorder="1" applyAlignment="1" applyProtection="1">
      <alignment horizontal="center"/>
    </xf>
    <xf numFmtId="10" fontId="78" fillId="27" borderId="20" xfId="372" applyNumberFormat="1" applyFont="1" applyFill="1" applyBorder="1" applyAlignment="1" applyProtection="1">
      <alignment horizontal="center"/>
    </xf>
    <xf numFmtId="3" fontId="107" fillId="30" borderId="18" xfId="375" applyNumberFormat="1" applyFont="1" applyFill="1" applyBorder="1" applyAlignment="1" applyProtection="1">
      <alignment horizontal="right" vertical="center"/>
    </xf>
    <xf numFmtId="10" fontId="107" fillId="30" borderId="20" xfId="372" applyNumberFormat="1" applyFont="1" applyFill="1" applyBorder="1" applyAlignment="1" applyProtection="1">
      <alignment horizontal="center" vertical="center"/>
    </xf>
    <xf numFmtId="10" fontId="78" fillId="0" borderId="20" xfId="372" applyNumberFormat="1" applyFont="1" applyFill="1" applyBorder="1" applyAlignment="1" applyProtection="1">
      <alignment horizontal="center"/>
    </xf>
    <xf numFmtId="10" fontId="61" fillId="27" borderId="20" xfId="372" applyNumberFormat="1" applyFont="1" applyFill="1" applyBorder="1" applyAlignment="1" applyProtection="1">
      <alignment horizontal="center" vertical="center"/>
    </xf>
    <xf numFmtId="10" fontId="61" fillId="0" borderId="20" xfId="372" applyNumberFormat="1" applyFont="1" applyFill="1" applyBorder="1" applyAlignment="1" applyProtection="1">
      <alignment horizontal="center" vertical="center"/>
    </xf>
    <xf numFmtId="10" fontId="61" fillId="27" borderId="20" xfId="372" applyNumberFormat="1" applyFont="1" applyFill="1" applyBorder="1" applyAlignment="1" applyProtection="1">
      <alignment horizontal="center"/>
    </xf>
    <xf numFmtId="10" fontId="61" fillId="0" borderId="20" xfId="372" applyNumberFormat="1" applyFont="1" applyFill="1" applyBorder="1" applyAlignment="1" applyProtection="1">
      <alignment horizontal="center"/>
    </xf>
    <xf numFmtId="3" fontId="78" fillId="28" borderId="18" xfId="469" applyNumberFormat="1" applyFont="1" applyFill="1" applyBorder="1" applyAlignment="1">
      <alignment horizontal="right" vertical="center"/>
    </xf>
    <xf numFmtId="10" fontId="78" fillId="27" borderId="20" xfId="372" applyNumberFormat="1" applyFont="1" applyFill="1" applyBorder="1" applyAlignment="1" applyProtection="1">
      <alignment horizontal="center" vertical="center"/>
    </xf>
    <xf numFmtId="3" fontId="78" fillId="0" borderId="18" xfId="469" applyNumberFormat="1" applyFont="1" applyFill="1" applyBorder="1" applyAlignment="1">
      <alignment horizontal="right" vertical="center"/>
    </xf>
    <xf numFmtId="10" fontId="78" fillId="0" borderId="20" xfId="372" applyNumberFormat="1" applyFont="1" applyFill="1" applyBorder="1" applyAlignment="1" applyProtection="1">
      <alignment horizontal="center" vertical="center"/>
    </xf>
    <xf numFmtId="3" fontId="84" fillId="28" borderId="18" xfId="469" applyNumberFormat="1" applyFont="1" applyFill="1" applyBorder="1" applyAlignment="1">
      <alignment horizontal="right" vertical="center"/>
    </xf>
    <xf numFmtId="10" fontId="84" fillId="27" borderId="20" xfId="372" applyNumberFormat="1" applyFont="1" applyFill="1" applyBorder="1" applyAlignment="1" applyProtection="1">
      <alignment horizontal="center" vertical="center"/>
    </xf>
    <xf numFmtId="10" fontId="78" fillId="27" borderId="31" xfId="372" applyNumberFormat="1" applyFont="1" applyFill="1" applyBorder="1" applyAlignment="1" applyProtection="1">
      <alignment horizontal="center"/>
    </xf>
    <xf numFmtId="205" fontId="59" fillId="0" borderId="0" xfId="85" applyNumberFormat="1" applyFont="1" applyFill="1" applyAlignment="1">
      <alignment vertical="center"/>
    </xf>
    <xf numFmtId="0" fontId="63" fillId="28" borderId="0" xfId="43" applyFont="1" applyFill="1" applyAlignment="1">
      <alignment horizontal="center" vertical="center"/>
    </xf>
    <xf numFmtId="0" fontId="119" fillId="28" borderId="0" xfId="43" applyFont="1" applyFill="1" applyAlignment="1">
      <alignment horizontal="center" vertical="center"/>
    </xf>
    <xf numFmtId="178" fontId="67" fillId="0" borderId="101" xfId="372" applyNumberFormat="1" applyFont="1" applyFill="1" applyBorder="1" applyAlignment="1">
      <alignment horizontal="center" vertical="center"/>
    </xf>
    <xf numFmtId="178" fontId="67" fillId="0" borderId="100" xfId="372" applyNumberFormat="1" applyFont="1" applyFill="1" applyBorder="1" applyAlignment="1">
      <alignment horizontal="center" vertical="center"/>
    </xf>
    <xf numFmtId="178" fontId="67" fillId="0" borderId="102" xfId="372" applyNumberFormat="1" applyFont="1" applyFill="1" applyBorder="1" applyAlignment="1">
      <alignment horizontal="center" vertical="center"/>
    </xf>
    <xf numFmtId="201" fontId="67" fillId="0" borderId="99" xfId="370" applyNumberFormat="1" applyFont="1" applyFill="1" applyBorder="1" applyAlignment="1">
      <alignment horizontal="center" vertical="center"/>
    </xf>
    <xf numFmtId="178" fontId="67" fillId="0" borderId="0" xfId="372" applyNumberFormat="1" applyFont="1" applyFill="1" applyAlignment="1">
      <alignment horizontal="center"/>
    </xf>
    <xf numFmtId="167" fontId="78" fillId="0" borderId="20" xfId="86" applyNumberFormat="1" applyFont="1" applyFill="1" applyBorder="1" applyAlignment="1">
      <alignment vertical="center"/>
    </xf>
    <xf numFmtId="167" fontId="61" fillId="0" borderId="20" xfId="86" applyNumberFormat="1" applyFont="1" applyFill="1" applyBorder="1" applyAlignment="1">
      <alignment vertical="center"/>
    </xf>
    <xf numFmtId="167" fontId="61" fillId="0" borderId="20" xfId="86" applyNumberFormat="1" applyFont="1" applyFill="1" applyBorder="1" applyAlignment="1">
      <alignment horizontal="right" vertical="center"/>
    </xf>
    <xf numFmtId="167" fontId="61" fillId="0" borderId="20" xfId="369" applyNumberFormat="1" applyFont="1" applyFill="1" applyBorder="1" applyAlignment="1">
      <alignment vertical="center"/>
    </xf>
    <xf numFmtId="167" fontId="78" fillId="0" borderId="59" xfId="86" applyNumberFormat="1" applyFont="1" applyFill="1" applyBorder="1" applyAlignment="1">
      <alignment vertical="center"/>
    </xf>
    <xf numFmtId="195" fontId="61" fillId="0" borderId="15" xfId="85" applyNumberFormat="1" applyFont="1" applyFill="1" applyBorder="1" applyAlignment="1">
      <alignment horizontal="center" vertical="center"/>
    </xf>
    <xf numFmtId="195" fontId="71" fillId="30" borderId="23" xfId="85" applyNumberFormat="1" applyFont="1" applyFill="1" applyBorder="1" applyAlignment="1">
      <alignment horizontal="center" vertical="center"/>
    </xf>
    <xf numFmtId="195" fontId="66" fillId="27" borderId="32" xfId="85" applyNumberFormat="1" applyFont="1" applyFill="1" applyBorder="1" applyAlignment="1">
      <alignment horizontal="center" vertical="center"/>
    </xf>
    <xf numFmtId="195" fontId="59" fillId="0" borderId="0" xfId="85" applyNumberFormat="1" applyFont="1" applyFill="1" applyAlignment="1">
      <alignment horizontal="center" vertical="center"/>
    </xf>
    <xf numFmtId="195" fontId="59" fillId="0" borderId="0" xfId="85" applyNumberFormat="1" applyFont="1" applyFill="1" applyAlignment="1">
      <alignment horizontal="center"/>
    </xf>
    <xf numFmtId="195" fontId="90" fillId="27" borderId="0" xfId="85" applyNumberFormat="1" applyFont="1" applyFill="1" applyAlignment="1">
      <alignment horizontal="center" vertical="center"/>
    </xf>
    <xf numFmtId="195" fontId="59" fillId="27" borderId="0" xfId="85" applyNumberFormat="1" applyFont="1" applyFill="1" applyAlignment="1">
      <alignment horizontal="center"/>
    </xf>
    <xf numFmtId="189" fontId="59" fillId="27" borderId="0" xfId="91" applyNumberFormat="1" applyFont="1" applyFill="1" applyAlignment="1">
      <alignment horizontal="center"/>
    </xf>
    <xf numFmtId="189" fontId="59" fillId="27" borderId="0" xfId="86" applyNumberFormat="1" applyFont="1" applyFill="1" applyAlignment="1">
      <alignment horizontal="center"/>
    </xf>
    <xf numFmtId="189" fontId="59" fillId="27" borderId="0" xfId="43" applyNumberFormat="1" applyFont="1" applyFill="1"/>
    <xf numFmtId="189" fontId="59" fillId="27" borderId="48" xfId="43" applyNumberFormat="1" applyFont="1" applyFill="1" applyBorder="1" applyAlignment="1">
      <alignment horizontal="center" vertical="center"/>
    </xf>
    <xf numFmtId="189" fontId="59" fillId="27" borderId="0" xfId="43" applyNumberFormat="1" applyFont="1" applyFill="1" applyBorder="1" applyAlignment="1">
      <alignment horizontal="center"/>
    </xf>
    <xf numFmtId="189" fontId="71" fillId="30" borderId="44" xfId="43" applyNumberFormat="1" applyFont="1" applyFill="1" applyBorder="1" applyAlignment="1">
      <alignment horizontal="right" vertical="center"/>
    </xf>
    <xf numFmtId="189" fontId="67" fillId="0" borderId="0" xfId="43" applyNumberFormat="1" applyFont="1" applyFill="1" applyAlignment="1">
      <alignment horizontal="right" vertical="center"/>
    </xf>
    <xf numFmtId="189" fontId="67" fillId="27" borderId="0" xfId="85" applyNumberFormat="1" applyFont="1" applyFill="1" applyAlignment="1">
      <alignment horizontal="center" vertical="center"/>
    </xf>
    <xf numFmtId="189" fontId="67" fillId="0" borderId="44" xfId="43" applyNumberFormat="1" applyFont="1" applyFill="1" applyBorder="1" applyAlignment="1">
      <alignment horizontal="right" vertical="center"/>
    </xf>
    <xf numFmtId="189" fontId="59" fillId="0" borderId="46" xfId="43" applyNumberFormat="1" applyFont="1" applyFill="1" applyBorder="1" applyAlignment="1">
      <alignment horizontal="right" vertical="center"/>
    </xf>
    <xf numFmtId="189" fontId="59" fillId="0" borderId="86" xfId="43" applyNumberFormat="1" applyFont="1" applyFill="1" applyBorder="1" applyAlignment="1">
      <alignment horizontal="right" vertical="center"/>
    </xf>
    <xf numFmtId="189" fontId="59" fillId="0" borderId="87" xfId="43" applyNumberFormat="1" applyFont="1" applyFill="1" applyBorder="1" applyAlignment="1">
      <alignment vertical="center"/>
    </xf>
    <xf numFmtId="189" fontId="59" fillId="0" borderId="88" xfId="43" applyNumberFormat="1" applyFont="1" applyFill="1" applyBorder="1" applyAlignment="1">
      <alignment vertical="center"/>
    </xf>
    <xf numFmtId="189" fontId="59" fillId="0" borderId="25" xfId="43" applyNumberFormat="1" applyFont="1" applyFill="1" applyBorder="1" applyAlignment="1">
      <alignment vertical="center"/>
    </xf>
    <xf numFmtId="189" fontId="59" fillId="0" borderId="86" xfId="43" applyNumberFormat="1" applyFont="1" applyFill="1" applyBorder="1" applyAlignment="1">
      <alignment vertical="center"/>
    </xf>
    <xf numFmtId="189" fontId="59" fillId="0" borderId="90" xfId="43" applyNumberFormat="1" applyFont="1" applyFill="1" applyBorder="1" applyAlignment="1">
      <alignment vertical="center"/>
    </xf>
    <xf numFmtId="189" fontId="59" fillId="0" borderId="0" xfId="43" applyNumberFormat="1" applyFont="1" applyFill="1" applyBorder="1" applyAlignment="1">
      <alignment vertical="center"/>
    </xf>
    <xf numFmtId="189" fontId="59" fillId="0" borderId="39" xfId="43" applyNumberFormat="1" applyFont="1" applyFill="1" applyBorder="1" applyAlignment="1">
      <alignment vertical="center"/>
    </xf>
    <xf numFmtId="189" fontId="59" fillId="0" borderId="0" xfId="43" applyNumberFormat="1" applyFont="1" applyFill="1" applyAlignment="1">
      <alignment vertical="center"/>
    </xf>
    <xf numFmtId="189" fontId="59" fillId="0" borderId="25" xfId="91" applyNumberFormat="1" applyFont="1" applyFill="1" applyBorder="1" applyAlignment="1">
      <alignment vertical="center"/>
    </xf>
    <xf numFmtId="189" fontId="59" fillId="0" borderId="47" xfId="91" applyNumberFormat="1" applyFont="1" applyFill="1" applyBorder="1" applyAlignment="1">
      <alignment vertical="center"/>
    </xf>
    <xf numFmtId="189" fontId="59" fillId="0" borderId="47" xfId="43" applyNumberFormat="1" applyFont="1" applyFill="1" applyBorder="1" applyAlignment="1">
      <alignment vertical="center"/>
    </xf>
    <xf numFmtId="189" fontId="59" fillId="0" borderId="47" xfId="43" applyNumberFormat="1" applyFont="1" applyFill="1" applyBorder="1" applyAlignment="1">
      <alignment horizontal="right" vertical="center"/>
    </xf>
    <xf numFmtId="189" fontId="59" fillId="0" borderId="25" xfId="43" applyNumberFormat="1" applyFont="1" applyFill="1" applyBorder="1" applyAlignment="1">
      <alignment horizontal="right" vertical="center"/>
    </xf>
    <xf numFmtId="189" fontId="59" fillId="0" borderId="86" xfId="91" applyNumberFormat="1" applyFont="1" applyFill="1" applyBorder="1" applyAlignment="1">
      <alignment vertical="center"/>
    </xf>
    <xf numFmtId="189" fontId="59" fillId="0" borderId="0" xfId="91" applyNumberFormat="1" applyFont="1" applyFill="1" applyBorder="1" applyAlignment="1">
      <alignment vertical="center"/>
    </xf>
    <xf numFmtId="189" fontId="59" fillId="0" borderId="87" xfId="91" applyNumberFormat="1" applyFont="1" applyFill="1" applyBorder="1" applyAlignment="1">
      <alignment vertical="center"/>
    </xf>
    <xf numFmtId="189" fontId="59" fillId="0" borderId="0" xfId="43" applyNumberFormat="1" applyFont="1" applyFill="1" applyAlignment="1">
      <alignment horizontal="right" vertical="center"/>
    </xf>
    <xf numFmtId="189" fontId="67" fillId="0" borderId="25" xfId="43" applyNumberFormat="1" applyFont="1" applyFill="1" applyBorder="1" applyAlignment="1">
      <alignment horizontal="right" vertical="center"/>
    </xf>
    <xf numFmtId="189" fontId="59" fillId="0" borderId="39" xfId="43" applyNumberFormat="1" applyFont="1" applyFill="1" applyBorder="1" applyAlignment="1">
      <alignment horizontal="right" vertical="center"/>
    </xf>
    <xf numFmtId="189" fontId="59" fillId="0" borderId="0" xfId="43" applyNumberFormat="1" applyFont="1" applyFill="1" applyBorder="1" applyAlignment="1">
      <alignment horizontal="right" vertical="center"/>
    </xf>
    <xf numFmtId="189" fontId="59" fillId="27" borderId="0" xfId="85" applyNumberFormat="1" applyFont="1" applyFill="1" applyAlignment="1">
      <alignment horizontal="center"/>
    </xf>
    <xf numFmtId="189" fontId="59" fillId="0" borderId="0" xfId="85" applyNumberFormat="1" applyFont="1" applyFill="1" applyAlignment="1">
      <alignment horizontal="center"/>
    </xf>
    <xf numFmtId="0" fontId="73" fillId="30" borderId="53" xfId="43" applyFont="1" applyFill="1" applyBorder="1" applyAlignment="1">
      <alignment horizontal="left" vertical="center"/>
    </xf>
    <xf numFmtId="0" fontId="73" fillId="30" borderId="54" xfId="43" applyFont="1" applyFill="1" applyBorder="1" applyAlignment="1">
      <alignment horizontal="left" vertical="center"/>
    </xf>
    <xf numFmtId="0" fontId="73" fillId="30" borderId="79" xfId="43" applyFont="1" applyFill="1" applyBorder="1" applyAlignment="1">
      <alignment horizontal="left" vertical="center"/>
    </xf>
    <xf numFmtId="0" fontId="73" fillId="30" borderId="80" xfId="43" applyFont="1" applyFill="1" applyBorder="1" applyAlignment="1">
      <alignment horizontal="left" vertical="center"/>
    </xf>
    <xf numFmtId="0" fontId="113" fillId="30" borderId="53" xfId="43" applyFont="1" applyFill="1" applyBorder="1" applyAlignment="1">
      <alignment horizontal="center" vertical="center" wrapText="1"/>
    </xf>
    <xf numFmtId="0" fontId="113" fillId="30" borderId="54" xfId="43" applyFont="1" applyFill="1" applyBorder="1" applyAlignment="1">
      <alignment horizontal="center" vertical="center" wrapText="1"/>
    </xf>
    <xf numFmtId="0" fontId="66" fillId="27" borderId="43" xfId="43" applyFont="1" applyFill="1" applyBorder="1" applyAlignment="1">
      <alignment horizontal="center" vertical="center" wrapText="1"/>
    </xf>
    <xf numFmtId="0" fontId="66" fillId="27" borderId="66" xfId="43" applyFont="1" applyFill="1" applyBorder="1" applyAlignment="1">
      <alignment horizontal="center" vertical="center" wrapText="1"/>
    </xf>
    <xf numFmtId="0" fontId="77" fillId="30" borderId="108" xfId="43" applyFont="1" applyFill="1" applyBorder="1" applyAlignment="1">
      <alignment horizontal="center" vertical="center" wrapText="1"/>
    </xf>
    <xf numFmtId="0" fontId="77" fillId="30" borderId="103" xfId="43" applyFont="1" applyFill="1" applyBorder="1" applyAlignment="1">
      <alignment horizontal="center" vertical="center" wrapText="1"/>
    </xf>
    <xf numFmtId="0" fontId="59" fillId="28" borderId="0" xfId="43" applyFont="1" applyFill="1" applyAlignment="1">
      <alignment horizontal="left" vertical="center" wrapText="1"/>
    </xf>
    <xf numFmtId="0" fontId="63" fillId="27" borderId="0" xfId="43" applyFont="1" applyFill="1" applyAlignment="1">
      <alignment horizontal="center" vertical="center"/>
    </xf>
    <xf numFmtId="0" fontId="66" fillId="27" borderId="0" xfId="43" applyFont="1" applyFill="1" applyAlignment="1">
      <alignment horizontal="center" vertical="center"/>
    </xf>
    <xf numFmtId="0" fontId="59" fillId="0" borderId="0" xfId="368" applyFont="1" applyFill="1" applyAlignment="1">
      <alignment horizontal="left" vertical="center" wrapText="1"/>
    </xf>
    <xf numFmtId="0" fontId="59" fillId="27" borderId="0" xfId="43" applyFont="1" applyFill="1" applyAlignment="1">
      <alignment horizontal="left" wrapText="1"/>
    </xf>
    <xf numFmtId="0" fontId="59" fillId="28" borderId="0" xfId="43" applyFont="1" applyFill="1" applyAlignment="1">
      <alignment horizontal="left" wrapText="1"/>
    </xf>
    <xf numFmtId="0" fontId="59" fillId="0" borderId="0" xfId="43" applyFont="1" applyFill="1" applyBorder="1" applyAlignment="1">
      <alignment horizontal="left" vertical="center" wrapText="1"/>
    </xf>
    <xf numFmtId="10" fontId="78" fillId="27" borderId="32" xfId="97" applyNumberFormat="1" applyFont="1" applyFill="1" applyBorder="1" applyAlignment="1">
      <alignment horizontal="center" vertical="center" wrapText="1"/>
    </xf>
    <xf numFmtId="10" fontId="78" fillId="27" borderId="24" xfId="97" applyNumberFormat="1" applyFont="1" applyFill="1" applyBorder="1" applyAlignment="1">
      <alignment horizontal="center" vertical="center" wrapText="1"/>
    </xf>
    <xf numFmtId="173" fontId="59" fillId="27" borderId="0" xfId="375" applyNumberFormat="1" applyFont="1" applyFill="1" applyAlignment="1">
      <alignment horizontal="left" wrapText="1"/>
    </xf>
    <xf numFmtId="0" fontId="93" fillId="30" borderId="22" xfId="43" applyFont="1" applyFill="1" applyBorder="1" applyAlignment="1">
      <alignment horizontal="center" vertical="center"/>
    </xf>
    <xf numFmtId="0" fontId="93" fillId="30" borderId="48" xfId="43" applyFont="1" applyFill="1" applyBorder="1" applyAlignment="1">
      <alignment horizontal="center" vertical="center"/>
    </xf>
    <xf numFmtId="0" fontId="93" fillId="30" borderId="74" xfId="43" applyFont="1" applyFill="1" applyBorder="1" applyAlignment="1">
      <alignment horizontal="center" vertical="center"/>
    </xf>
    <xf numFmtId="177" fontId="93" fillId="30" borderId="26" xfId="43" applyNumberFormat="1" applyFont="1" applyFill="1" applyBorder="1" applyAlignment="1" applyProtection="1">
      <alignment horizontal="center" vertical="center" wrapText="1"/>
    </xf>
    <xf numFmtId="177" fontId="93" fillId="30" borderId="42" xfId="43" applyNumberFormat="1" applyFont="1" applyFill="1" applyBorder="1" applyAlignment="1" applyProtection="1">
      <alignment horizontal="center" vertical="center" wrapText="1"/>
    </xf>
    <xf numFmtId="177" fontId="93" fillId="30" borderId="56" xfId="43" applyNumberFormat="1" applyFont="1" applyFill="1" applyBorder="1" applyAlignment="1" applyProtection="1">
      <alignment horizontal="center" vertical="center" wrapText="1"/>
    </xf>
    <xf numFmtId="177" fontId="93" fillId="30" borderId="77" xfId="43" applyNumberFormat="1" applyFont="1" applyFill="1" applyBorder="1" applyAlignment="1" applyProtection="1">
      <alignment horizontal="center" vertical="center" wrapText="1"/>
    </xf>
    <xf numFmtId="177" fontId="63" fillId="28" borderId="0" xfId="43" applyNumberFormat="1" applyFont="1" applyFill="1" applyBorder="1" applyAlignment="1" applyProtection="1">
      <alignment horizontal="center" vertical="center"/>
    </xf>
    <xf numFmtId="177" fontId="66" fillId="28" borderId="0" xfId="43" applyNumberFormat="1" applyFont="1" applyFill="1" applyBorder="1" applyAlignment="1" applyProtection="1">
      <alignment horizontal="center" vertical="center"/>
    </xf>
    <xf numFmtId="177" fontId="93" fillId="30" borderId="26" xfId="43" applyNumberFormat="1" applyFont="1" applyFill="1" applyBorder="1" applyAlignment="1" applyProtection="1">
      <alignment horizontal="center" vertical="center"/>
    </xf>
    <xf numFmtId="177" fontId="93" fillId="30" borderId="42" xfId="43" applyNumberFormat="1" applyFont="1" applyFill="1" applyBorder="1" applyAlignment="1" applyProtection="1">
      <alignment horizontal="center" vertical="center"/>
    </xf>
    <xf numFmtId="177" fontId="93" fillId="30" borderId="56" xfId="43" applyNumberFormat="1" applyFont="1" applyFill="1" applyBorder="1" applyAlignment="1" applyProtection="1">
      <alignment horizontal="center" vertical="center"/>
    </xf>
    <xf numFmtId="177" fontId="93" fillId="30" borderId="77" xfId="43" applyNumberFormat="1" applyFont="1" applyFill="1" applyBorder="1" applyAlignment="1" applyProtection="1">
      <alignment horizontal="center" vertical="center"/>
    </xf>
    <xf numFmtId="0" fontId="63" fillId="0" borderId="0" xfId="43" applyFont="1" applyFill="1" applyAlignment="1">
      <alignment horizontal="center" vertical="center"/>
    </xf>
    <xf numFmtId="0" fontId="61" fillId="27" borderId="0" xfId="43" applyFont="1" applyFill="1" applyAlignment="1">
      <alignment horizontal="center" vertical="center"/>
    </xf>
    <xf numFmtId="0" fontId="65" fillId="0" borderId="0" xfId="43" applyFont="1" applyFill="1" applyAlignment="1">
      <alignment horizontal="left" vertical="center" wrapText="1"/>
    </xf>
    <xf numFmtId="0" fontId="59" fillId="0" borderId="0" xfId="43" applyFont="1" applyFill="1" applyAlignment="1">
      <alignment horizontal="left" wrapText="1"/>
    </xf>
    <xf numFmtId="3" fontId="142" fillId="30" borderId="107" xfId="43" applyNumberFormat="1" applyFont="1" applyFill="1" applyBorder="1" applyAlignment="1">
      <alignment horizontal="center" vertical="center"/>
    </xf>
    <xf numFmtId="3" fontId="142" fillId="30" borderId="25" xfId="43" applyNumberFormat="1" applyFont="1" applyFill="1" applyBorder="1" applyAlignment="1">
      <alignment horizontal="center" vertical="center"/>
    </xf>
    <xf numFmtId="3" fontId="142" fillId="30" borderId="73" xfId="43" applyNumberFormat="1" applyFont="1" applyFill="1" applyBorder="1" applyAlignment="1">
      <alignment horizontal="center" vertical="center"/>
    </xf>
    <xf numFmtId="14" fontId="61" fillId="27" borderId="0" xfId="43" applyNumberFormat="1" applyFont="1" applyFill="1" applyAlignment="1">
      <alignment horizontal="center" vertical="center"/>
    </xf>
    <xf numFmtId="0" fontId="94" fillId="30" borderId="27" xfId="43" applyFont="1" applyFill="1" applyBorder="1" applyAlignment="1">
      <alignment horizontal="center" vertical="center" wrapText="1"/>
    </xf>
    <xf numFmtId="0" fontId="94" fillId="30" borderId="18" xfId="43" applyFont="1" applyFill="1" applyBorder="1" applyAlignment="1">
      <alignment horizontal="center" vertical="center" wrapText="1"/>
    </xf>
    <xf numFmtId="0" fontId="94" fillId="30" borderId="38" xfId="43" applyFont="1" applyFill="1" applyBorder="1" applyAlignment="1">
      <alignment horizontal="center" vertical="center" wrapText="1"/>
    </xf>
    <xf numFmtId="0" fontId="94" fillId="30" borderId="33" xfId="43" applyFont="1" applyFill="1" applyBorder="1" applyAlignment="1">
      <alignment horizontal="center" vertical="center"/>
    </xf>
    <xf numFmtId="0" fontId="94" fillId="30" borderId="19" xfId="43" applyFont="1" applyFill="1" applyBorder="1" applyAlignment="1">
      <alignment horizontal="center" vertical="center"/>
    </xf>
    <xf numFmtId="0" fontId="94" fillId="30" borderId="40" xfId="43" applyFont="1" applyFill="1" applyBorder="1" applyAlignment="1">
      <alignment horizontal="center" vertical="center"/>
    </xf>
    <xf numFmtId="0" fontId="94" fillId="30" borderId="62" xfId="43" applyFont="1" applyFill="1" applyBorder="1" applyAlignment="1">
      <alignment horizontal="center" vertical="center"/>
    </xf>
    <xf numFmtId="0" fontId="94" fillId="30" borderId="63" xfId="43" applyFont="1" applyFill="1" applyBorder="1" applyAlignment="1">
      <alignment horizontal="center" vertical="center"/>
    </xf>
    <xf numFmtId="0" fontId="94" fillId="30" borderId="64" xfId="43" applyFont="1" applyFill="1" applyBorder="1" applyAlignment="1">
      <alignment horizontal="center" vertical="center"/>
    </xf>
    <xf numFmtId="3" fontId="94" fillId="30" borderId="32" xfId="43" applyNumberFormat="1" applyFont="1" applyFill="1" applyBorder="1" applyAlignment="1">
      <alignment horizontal="center" vertical="center" wrapText="1"/>
    </xf>
    <xf numFmtId="3" fontId="94" fillId="30" borderId="15" xfId="43" applyNumberFormat="1" applyFont="1" applyFill="1" applyBorder="1" applyAlignment="1">
      <alignment horizontal="center" vertical="center" wrapText="1"/>
    </xf>
    <xf numFmtId="3" fontId="94" fillId="30" borderId="50" xfId="43" applyNumberFormat="1" applyFont="1" applyFill="1" applyBorder="1" applyAlignment="1">
      <alignment horizontal="center" vertical="center" wrapText="1"/>
    </xf>
    <xf numFmtId="0" fontId="73" fillId="30" borderId="107" xfId="43" applyFont="1" applyFill="1" applyBorder="1" applyAlignment="1">
      <alignment horizontal="center"/>
    </xf>
    <xf numFmtId="0" fontId="73" fillId="30" borderId="25" xfId="43" applyFont="1" applyFill="1" applyBorder="1" applyAlignment="1">
      <alignment horizontal="center"/>
    </xf>
    <xf numFmtId="190" fontId="63" fillId="27" borderId="0" xfId="86" applyNumberFormat="1" applyFont="1" applyFill="1" applyAlignment="1">
      <alignment horizontal="center" vertical="center"/>
    </xf>
    <xf numFmtId="0" fontId="94" fillId="30" borderId="26" xfId="43" applyFont="1" applyFill="1" applyBorder="1" applyAlignment="1">
      <alignment horizontal="center" vertical="center" wrapText="1"/>
    </xf>
    <xf numFmtId="0" fontId="94" fillId="30" borderId="14" xfId="43" applyFont="1" applyFill="1" applyBorder="1" applyAlignment="1">
      <alignment horizontal="center" vertical="center" wrapText="1"/>
    </xf>
    <xf numFmtId="0" fontId="94" fillId="30" borderId="56" xfId="43" applyFont="1" applyFill="1" applyBorder="1" applyAlignment="1">
      <alignment horizontal="center" vertical="center" wrapText="1"/>
    </xf>
    <xf numFmtId="0" fontId="94" fillId="30" borderId="33" xfId="43" applyFont="1" applyFill="1" applyBorder="1" applyAlignment="1">
      <alignment horizontal="center" vertical="center" wrapText="1"/>
    </xf>
    <xf numFmtId="0" fontId="94" fillId="30" borderId="19" xfId="43" applyFont="1" applyFill="1" applyBorder="1" applyAlignment="1">
      <alignment horizontal="center" vertical="center" wrapText="1"/>
    </xf>
    <xf numFmtId="0" fontId="94" fillId="30" borderId="40" xfId="43" applyFont="1" applyFill="1" applyBorder="1" applyAlignment="1">
      <alignment horizontal="center" vertical="center" wrapText="1"/>
    </xf>
    <xf numFmtId="0" fontId="73" fillId="30" borderId="107" xfId="43" applyFont="1" applyFill="1" applyBorder="1" applyAlignment="1">
      <alignment horizontal="center" vertical="center" wrapText="1"/>
    </xf>
    <xf numFmtId="0" fontId="73" fillId="30" borderId="25" xfId="43" applyFont="1" applyFill="1" applyBorder="1" applyAlignment="1">
      <alignment horizontal="center" vertical="center" wrapText="1"/>
    </xf>
    <xf numFmtId="0" fontId="73" fillId="30" borderId="73" xfId="43" applyFont="1" applyFill="1" applyBorder="1" applyAlignment="1">
      <alignment horizontal="center" vertical="center" wrapText="1"/>
    </xf>
    <xf numFmtId="172" fontId="63" fillId="27" borderId="0" xfId="86" applyFont="1" applyFill="1" applyAlignment="1">
      <alignment horizontal="center" vertical="center"/>
    </xf>
    <xf numFmtId="0" fontId="59" fillId="27" borderId="0" xfId="43" applyFont="1" applyFill="1" applyAlignment="1">
      <alignment horizontal="left" vertical="center"/>
    </xf>
    <xf numFmtId="0" fontId="73" fillId="30" borderId="22" xfId="43" applyFont="1" applyFill="1" applyBorder="1" applyAlignment="1">
      <alignment horizontal="center" vertical="center"/>
    </xf>
    <xf numFmtId="0" fontId="73" fillId="30" borderId="48" xfId="43" applyFont="1" applyFill="1" applyBorder="1" applyAlignment="1">
      <alignment horizontal="center" vertical="center"/>
    </xf>
    <xf numFmtId="171" fontId="63" fillId="27" borderId="0" xfId="86" applyNumberFormat="1" applyFont="1" applyFill="1" applyBorder="1" applyAlignment="1">
      <alignment horizontal="center" vertical="center"/>
    </xf>
    <xf numFmtId="15" fontId="61" fillId="27" borderId="0" xfId="86" applyNumberFormat="1" applyFont="1" applyFill="1" applyAlignment="1">
      <alignment horizontal="center" vertical="center"/>
    </xf>
    <xf numFmtId="0" fontId="94" fillId="30" borderId="27" xfId="43" applyFont="1" applyFill="1" applyBorder="1" applyAlignment="1">
      <alignment horizontal="center" vertical="center"/>
    </xf>
    <xf numFmtId="0" fontId="94" fillId="30" borderId="18" xfId="43" applyFont="1" applyFill="1" applyBorder="1" applyAlignment="1">
      <alignment horizontal="center" vertical="center"/>
    </xf>
    <xf numFmtId="0" fontId="94" fillId="30" borderId="30" xfId="43" applyFont="1" applyFill="1" applyBorder="1" applyAlignment="1">
      <alignment horizontal="center" vertical="center"/>
    </xf>
    <xf numFmtId="0" fontId="94" fillId="30" borderId="28" xfId="43" applyFont="1" applyFill="1" applyBorder="1" applyAlignment="1">
      <alignment horizontal="center" vertical="center" wrapText="1"/>
    </xf>
    <xf numFmtId="0" fontId="94" fillId="30" borderId="20" xfId="43" applyFont="1" applyFill="1" applyBorder="1" applyAlignment="1">
      <alignment horizontal="center" vertical="center" wrapText="1"/>
    </xf>
    <xf numFmtId="0" fontId="94" fillId="30" borderId="31" xfId="43" applyFont="1" applyFill="1" applyBorder="1" applyAlignment="1">
      <alignment horizontal="center" vertical="center" wrapText="1"/>
    </xf>
    <xf numFmtId="3" fontId="94" fillId="30" borderId="33" xfId="43" applyNumberFormat="1" applyFont="1" applyFill="1" applyBorder="1" applyAlignment="1">
      <alignment horizontal="center" vertical="center" wrapText="1"/>
    </xf>
    <xf numFmtId="3" fontId="94" fillId="30" borderId="19" xfId="43" applyNumberFormat="1" applyFont="1" applyFill="1" applyBorder="1" applyAlignment="1">
      <alignment horizontal="center" vertical="center" wrapText="1"/>
    </xf>
    <xf numFmtId="3" fontId="94" fillId="30" borderId="34" xfId="43" applyNumberFormat="1" applyFont="1" applyFill="1" applyBorder="1" applyAlignment="1">
      <alignment horizontal="center" vertical="center" wrapText="1"/>
    </xf>
    <xf numFmtId="3" fontId="79" fillId="30" borderId="42" xfId="43" applyNumberFormat="1" applyFont="1" applyFill="1" applyBorder="1" applyAlignment="1">
      <alignment horizontal="center" vertical="center" wrapText="1"/>
    </xf>
    <xf numFmtId="3" fontId="79" fillId="30" borderId="16" xfId="43" applyNumberFormat="1" applyFont="1" applyFill="1" applyBorder="1" applyAlignment="1">
      <alignment horizontal="center" vertical="center" wrapText="1"/>
    </xf>
    <xf numFmtId="3" fontId="79" fillId="30" borderId="35" xfId="43" applyNumberFormat="1" applyFont="1" applyFill="1" applyBorder="1" applyAlignment="1">
      <alignment horizontal="center" vertical="center" wrapText="1"/>
    </xf>
    <xf numFmtId="3" fontId="94" fillId="30" borderId="24" xfId="43" applyNumberFormat="1" applyFont="1" applyFill="1" applyBorder="1" applyAlignment="1">
      <alignment horizontal="center" vertical="center" wrapText="1"/>
    </xf>
    <xf numFmtId="171" fontId="63" fillId="27" borderId="0" xfId="86" applyNumberFormat="1" applyFont="1" applyFill="1" applyAlignment="1">
      <alignment horizontal="center" vertical="center"/>
    </xf>
    <xf numFmtId="0" fontId="79" fillId="30" borderId="27" xfId="43" applyFont="1" applyFill="1" applyBorder="1" applyAlignment="1">
      <alignment horizontal="center" vertical="center"/>
    </xf>
    <xf numFmtId="0" fontId="79" fillId="30" borderId="18" xfId="43" applyFont="1" applyFill="1" applyBorder="1" applyAlignment="1">
      <alignment horizontal="center" vertical="center"/>
    </xf>
    <xf numFmtId="0" fontId="79" fillId="30" borderId="30" xfId="43" applyFont="1" applyFill="1" applyBorder="1" applyAlignment="1">
      <alignment horizontal="center" vertical="center"/>
    </xf>
    <xf numFmtId="0" fontId="79" fillId="30" borderId="28" xfId="43" applyFont="1" applyFill="1" applyBorder="1" applyAlignment="1">
      <alignment horizontal="center" vertical="center" wrapText="1"/>
    </xf>
    <xf numFmtId="0" fontId="79" fillId="30" borderId="20" xfId="43" applyFont="1" applyFill="1" applyBorder="1" applyAlignment="1">
      <alignment horizontal="center" vertical="center" wrapText="1"/>
    </xf>
    <xf numFmtId="0" fontId="79" fillId="30" borderId="31" xfId="43" applyFont="1" applyFill="1" applyBorder="1" applyAlignment="1">
      <alignment horizontal="center" vertical="center" wrapText="1"/>
    </xf>
    <xf numFmtId="3" fontId="79" fillId="30" borderId="33" xfId="43" applyNumberFormat="1" applyFont="1" applyFill="1" applyBorder="1" applyAlignment="1">
      <alignment horizontal="center" vertical="center" wrapText="1"/>
    </xf>
    <xf numFmtId="3" fontId="79" fillId="30" borderId="19" xfId="43" applyNumberFormat="1" applyFont="1" applyFill="1" applyBorder="1" applyAlignment="1">
      <alignment horizontal="center" vertical="center" wrapText="1"/>
    </xf>
    <xf numFmtId="3" fontId="79" fillId="30" borderId="34" xfId="43" applyNumberFormat="1" applyFont="1" applyFill="1" applyBorder="1" applyAlignment="1">
      <alignment horizontal="center" vertical="center" wrapText="1"/>
    </xf>
    <xf numFmtId="3" fontId="79" fillId="30" borderId="62" xfId="43" applyNumberFormat="1" applyFont="1" applyFill="1" applyBorder="1" applyAlignment="1">
      <alignment horizontal="center" vertical="center" wrapText="1"/>
    </xf>
    <xf numFmtId="3" fontId="79" fillId="30" borderId="63" xfId="43" applyNumberFormat="1" applyFont="1" applyFill="1" applyBorder="1" applyAlignment="1">
      <alignment horizontal="center" vertical="center" wrapText="1"/>
    </xf>
    <xf numFmtId="3" fontId="79" fillId="30" borderId="61" xfId="43" applyNumberFormat="1" applyFont="1" applyFill="1" applyBorder="1" applyAlignment="1">
      <alignment horizontal="center" vertical="center" wrapText="1"/>
    </xf>
    <xf numFmtId="3" fontId="79" fillId="30" borderId="28" xfId="43" applyNumberFormat="1" applyFont="1" applyFill="1" applyBorder="1" applyAlignment="1">
      <alignment horizontal="center" vertical="center" wrapText="1"/>
    </xf>
    <xf numFmtId="3" fontId="79" fillId="30" borderId="20" xfId="43" applyNumberFormat="1" applyFont="1" applyFill="1" applyBorder="1" applyAlignment="1">
      <alignment horizontal="center" vertical="center" wrapText="1"/>
    </xf>
    <xf numFmtId="3" fontId="79" fillId="30" borderId="31" xfId="43" applyNumberFormat="1" applyFont="1" applyFill="1" applyBorder="1" applyAlignment="1">
      <alignment horizontal="center" vertical="center" wrapText="1"/>
    </xf>
    <xf numFmtId="3" fontId="79" fillId="30" borderId="32" xfId="43" applyNumberFormat="1" applyFont="1" applyFill="1" applyBorder="1" applyAlignment="1">
      <alignment horizontal="center" vertical="center" wrapText="1"/>
    </xf>
    <xf numFmtId="3" fontId="79" fillId="30" borderId="15" xfId="43" applyNumberFormat="1" applyFont="1" applyFill="1" applyBorder="1" applyAlignment="1">
      <alignment horizontal="center" vertical="center" wrapText="1"/>
    </xf>
    <xf numFmtId="3" fontId="79" fillId="30" borderId="24" xfId="43" applyNumberFormat="1" applyFont="1" applyFill="1" applyBorder="1" applyAlignment="1">
      <alignment horizontal="center" vertical="center" wrapText="1"/>
    </xf>
    <xf numFmtId="0" fontId="59" fillId="0" borderId="0" xfId="43" applyFont="1" applyFill="1" applyAlignment="1">
      <alignment horizontal="left" vertical="center" wrapText="1"/>
    </xf>
    <xf numFmtId="0" fontId="71" fillId="30" borderId="26" xfId="43" applyFont="1" applyFill="1" applyBorder="1" applyAlignment="1">
      <alignment horizontal="center" vertical="center" wrapText="1"/>
    </xf>
    <xf numFmtId="0" fontId="71" fillId="30" borderId="29" xfId="43" applyFont="1" applyFill="1" applyBorder="1" applyAlignment="1">
      <alignment horizontal="center" vertical="center" wrapText="1"/>
    </xf>
    <xf numFmtId="0" fontId="59" fillId="0" borderId="0" xfId="43" applyFont="1" applyFill="1" applyAlignment="1">
      <alignment horizontal="left"/>
    </xf>
    <xf numFmtId="3" fontId="115" fillId="0" borderId="0" xfId="0" applyNumberFormat="1" applyFont="1" applyFill="1" applyAlignment="1">
      <alignment horizontal="center" wrapText="1"/>
    </xf>
    <xf numFmtId="3" fontId="115" fillId="0" borderId="0" xfId="0" applyNumberFormat="1" applyFont="1" applyFill="1" applyBorder="1" applyAlignment="1">
      <alignment horizontal="center" wrapText="1"/>
    </xf>
    <xf numFmtId="1" fontId="79" fillId="30" borderId="22" xfId="43" applyNumberFormat="1" applyFont="1" applyFill="1" applyBorder="1" applyAlignment="1">
      <alignment horizontal="center" vertical="center" wrapText="1"/>
    </xf>
    <xf numFmtId="1" fontId="79" fillId="30" borderId="48" xfId="43" applyNumberFormat="1" applyFont="1" applyFill="1" applyBorder="1" applyAlignment="1">
      <alignment horizontal="center" vertical="center" wrapText="1"/>
    </xf>
    <xf numFmtId="1" fontId="79" fillId="30" borderId="74" xfId="43" applyNumberFormat="1" applyFont="1" applyFill="1" applyBorder="1" applyAlignment="1">
      <alignment horizontal="center" vertical="center" wrapText="1"/>
    </xf>
    <xf numFmtId="167" fontId="63" fillId="27" borderId="0" xfId="85" applyNumberFormat="1" applyFont="1" applyFill="1" applyBorder="1" applyAlignment="1">
      <alignment horizontal="center" vertical="center"/>
    </xf>
    <xf numFmtId="49" fontId="144" fillId="27" borderId="0" xfId="85" applyNumberFormat="1" applyFont="1" applyFill="1" applyAlignment="1">
      <alignment horizontal="center" vertical="center"/>
    </xf>
    <xf numFmtId="49" fontId="123" fillId="27" borderId="0" xfId="85" applyNumberFormat="1" applyFont="1" applyFill="1" applyAlignment="1">
      <alignment horizontal="center" vertical="center"/>
    </xf>
    <xf numFmtId="0" fontId="67" fillId="27" borderId="32" xfId="43" applyFont="1" applyFill="1" applyBorder="1" applyAlignment="1">
      <alignment horizontal="center" vertical="center"/>
    </xf>
    <xf numFmtId="0" fontId="67" fillId="27" borderId="24" xfId="43" applyFont="1" applyFill="1" applyBorder="1" applyAlignment="1">
      <alignment horizontal="center" vertical="center"/>
    </xf>
    <xf numFmtId="0" fontId="67" fillId="27" borderId="81" xfId="43" applyFont="1" applyFill="1" applyBorder="1" applyAlignment="1">
      <alignment horizontal="center"/>
    </xf>
    <xf numFmtId="0" fontId="67" fillId="27" borderId="82" xfId="43" applyFont="1" applyFill="1" applyBorder="1" applyAlignment="1">
      <alignment horizontal="center"/>
    </xf>
    <xf numFmtId="0" fontId="67" fillId="27" borderId="98" xfId="43" applyFont="1" applyFill="1" applyBorder="1" applyAlignment="1">
      <alignment horizontal="center"/>
    </xf>
    <xf numFmtId="0" fontId="59" fillId="27" borderId="0" xfId="43" applyFont="1" applyFill="1" applyBorder="1" applyAlignment="1">
      <alignment horizontal="left" vertical="center" wrapText="1"/>
    </xf>
    <xf numFmtId="0" fontId="145" fillId="27" borderId="0" xfId="43" applyFont="1" applyFill="1" applyAlignment="1">
      <alignment horizontal="center"/>
    </xf>
    <xf numFmtId="0" fontId="66" fillId="27" borderId="0" xfId="43" applyFont="1" applyFill="1" applyAlignment="1">
      <alignment horizontal="center"/>
    </xf>
    <xf numFmtId="0" fontId="59" fillId="27" borderId="0" xfId="43" applyFont="1" applyFill="1" applyAlignment="1">
      <alignment horizontal="center"/>
    </xf>
    <xf numFmtId="0" fontId="67" fillId="0" borderId="32" xfId="43" applyFont="1" applyBorder="1" applyAlignment="1">
      <alignment horizontal="center" vertical="center" wrapText="1"/>
    </xf>
    <xf numFmtId="0" fontId="67" fillId="0" borderId="24" xfId="43" applyFont="1" applyBorder="1" applyAlignment="1">
      <alignment horizontal="center" vertical="center" wrapText="1"/>
    </xf>
    <xf numFmtId="3" fontId="59" fillId="0" borderId="22" xfId="43" applyNumberFormat="1" applyFont="1" applyBorder="1" applyAlignment="1">
      <alignment horizontal="center"/>
    </xf>
    <xf numFmtId="3" fontId="59" fillId="0" borderId="48" xfId="43" applyNumberFormat="1" applyFont="1" applyBorder="1" applyAlignment="1">
      <alignment horizontal="center"/>
    </xf>
    <xf numFmtId="3" fontId="59" fillId="0" borderId="74" xfId="43" applyNumberFormat="1" applyFont="1" applyBorder="1" applyAlignment="1">
      <alignment horizontal="center"/>
    </xf>
    <xf numFmtId="0" fontId="63" fillId="27" borderId="0" xfId="43" applyNumberFormat="1" applyFont="1" applyFill="1" applyAlignment="1" applyProtection="1">
      <alignment horizontal="center" vertical="center"/>
    </xf>
    <xf numFmtId="0" fontId="129" fillId="30" borderId="26" xfId="469" quotePrefix="1" applyNumberFormat="1" applyFont="1" applyFill="1" applyBorder="1" applyAlignment="1" applyProtection="1">
      <alignment horizontal="center" vertical="center"/>
    </xf>
    <xf numFmtId="0" fontId="129" fillId="30" borderId="24" xfId="469" quotePrefix="1" applyNumberFormat="1" applyFont="1" applyFill="1" applyBorder="1" applyAlignment="1" applyProtection="1">
      <alignment horizontal="center" vertical="center"/>
    </xf>
    <xf numFmtId="0" fontId="66" fillId="27" borderId="0" xfId="43" applyNumberFormat="1" applyFont="1" applyFill="1" applyAlignment="1" applyProtection="1">
      <alignment horizontal="center" vertical="center"/>
    </xf>
    <xf numFmtId="0" fontId="63" fillId="0" borderId="0" xfId="43" applyNumberFormat="1" applyFont="1" applyFill="1" applyAlignment="1" applyProtection="1">
      <alignment horizontal="center" vertical="center"/>
    </xf>
    <xf numFmtId="0" fontId="114" fillId="30" borderId="22" xfId="469" applyNumberFormat="1" applyFont="1" applyFill="1" applyBorder="1" applyAlignment="1">
      <alignment horizontal="center"/>
    </xf>
    <xf numFmtId="0" fontId="114" fillId="30" borderId="48" xfId="469" applyNumberFormat="1" applyFont="1" applyFill="1" applyBorder="1" applyAlignment="1">
      <alignment horizontal="center"/>
    </xf>
    <xf numFmtId="0" fontId="114" fillId="30" borderId="74" xfId="469" applyNumberFormat="1" applyFont="1" applyFill="1" applyBorder="1" applyAlignment="1">
      <alignment horizontal="center"/>
    </xf>
    <xf numFmtId="3" fontId="67" fillId="27" borderId="43" xfId="43" applyNumberFormat="1" applyFont="1" applyFill="1" applyBorder="1" applyAlignment="1">
      <alignment horizontal="center" vertical="center"/>
    </xf>
    <xf numFmtId="3" fontId="67" fillId="27" borderId="44" xfId="43" applyNumberFormat="1" applyFont="1" applyFill="1" applyBorder="1" applyAlignment="1">
      <alignment horizontal="center" vertical="center"/>
    </xf>
    <xf numFmtId="3" fontId="67" fillId="27" borderId="66" xfId="43" applyNumberFormat="1" applyFont="1" applyFill="1" applyBorder="1" applyAlignment="1">
      <alignment horizontal="center" vertical="center"/>
    </xf>
    <xf numFmtId="0" fontId="63" fillId="27" borderId="43" xfId="43" applyFont="1" applyFill="1" applyBorder="1" applyAlignment="1">
      <alignment horizontal="center" vertical="center"/>
    </xf>
    <xf numFmtId="0" fontId="63" fillId="27" borderId="44" xfId="43" applyFont="1" applyFill="1" applyBorder="1" applyAlignment="1">
      <alignment horizontal="center" vertical="center"/>
    </xf>
    <xf numFmtId="0" fontId="63" fillId="27" borderId="66" xfId="43" applyFont="1" applyFill="1" applyBorder="1" applyAlignment="1">
      <alignment horizontal="center" vertical="center"/>
    </xf>
    <xf numFmtId="0" fontId="85" fillId="28" borderId="0" xfId="43" applyNumberFormat="1" applyFont="1" applyFill="1" applyAlignment="1" applyProtection="1">
      <alignment horizontal="center" vertical="center"/>
    </xf>
    <xf numFmtId="0" fontId="79" fillId="30" borderId="83" xfId="43" quotePrefix="1" applyNumberFormat="1" applyFont="1" applyFill="1" applyBorder="1" applyAlignment="1" applyProtection="1">
      <alignment horizontal="center" vertical="center"/>
    </xf>
    <xf numFmtId="0" fontId="79" fillId="30" borderId="84" xfId="43" quotePrefix="1" applyNumberFormat="1" applyFont="1" applyFill="1" applyBorder="1" applyAlignment="1" applyProtection="1">
      <alignment horizontal="center" vertical="center"/>
    </xf>
    <xf numFmtId="0" fontId="79" fillId="30" borderId="32" xfId="43" quotePrefix="1" applyNumberFormat="1" applyFont="1" applyFill="1" applyBorder="1" applyAlignment="1" applyProtection="1">
      <alignment horizontal="center" vertical="center"/>
    </xf>
    <xf numFmtId="0" fontId="79" fillId="30" borderId="24" xfId="43" quotePrefix="1" applyNumberFormat="1" applyFont="1" applyFill="1" applyBorder="1" applyAlignment="1" applyProtection="1">
      <alignment horizontal="center" vertical="center"/>
    </xf>
    <xf numFmtId="0" fontId="63" fillId="27" borderId="0" xfId="43" applyFont="1" applyFill="1" applyAlignment="1">
      <alignment horizontal="center"/>
    </xf>
    <xf numFmtId="0" fontId="71" fillId="30" borderId="22" xfId="43" applyFont="1" applyFill="1" applyBorder="1" applyAlignment="1">
      <alignment horizontal="center" vertical="center" wrapText="1"/>
    </xf>
    <xf numFmtId="0" fontId="71" fillId="30" borderId="74" xfId="43" applyFont="1" applyFill="1" applyBorder="1" applyAlignment="1">
      <alignment horizontal="center" vertical="center" wrapText="1"/>
    </xf>
    <xf numFmtId="0" fontId="71" fillId="30" borderId="32" xfId="43" applyFont="1" applyFill="1" applyBorder="1" applyAlignment="1">
      <alignment horizontal="center" vertical="center" wrapText="1"/>
    </xf>
    <xf numFmtId="0" fontId="71" fillId="30" borderId="24" xfId="43" applyFont="1" applyFill="1" applyBorder="1" applyAlignment="1">
      <alignment horizontal="center" vertical="center" wrapText="1"/>
    </xf>
    <xf numFmtId="0" fontId="71" fillId="30" borderId="42" xfId="43" applyFont="1" applyFill="1" applyBorder="1" applyAlignment="1">
      <alignment horizontal="center" vertical="center" wrapText="1"/>
    </xf>
    <xf numFmtId="0" fontId="71" fillId="30" borderId="35" xfId="43" applyFont="1" applyFill="1" applyBorder="1" applyAlignment="1">
      <alignment horizontal="center" vertical="center" wrapText="1"/>
    </xf>
    <xf numFmtId="0" fontId="59" fillId="27" borderId="0" xfId="43" applyFont="1" applyFill="1" applyBorder="1" applyAlignment="1">
      <alignment horizontal="justify" vertical="center"/>
    </xf>
    <xf numFmtId="0" fontId="59" fillId="27" borderId="0" xfId="43" applyFont="1" applyFill="1" applyBorder="1" applyAlignment="1">
      <alignment horizontal="justify" vertical="center" wrapText="1"/>
    </xf>
    <xf numFmtId="0" fontId="67" fillId="27" borderId="0" xfId="43" applyFont="1" applyFill="1" applyAlignment="1" applyProtection="1">
      <alignment horizontal="center" vertical="center"/>
      <protection locked="0"/>
    </xf>
    <xf numFmtId="0" fontId="59" fillId="27" borderId="0" xfId="43" applyFont="1" applyFill="1" applyAlignment="1">
      <alignment horizontal="justify" vertical="center" wrapText="1"/>
    </xf>
    <xf numFmtId="15" fontId="61" fillId="0" borderId="0" xfId="86" applyNumberFormat="1" applyFont="1" applyFill="1" applyAlignment="1">
      <alignment horizontal="center" vertical="center"/>
    </xf>
    <xf numFmtId="0" fontId="71" fillId="30" borderId="27" xfId="43" applyFont="1" applyFill="1" applyBorder="1" applyAlignment="1">
      <alignment horizontal="center" vertical="center" wrapText="1"/>
    </xf>
    <xf numFmtId="0" fontId="71" fillId="30" borderId="18" xfId="43" applyFont="1" applyFill="1" applyBorder="1" applyAlignment="1">
      <alignment horizontal="center" vertical="center" wrapText="1"/>
    </xf>
    <xf numFmtId="0" fontId="71" fillId="30" borderId="38" xfId="43" applyFont="1" applyFill="1" applyBorder="1" applyAlignment="1">
      <alignment horizontal="center" vertical="center" wrapText="1"/>
    </xf>
    <xf numFmtId="3" fontId="71" fillId="30" borderId="28" xfId="43" applyNumberFormat="1" applyFont="1" applyFill="1" applyBorder="1" applyAlignment="1">
      <alignment horizontal="center" vertical="center" wrapText="1"/>
    </xf>
    <xf numFmtId="3" fontId="71" fillId="30" borderId="20" xfId="43" applyNumberFormat="1" applyFont="1" applyFill="1" applyBorder="1" applyAlignment="1">
      <alignment horizontal="center" vertical="center" wrapText="1"/>
    </xf>
    <xf numFmtId="3" fontId="71" fillId="30" borderId="41" xfId="43" applyNumberFormat="1" applyFont="1" applyFill="1" applyBorder="1" applyAlignment="1">
      <alignment horizontal="center" vertical="center" wrapText="1"/>
    </xf>
    <xf numFmtId="0" fontId="59" fillId="27" borderId="0" xfId="43" applyFont="1" applyFill="1" applyAlignment="1">
      <alignment horizontal="left" vertical="center" wrapText="1"/>
    </xf>
    <xf numFmtId="0" fontId="61" fillId="27" borderId="17" xfId="43" applyFont="1" applyFill="1" applyBorder="1" applyAlignment="1">
      <alignment horizontal="center" vertical="center"/>
    </xf>
    <xf numFmtId="0" fontId="61" fillId="27" borderId="85" xfId="43" applyFont="1" applyFill="1" applyBorder="1" applyAlignment="1">
      <alignment horizontal="center" vertical="center"/>
    </xf>
    <xf numFmtId="0" fontId="63" fillId="28" borderId="0" xfId="43" applyFont="1" applyFill="1" applyAlignment="1">
      <alignment horizontal="center" vertical="center"/>
    </xf>
    <xf numFmtId="0" fontId="119" fillId="28" borderId="0" xfId="43" applyFont="1" applyFill="1" applyAlignment="1">
      <alignment horizontal="center" vertical="center"/>
    </xf>
    <xf numFmtId="0" fontId="71" fillId="30" borderId="22" xfId="43" applyFont="1" applyFill="1" applyBorder="1" applyAlignment="1">
      <alignment horizontal="center" vertical="center"/>
    </xf>
    <xf numFmtId="0" fontId="71" fillId="30" borderId="95" xfId="43" applyFont="1" applyFill="1" applyBorder="1" applyAlignment="1">
      <alignment horizontal="center" vertical="center"/>
    </xf>
    <xf numFmtId="0" fontId="61" fillId="27" borderId="18" xfId="43" applyFont="1" applyFill="1" applyBorder="1" applyAlignment="1">
      <alignment horizontal="center" vertical="center"/>
    </xf>
    <xf numFmtId="0" fontId="61" fillId="27" borderId="38" xfId="43" applyFont="1" applyFill="1" applyBorder="1" applyAlignment="1">
      <alignment horizontal="center" vertical="center"/>
    </xf>
    <xf numFmtId="0" fontId="61" fillId="0" borderId="51" xfId="43" applyFont="1" applyFill="1" applyBorder="1" applyAlignment="1">
      <alignment horizontal="center" vertical="center"/>
    </xf>
    <xf numFmtId="0" fontId="61" fillId="0" borderId="18" xfId="43" applyFont="1" applyFill="1" applyBorder="1" applyAlignment="1">
      <alignment horizontal="center" vertical="center"/>
    </xf>
    <xf numFmtId="0" fontId="61" fillId="0" borderId="38" xfId="43" applyFont="1" applyFill="1" applyBorder="1" applyAlignment="1">
      <alignment horizontal="center" vertical="center"/>
    </xf>
    <xf numFmtId="0" fontId="61" fillId="27" borderId="56" xfId="43" applyFont="1" applyFill="1" applyBorder="1" applyAlignment="1">
      <alignment horizontal="center" vertical="center"/>
    </xf>
    <xf numFmtId="0" fontId="61" fillId="27" borderId="91" xfId="43" applyFont="1" applyFill="1" applyBorder="1" applyAlignment="1">
      <alignment horizontal="center" vertical="center"/>
    </xf>
    <xf numFmtId="0" fontId="61" fillId="27" borderId="71" xfId="43" applyFont="1" applyFill="1" applyBorder="1" applyAlignment="1">
      <alignment horizontal="center" vertical="center"/>
    </xf>
    <xf numFmtId="0" fontId="61" fillId="27" borderId="73" xfId="43" applyFont="1" applyFill="1" applyBorder="1" applyAlignment="1">
      <alignment horizontal="center" vertical="center"/>
    </xf>
    <xf numFmtId="0" fontId="63" fillId="27" borderId="0" xfId="378" applyFont="1" applyFill="1" applyBorder="1" applyAlignment="1">
      <alignment horizontal="center" vertical="center" wrapText="1"/>
    </xf>
    <xf numFmtId="0" fontId="61" fillId="27" borderId="0" xfId="378" applyFont="1" applyFill="1" applyBorder="1" applyAlignment="1">
      <alignment horizontal="center" vertical="center"/>
    </xf>
    <xf numFmtId="0" fontId="59" fillId="27" borderId="49" xfId="378" applyFont="1" applyFill="1" applyBorder="1" applyAlignment="1">
      <alignment horizontal="justify" vertical="center" wrapText="1"/>
    </xf>
    <xf numFmtId="0" fontId="59" fillId="27" borderId="0" xfId="378" applyFont="1" applyFill="1" applyBorder="1" applyAlignment="1">
      <alignment horizontal="justify" vertical="center" wrapText="1"/>
    </xf>
    <xf numFmtId="0" fontId="63" fillId="0" borderId="0" xfId="378" applyFont="1" applyFill="1" applyBorder="1" applyAlignment="1">
      <alignment horizontal="center" vertical="center" wrapText="1"/>
    </xf>
    <xf numFmtId="0" fontId="59" fillId="0" borderId="0" xfId="378" applyFont="1" applyFill="1" applyAlignment="1">
      <alignment horizontal="left" vertical="center" wrapText="1"/>
    </xf>
    <xf numFmtId="0" fontId="67" fillId="27" borderId="100" xfId="43" applyFont="1" applyFill="1" applyBorder="1" applyAlignment="1">
      <alignment horizontal="center" vertical="center" wrapText="1" shrinkToFit="1"/>
    </xf>
    <xf numFmtId="0" fontId="67" fillId="27" borderId="102" xfId="43" applyFont="1" applyFill="1" applyBorder="1" applyAlignment="1">
      <alignment horizontal="center" vertical="center" wrapText="1" shrinkToFit="1"/>
    </xf>
    <xf numFmtId="0" fontId="67" fillId="27" borderId="53" xfId="43" applyFont="1" applyFill="1" applyBorder="1" applyAlignment="1">
      <alignment horizontal="center" vertical="center" wrapText="1"/>
    </xf>
    <xf numFmtId="0" fontId="67" fillId="27" borderId="92" xfId="43" applyFont="1" applyFill="1" applyBorder="1" applyAlignment="1">
      <alignment horizontal="center" vertical="center" wrapText="1"/>
    </xf>
    <xf numFmtId="0" fontId="130" fillId="27" borderId="100" xfId="374" applyFont="1" applyFill="1" applyBorder="1" applyAlignment="1">
      <alignment horizontal="center" vertical="center" wrapText="1"/>
    </xf>
    <xf numFmtId="0" fontId="130" fillId="27" borderId="101" xfId="374" applyFont="1" applyFill="1" applyBorder="1" applyAlignment="1">
      <alignment horizontal="center" vertical="center" wrapText="1"/>
    </xf>
    <xf numFmtId="0" fontId="130" fillId="27" borderId="102" xfId="374" applyFont="1" applyFill="1" applyBorder="1" applyAlignment="1">
      <alignment horizontal="center" vertical="center" wrapText="1"/>
    </xf>
    <xf numFmtId="0" fontId="67" fillId="27" borderId="100" xfId="43" applyFont="1" applyFill="1" applyBorder="1" applyAlignment="1">
      <alignment horizontal="center" vertical="center" wrapText="1"/>
    </xf>
    <xf numFmtId="0" fontId="67" fillId="27" borderId="101" xfId="43" applyFont="1" applyFill="1" applyBorder="1" applyAlignment="1">
      <alignment horizontal="center" vertical="center" wrapText="1"/>
    </xf>
    <xf numFmtId="0" fontId="67" fillId="27" borderId="102" xfId="43" applyFont="1" applyFill="1" applyBorder="1" applyAlignment="1">
      <alignment horizontal="center" vertical="center" wrapText="1"/>
    </xf>
  </cellXfs>
  <cellStyles count="509">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2" xfId="8" builtinId="34" customBuiltin="1"/>
    <cellStyle name="20% - Énfasis2 2" xfId="112"/>
    <cellStyle name="20% - Énfasis2 2 2" xfId="187"/>
    <cellStyle name="20% - Énfasis2 3" xfId="186"/>
    <cellStyle name="20% - Énfasis2 3 2" xfId="188"/>
    <cellStyle name="20% - Énfasis3" xfId="9" builtinId="38" customBuiltin="1"/>
    <cellStyle name="20% - Énfasis3 2" xfId="113"/>
    <cellStyle name="20% - Énfasis3 2 2" xfId="190"/>
    <cellStyle name="20% - Énfasis3 3" xfId="189"/>
    <cellStyle name="20% - Énfasis3 3 2" xfId="191"/>
    <cellStyle name="20% - Énfasis4" xfId="10" builtinId="42" customBuiltin="1"/>
    <cellStyle name="20% - Énfasis4 2" xfId="114"/>
    <cellStyle name="20% - Énfasis4 2 2" xfId="193"/>
    <cellStyle name="20% - Énfasis4 3" xfId="192"/>
    <cellStyle name="20% - Énfasis4 3 2" xfId="194"/>
    <cellStyle name="20% - Énfasis5" xfId="11" builtinId="46" customBuiltin="1"/>
    <cellStyle name="20% - Énfasis5 2" xfId="115"/>
    <cellStyle name="20% - Énfasis5 2 2" xfId="196"/>
    <cellStyle name="20% - Énfasis5 3" xfId="195"/>
    <cellStyle name="20% - Énfasis5 3 2" xfId="197"/>
    <cellStyle name="20% - Énfasis6" xfId="12" builtinId="50" customBuiltin="1"/>
    <cellStyle name="20% - Énfasis6 2" xfId="116"/>
    <cellStyle name="20% - Énfasis6 2 2" xfId="199"/>
    <cellStyle name="20% - Énfasis6 3" xfId="198"/>
    <cellStyle name="20% - Énfasis6 3 2" xfId="200"/>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2" xfId="20" builtinId="35" customBuiltin="1"/>
    <cellStyle name="40% - Énfasis2 2" xfId="122"/>
    <cellStyle name="40% - Énfasis2 2 2" xfId="205"/>
    <cellStyle name="40% - Énfasis2 3" xfId="204"/>
    <cellStyle name="40% - Énfasis2 3 2" xfId="206"/>
    <cellStyle name="40% - Énfasis3" xfId="21" builtinId="39" customBuiltin="1"/>
    <cellStyle name="40% - Énfasis3 2" xfId="123"/>
    <cellStyle name="40% - Énfasis3 2 2" xfId="208"/>
    <cellStyle name="40% - Énfasis3 3" xfId="207"/>
    <cellStyle name="40% - Énfasis3 3 2" xfId="209"/>
    <cellStyle name="40% - Énfasis4" xfId="22" builtinId="43" customBuiltin="1"/>
    <cellStyle name="40% - Énfasis4 2" xfId="124"/>
    <cellStyle name="40% - Énfasis4 2 2" xfId="211"/>
    <cellStyle name="40% - Énfasis4 3" xfId="210"/>
    <cellStyle name="40% - Énfasis4 3 2" xfId="212"/>
    <cellStyle name="40% - Énfasis5" xfId="23" builtinId="47" customBuiltin="1"/>
    <cellStyle name="40% - Énfasis5 2" xfId="125"/>
    <cellStyle name="40% - Énfasis5 2 2" xfId="214"/>
    <cellStyle name="40% - Énfasis5 3" xfId="213"/>
    <cellStyle name="40% - Énfasis5 3 2" xfId="215"/>
    <cellStyle name="40% - Énfasis6" xfId="24" builtinId="51" customBuiltin="1"/>
    <cellStyle name="40% - Énfasis6 2" xfId="126"/>
    <cellStyle name="40% - Énfasis6 2 2" xfId="217"/>
    <cellStyle name="40% - Énfasis6 3" xfId="216"/>
    <cellStyle name="40% - Énfasis6 3 2" xfId="218"/>
    <cellStyle name="60% - Accent1" xfId="25"/>
    <cellStyle name="60% - Accent1 2" xfId="127"/>
    <cellStyle name="60% - Accent1 3" xfId="148"/>
    <cellStyle name="60% - Accent1 4" xfId="338"/>
    <cellStyle name="60% - Accent1 5" xfId="347"/>
    <cellStyle name="60% - Accent2" xfId="26"/>
    <cellStyle name="60% - Accent2 2" xfId="128"/>
    <cellStyle name="60% - Accent2 3" xfId="145"/>
    <cellStyle name="60% - Accent2 4" xfId="363"/>
    <cellStyle name="60% - Accent2 5" xfId="367"/>
    <cellStyle name="60% - Accent3" xfId="27"/>
    <cellStyle name="60% - Accent3 2" xfId="129"/>
    <cellStyle name="60% - Accent3 3" xfId="120"/>
    <cellStyle name="60% - Accent3 4" xfId="361"/>
    <cellStyle name="60% - Accent3 5" xfId="365"/>
    <cellStyle name="60% - Accent4" xfId="28"/>
    <cellStyle name="60% - Accent4 2" xfId="130"/>
    <cellStyle name="60% - Accent4 3" xfId="119"/>
    <cellStyle name="60% - Accent4 4" xfId="362"/>
    <cellStyle name="60% - Accent4 5" xfId="366"/>
    <cellStyle name="60% - Accent5" xfId="29"/>
    <cellStyle name="60% - Accent5 2" xfId="131"/>
    <cellStyle name="60% - Accent5 3" xfId="118"/>
    <cellStyle name="60% - Accent5 4" xfId="337"/>
    <cellStyle name="60% - Accent5 5" xfId="348"/>
    <cellStyle name="60% - Accent6" xfId="30"/>
    <cellStyle name="60% - Accent6 2" xfId="132"/>
    <cellStyle name="60% - Accent6 3" xfId="117"/>
    <cellStyle name="60% - Accent6 4" xfId="360"/>
    <cellStyle name="60% - Accent6 5" xfId="364"/>
    <cellStyle name="60% - Énfasis1" xfId="31" builtinId="32" customBuiltin="1"/>
    <cellStyle name="60% - Énfasis1 2" xfId="133"/>
    <cellStyle name="60% - Énfasis1 2 2" xfId="220"/>
    <cellStyle name="60% - Énfasis1 3" xfId="219"/>
    <cellStyle name="60% - Énfasis1 3 2" xfId="221"/>
    <cellStyle name="60% - Énfasis2" xfId="32" builtinId="36" customBuiltin="1"/>
    <cellStyle name="60% - Énfasis2 2" xfId="134"/>
    <cellStyle name="60% - Énfasis2 2 2" xfId="223"/>
    <cellStyle name="60% - Énfasis2 3" xfId="222"/>
    <cellStyle name="60% - Énfasis2 3 2" xfId="224"/>
    <cellStyle name="60% - Énfasis3" xfId="33" builtinId="40" customBuiltin="1"/>
    <cellStyle name="60% - Énfasis3 2" xfId="135"/>
    <cellStyle name="60% - Énfasis3 2 2" xfId="226"/>
    <cellStyle name="60% - Énfasis3 3" xfId="225"/>
    <cellStyle name="60% - Énfasis3 3 2" xfId="227"/>
    <cellStyle name="60% - Énfasis4" xfId="34" builtinId="44" customBuiltin="1"/>
    <cellStyle name="60% - Énfasis4 2" xfId="136"/>
    <cellStyle name="60% - Énfasis4 2 2" xfId="229"/>
    <cellStyle name="60% - Énfasis4 3" xfId="228"/>
    <cellStyle name="60% - Énfasis4 3 2" xfId="230"/>
    <cellStyle name="60% - Énfasis5" xfId="35" builtinId="48" customBuiltin="1"/>
    <cellStyle name="60% - Énfasis5 2" xfId="137"/>
    <cellStyle name="60% - Énfasis5 2 2" xfId="232"/>
    <cellStyle name="60% - Énfasis5 3" xfId="231"/>
    <cellStyle name="60% - Énfasis5 3 2" xfId="233"/>
    <cellStyle name="60% - Énfasis6" xfId="36" builtinId="52" customBuiltin="1"/>
    <cellStyle name="60% - Énfasis6 2" xfId="138"/>
    <cellStyle name="60% - Énfasis6 2 2" xfId="235"/>
    <cellStyle name="60% - Énfasis6 3" xfId="234"/>
    <cellStyle name="60% - Énfasis6 3 2" xfId="236"/>
    <cellStyle name="Accent1" xfId="37"/>
    <cellStyle name="Accent1 2" xfId="139"/>
    <cellStyle name="Accent1 3" xfId="110"/>
    <cellStyle name="Accent1 4" xfId="359"/>
    <cellStyle name="Accent1 5" xfId="171"/>
    <cellStyle name="Accent2" xfId="38"/>
    <cellStyle name="Accent2 2" xfId="140"/>
    <cellStyle name="Accent2 3" xfId="109"/>
    <cellStyle name="Accent2 4" xfId="358"/>
    <cellStyle name="Accent2 5" xfId="167"/>
    <cellStyle name="Accent3" xfId="39"/>
    <cellStyle name="Accent3 2" xfId="141"/>
    <cellStyle name="Accent3 3" xfId="317"/>
    <cellStyle name="Accent3 4" xfId="335"/>
    <cellStyle name="Accent3 5" xfId="350"/>
    <cellStyle name="Accent4" xfId="40"/>
    <cellStyle name="Accent4 2" xfId="142"/>
    <cellStyle name="Accent4 3" xfId="318"/>
    <cellStyle name="Accent4 4" xfId="334"/>
    <cellStyle name="Accent4 5" xfId="323"/>
    <cellStyle name="Accent5" xfId="41"/>
    <cellStyle name="Accent5 2" xfId="143"/>
    <cellStyle name="Accent5 3" xfId="319"/>
    <cellStyle name="Accent5 4" xfId="357"/>
    <cellStyle name="Accent5 5" xfId="164"/>
    <cellStyle name="Accent6" xfId="42"/>
    <cellStyle name="Accent6 2" xfId="144"/>
    <cellStyle name="Accent6 3" xfId="320"/>
    <cellStyle name="Accent6 4" xfId="356"/>
    <cellStyle name="Accent6 5" xfId="340"/>
    <cellStyle name="ANCLAS,REZONES Y SUS PARTES,DE FUNDICION,DE HIERRO O DE ACERO" xfId="43"/>
    <cellStyle name="ANCLAS,REZONES Y SUS PARTES,DE FUNDICION,DE HIERRO O DE ACERO 2" xfId="374"/>
    <cellStyle name="ANCLAS,REZONES Y SUS PARTES,DE FUNDICION,DE HIERRO O DE ACERO 2 2" xfId="469"/>
    <cellStyle name="Bad" xfId="44"/>
    <cellStyle name="Bad 2" xfId="146"/>
    <cellStyle name="Bad 3" xfId="321"/>
    <cellStyle name="Bad 4" xfId="333"/>
    <cellStyle name="Bad 5" xfId="351"/>
    <cellStyle name="Buena" xfId="45" builtinId="26" customBuiltin="1"/>
    <cellStyle name="Buena 2" xfId="147"/>
    <cellStyle name="Buena 2 2" xfId="238"/>
    <cellStyle name="Buena 3" xfId="237"/>
    <cellStyle name="Buena 3 2" xfId="239"/>
    <cellStyle name="Calculation" xfId="46"/>
    <cellStyle name="Cálculo" xfId="47" builtinId="22" customBuiltin="1"/>
    <cellStyle name="Cálculo 2" xfId="149"/>
    <cellStyle name="Cálculo 2 2" xfId="241"/>
    <cellStyle name="Cálculo 3" xfId="240"/>
    <cellStyle name="Cálculo 3 2" xfId="24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vinculada" xfId="49" builtinId="24" customBuiltin="1"/>
    <cellStyle name="Celda vinculada 2" xfId="151"/>
    <cellStyle name="Celda vinculada 2 2" xfId="247"/>
    <cellStyle name="Celda vinculada 3" xfId="246"/>
    <cellStyle name="Celda vinculada 3 2" xfId="248"/>
    <cellStyle name="Check Cell" xfId="50"/>
    <cellStyle name="Check Cell 2" xfId="152"/>
    <cellStyle name="Check Cell 3" xfId="322"/>
    <cellStyle name="Check Cell 4" xfId="355"/>
    <cellStyle name="Check Cell 5" xfId="341"/>
    <cellStyle name="Comma [0]_hojas adicionales" xfId="249"/>
    <cellStyle name="Comma [0]_insumos_DEUDA PUBLICA 30-09-2005" xfId="51"/>
    <cellStyle name="Comma_aaa Stock Deuda Provincias I 2006" xfId="250"/>
    <cellStyle name="Comma0" xfId="52"/>
    <cellStyle name="Currency [0]_aaa Stock Deuda Provincias I 2006" xfId="251"/>
    <cellStyle name="Currency_aaa Stock Deuda Provincias I 2006" xfId="252"/>
    <cellStyle name="Currency0" xfId="53"/>
    <cellStyle name="En miles" xfId="54"/>
    <cellStyle name="En millones" xfId="55"/>
    <cellStyle name="Encabezado 4" xfId="56" builtinId="19" customBuiltin="1"/>
    <cellStyle name="Encabezado 4 2" xfId="153"/>
    <cellStyle name="Encabezado 4 2 2" xfId="254"/>
    <cellStyle name="Encabezado 4 3" xfId="253"/>
    <cellStyle name="Encabezado 4 3 2" xfId="255"/>
    <cellStyle name="Énfasis1" xfId="57" builtinId="29" customBuiltin="1"/>
    <cellStyle name="Énfasis1 2" xfId="154"/>
    <cellStyle name="Énfasis1 2 2" xfId="257"/>
    <cellStyle name="Énfasis1 3" xfId="256"/>
    <cellStyle name="Énfasis1 3 2" xfId="258"/>
    <cellStyle name="Énfasis2" xfId="58" builtinId="33" customBuiltin="1"/>
    <cellStyle name="Énfasis2 2" xfId="155"/>
    <cellStyle name="Énfasis2 2 2" xfId="260"/>
    <cellStyle name="Énfasis2 3" xfId="259"/>
    <cellStyle name="Énfasis2 3 2" xfId="261"/>
    <cellStyle name="Énfasis3" xfId="59" builtinId="37" customBuiltin="1"/>
    <cellStyle name="Énfasis3 2" xfId="156"/>
    <cellStyle name="Énfasis3 2 2" xfId="263"/>
    <cellStyle name="Énfasis3 3" xfId="262"/>
    <cellStyle name="Énfasis3 3 2" xfId="264"/>
    <cellStyle name="Énfasis4" xfId="60" builtinId="41" customBuiltin="1"/>
    <cellStyle name="Énfasis4 2" xfId="157"/>
    <cellStyle name="Énfasis4 2 2" xfId="266"/>
    <cellStyle name="Énfasis4 3" xfId="265"/>
    <cellStyle name="Énfasis4 3 2" xfId="267"/>
    <cellStyle name="Énfasis5" xfId="61" builtinId="45" customBuiltin="1"/>
    <cellStyle name="Énfasis5 2" xfId="158"/>
    <cellStyle name="Énfasis5 2 2" xfId="269"/>
    <cellStyle name="Énfasis5 3" xfId="268"/>
    <cellStyle name="Énfasis5 3 2" xfId="270"/>
    <cellStyle name="Énfasis6" xfId="62" builtinId="49" customBuiltin="1"/>
    <cellStyle name="Énfasis6 2" xfId="159"/>
    <cellStyle name="Énfasis6 2 2" xfId="272"/>
    <cellStyle name="Énfasis6 3" xfId="271"/>
    <cellStyle name="Énfasis6 3 2" xfId="273"/>
    <cellStyle name="Entrada" xfId="63" builtinId="20" customBuiltin="1"/>
    <cellStyle name="Entrada 2" xfId="160"/>
    <cellStyle name="Entrada 2 2" xfId="275"/>
    <cellStyle name="Entrada 3" xfId="274"/>
    <cellStyle name="Entrada 3 2" xfId="276"/>
    <cellStyle name="Euro" xfId="64"/>
    <cellStyle name="Euro 2" xfId="380"/>
    <cellStyle name="Euro 2 2" xfId="381"/>
    <cellStyle name="Euro 2 2 2" xfId="382"/>
    <cellStyle name="Euro 3" xfId="383"/>
    <cellStyle name="Explanatory Text" xfId="65"/>
    <cellStyle name="Explanatory Text 2" xfId="161"/>
    <cellStyle name="Explanatory Text 3" xfId="326"/>
    <cellStyle name="Explanatory Text 4" xfId="327"/>
    <cellStyle name="Explanatory Text 5" xfId="325"/>
    <cellStyle name="F2" xfId="66"/>
    <cellStyle name="F3" xfId="67"/>
    <cellStyle name="F4" xfId="68"/>
    <cellStyle name="F5" xfId="69"/>
    <cellStyle name="F6" xfId="70"/>
    <cellStyle name="F7" xfId="71"/>
    <cellStyle name="F8" xfId="72"/>
    <cellStyle name="facha" xfId="73"/>
    <cellStyle name="Followed Hyperlink_aaa Stock Deuda Provincias I 2006" xfId="277"/>
    <cellStyle name="Good" xfId="74"/>
    <cellStyle name="Good 2" xfId="163"/>
    <cellStyle name="Good 3" xfId="328"/>
    <cellStyle name="Good 4" xfId="354"/>
    <cellStyle name="Good 5" xfId="342"/>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correcto 2" xfId="165"/>
    <cellStyle name="Incorrecto 2 2" xfId="279"/>
    <cellStyle name="Incorrecto 3" xfId="278"/>
    <cellStyle name="Incorrecto 3 2" xfId="280"/>
    <cellStyle name="Input" xfId="82"/>
    <cellStyle name="Input 2" xfId="166"/>
    <cellStyle name="Input 3" xfId="330"/>
    <cellStyle name="Input 4" xfId="353"/>
    <cellStyle name="Input 5" xfId="343"/>
    <cellStyle name="jo[" xfId="83"/>
    <cellStyle name="Linked Cell" xfId="84"/>
    <cellStyle name="Linked Cell 2" xfId="168"/>
    <cellStyle name="Linked Cell 3" xfId="331"/>
    <cellStyle name="Linked Cell 4" xfId="352"/>
    <cellStyle name="Linked Cell 5" xfId="344"/>
    <cellStyle name="Millares" xfId="85"/>
    <cellStyle name="Millares [0]" xfId="86"/>
    <cellStyle name="Millares [0] 2" xfId="369"/>
    <cellStyle name="Millares [0] 2 2" xfId="384"/>
    <cellStyle name="Millares [0] 2 2 2" xfId="385"/>
    <cellStyle name="Millares [0] 2 2 2 2" xfId="386"/>
    <cellStyle name="Millares [0] 2 2 3" xfId="387"/>
    <cellStyle name="Millares [0] 2 2 4" xfId="454"/>
    <cellStyle name="Millares [0] 2 3" xfId="388"/>
    <cellStyle name="Millares [0] 3" xfId="389"/>
    <cellStyle name="Millares [0] 3 2" xfId="442"/>
    <cellStyle name="Millares [0] 4" xfId="436"/>
    <cellStyle name="Millares [0] 4 2" xfId="481"/>
    <cellStyle name="Millares [0] 5" xfId="445"/>
    <cellStyle name="Millares [0] 5 2" xfId="488"/>
    <cellStyle name="Millares [0] 8" xfId="432"/>
    <cellStyle name="Millares [2]" xfId="87"/>
    <cellStyle name="Millares [2] 2" xfId="169"/>
    <cellStyle name="Millares [2] 3" xfId="332"/>
    <cellStyle name="Millares [2] 4" xfId="324"/>
    <cellStyle name="Millares [2] 5" xfId="329"/>
    <cellStyle name="Millares 10" xfId="435"/>
    <cellStyle name="Millares 10 2" xfId="480"/>
    <cellStyle name="Millares 11" xfId="444"/>
    <cellStyle name="Millares 11 2" xfId="487"/>
    <cellStyle name="Millares 12" xfId="451"/>
    <cellStyle name="Millares 12 2" xfId="494"/>
    <cellStyle name="Millares 13" xfId="458"/>
    <cellStyle name="Millares 13 2" xfId="496"/>
    <cellStyle name="Millares 14" xfId="456"/>
    <cellStyle name="Millares 15" xfId="377"/>
    <cellStyle name="Millares 16" xfId="450"/>
    <cellStyle name="Millares 16 2" xfId="493"/>
    <cellStyle name="Millares 17" xfId="433"/>
    <cellStyle name="Millares 18" xfId="446"/>
    <cellStyle name="Millares 18 2" xfId="489"/>
    <cellStyle name="Millares 2" xfId="370"/>
    <cellStyle name="Millares 2 2" xfId="390"/>
    <cellStyle name="Millares 2 2 2" xfId="391"/>
    <cellStyle name="Millares 2 2 2 2" xfId="392"/>
    <cellStyle name="Millares 2 2 2 2 2" xfId="393"/>
    <cellStyle name="Millares 2 2 3" xfId="394"/>
    <cellStyle name="Millares 2 2 4" xfId="457"/>
    <cellStyle name="Millares 2 3" xfId="395"/>
    <cellStyle name="Millares 2 4" xfId="396"/>
    <cellStyle name="Millares 2 5" xfId="397"/>
    <cellStyle name="Millares 2 6" xfId="398"/>
    <cellStyle name="Millares 2_A.1.4" xfId="507"/>
    <cellStyle name="Millares 3" xfId="373"/>
    <cellStyle name="Millares 3 2" xfId="437"/>
    <cellStyle name="Millares 3 2 2" xfId="482"/>
    <cellStyle name="Millares 3 3" xfId="447"/>
    <cellStyle name="Millares 3 3 2" xfId="490"/>
    <cellStyle name="Millares 3 4" xfId="460"/>
    <cellStyle name="Millares 3 4 2" xfId="498"/>
    <cellStyle name="Millares 3 5" xfId="473"/>
    <cellStyle name="Millares 4" xfId="375"/>
    <cellStyle name="Millares 4 2" xfId="399"/>
    <cellStyle name="Millares 4 2 2" xfId="400"/>
    <cellStyle name="Millares 4 2 2 2" xfId="401"/>
    <cellStyle name="Millares 4 3" xfId="402"/>
    <cellStyle name="Millares 5" xfId="403"/>
    <cellStyle name="Millares 5 2" xfId="404"/>
    <cellStyle name="Millares 5 2 2" xfId="405"/>
    <cellStyle name="Millares 5 2 2 2" xfId="406"/>
    <cellStyle name="Millares 5 3" xfId="407"/>
    <cellStyle name="Millares 5 4" xfId="441"/>
    <cellStyle name="Millares 5 5" xfId="464"/>
    <cellStyle name="Millares 5 5 2" xfId="501"/>
    <cellStyle name="Millares 5 6" xfId="474"/>
    <cellStyle name="Millares 6" xfId="408"/>
    <cellStyle name="Millares 6 2" xfId="409"/>
    <cellStyle name="Millares 7" xfId="410"/>
    <cellStyle name="Millares 7 2" xfId="411"/>
    <cellStyle name="Millares 7 3" xfId="412"/>
    <cellStyle name="Millares 7 3 2" xfId="465"/>
    <cellStyle name="Millares 7 3 2 2" xfId="502"/>
    <cellStyle name="Millares 7 3 3" xfId="475"/>
    <cellStyle name="Millares 8" xfId="413"/>
    <cellStyle name="Millares 9" xfId="414"/>
    <cellStyle name="Neutral" xfId="88" builtinId="28" customBuiltin="1"/>
    <cellStyle name="Neutral 2" xfId="170"/>
    <cellStyle name="Neutral 2 2" xfId="282"/>
    <cellStyle name="Neutral 3" xfId="281"/>
    <cellStyle name="Neutral 3 2" xfId="283"/>
    <cellStyle name="Normal" xfId="0" builtinId="0"/>
    <cellStyle name="Normal 10" xfId="434"/>
    <cellStyle name="Normal 10 2" xfId="463"/>
    <cellStyle name="Normal 10 3" xfId="479"/>
    <cellStyle name="Normal 11" xfId="415"/>
    <cellStyle name="Normal 12" xfId="443"/>
    <cellStyle name="Normal 12 2" xfId="486"/>
    <cellStyle name="Normal 13" xfId="459"/>
    <cellStyle name="Normal 13 2" xfId="497"/>
    <cellStyle name="Normal 2" xfId="368"/>
    <cellStyle name="Normal 2 2" xfId="416"/>
    <cellStyle name="Normal 2 2 2" xfId="453"/>
    <cellStyle name="Normal 2 2 3" xfId="466"/>
    <cellStyle name="Normal 2 2 3 2" xfId="503"/>
    <cellStyle name="Normal 2 2 4" xfId="476"/>
    <cellStyle name="Normal 2 3" xfId="417"/>
    <cellStyle name="Normal 2 3 2" xfId="467"/>
    <cellStyle name="Normal 2 3 2 2" xfId="504"/>
    <cellStyle name="Normal 2 3 3" xfId="477"/>
    <cellStyle name="Normal 3" xfId="371"/>
    <cellStyle name="Normal 3 2" xfId="455"/>
    <cellStyle name="Normal 3_A.1.4" xfId="508"/>
    <cellStyle name="Normal 4" xfId="418"/>
    <cellStyle name="Normal 5" xfId="284"/>
    <cellStyle name="Normal 5 2" xfId="419"/>
    <cellStyle name="Normal 5 2 2" xfId="420"/>
    <cellStyle name="Normal 5 2 2 2" xfId="421"/>
    <cellStyle name="Normal 5 3" xfId="422"/>
    <cellStyle name="Normal 5 4" xfId="438"/>
    <cellStyle name="Normal 5 4 2" xfId="483"/>
    <cellStyle name="Normal 5 5" xfId="448"/>
    <cellStyle name="Normal 5 5 2" xfId="491"/>
    <cellStyle name="Normal 5 6" xfId="461"/>
    <cellStyle name="Normal 5 6 2" xfId="499"/>
    <cellStyle name="Normal 5 7" xfId="471"/>
    <cellStyle name="Normal 5_CUADRO 8 - Bonos y Prestamos Garantizados en Pesos 2do. Trim-15 (A 1.8) Mari en construcción" xfId="423"/>
    <cellStyle name="Normal 6" xfId="424"/>
    <cellStyle name="Normal 7" xfId="285"/>
    <cellStyle name="Normal 7 2" xfId="439"/>
    <cellStyle name="Normal 7 2 2" xfId="484"/>
    <cellStyle name="Normal 7 3" xfId="449"/>
    <cellStyle name="Normal 7 3 2" xfId="492"/>
    <cellStyle name="Normal 7 4" xfId="462"/>
    <cellStyle name="Normal 7 4 2" xfId="500"/>
    <cellStyle name="Normal 7 5" xfId="472"/>
    <cellStyle name="Normal 8" xfId="425"/>
    <cellStyle name="Normal 8 2" xfId="426"/>
    <cellStyle name="Normal 9" xfId="427"/>
    <cellStyle name="Normal 9 2" xfId="468"/>
    <cellStyle name="Normal 9 2 2" xfId="505"/>
    <cellStyle name="Normal 9 3" xfId="478"/>
    <cellStyle name="Normal_2012 envío (Enero a Diciembre)" xfId="470"/>
    <cellStyle name="Normal_deuda_publica_31-03-2010 re-tuneado" xfId="378"/>
    <cellStyle name="Normal_Flujo Trimestral" xfId="506"/>
    <cellStyle name="Normal_Hoja1" xfId="89"/>
    <cellStyle name="Normal_Proyecciones" xfId="90"/>
    <cellStyle name="Normal_Proyecciones capital e intereses II Trim 10 base definitiva" xfId="91"/>
    <cellStyle name="Normal_S H con link a base gm" xfId="379"/>
    <cellStyle name="Normal_Total" xfId="376"/>
    <cellStyle name="Notas" xfId="92" builtinId="10" customBuiltin="1"/>
    <cellStyle name="Notas 2" xfId="172"/>
    <cellStyle name="Notas 2 2" xfId="287"/>
    <cellStyle name="Notas 3" xfId="286"/>
    <cellStyle name="Notas 3 2" xfId="288"/>
    <cellStyle name="Note" xfId="93"/>
    <cellStyle name="Nulos" xfId="94"/>
    <cellStyle name="Nulos 2" xfId="289"/>
    <cellStyle name="Nulos 2 2" xfId="290"/>
    <cellStyle name="Nulos 3" xfId="291"/>
    <cellStyle name="Nulos 4" xfId="292"/>
    <cellStyle name="Oficio" xfId="95"/>
    <cellStyle name="Output" xfId="96"/>
    <cellStyle name="Output 2" xfId="173"/>
    <cellStyle name="Output 3" xfId="336"/>
    <cellStyle name="Output 4" xfId="349"/>
    <cellStyle name="Output 5" xfId="162"/>
    <cellStyle name="Porcentaje 2" xfId="372"/>
    <cellStyle name="Porcentaje 2 2" xfId="428"/>
    <cellStyle name="Porcentaje 2 2 2" xfId="429"/>
    <cellStyle name="Porcentaje 2 2 2 2" xfId="430"/>
    <cellStyle name="Porcentaje 2 3" xfId="431"/>
    <cellStyle name="Porcentaje 3" xfId="440"/>
    <cellStyle name="Porcentaje 3 2" xfId="485"/>
    <cellStyle name="Porcentaje 4" xfId="452"/>
    <cellStyle name="Porcentaje 4 2" xfId="495"/>
    <cellStyle name="Porcentual" xfId="97"/>
    <cellStyle name="Salida" xfId="98" builtinId="21" customBuiltin="1"/>
    <cellStyle name="Salida 2" xfId="174"/>
    <cellStyle name="Salida 2 2" xfId="294"/>
    <cellStyle name="Salida 3" xfId="293"/>
    <cellStyle name="Salida 3 2" xfId="295"/>
    <cellStyle name="Texto de advertencia" xfId="99" builtinId="11" customBuiltin="1"/>
    <cellStyle name="Texto de advertencia 2" xfId="175"/>
    <cellStyle name="Texto de advertencia 2 2" xfId="297"/>
    <cellStyle name="Texto de advertencia 3" xfId="296"/>
    <cellStyle name="Texto de advertencia 3 2" xfId="298"/>
    <cellStyle name="Texto explicativo" xfId="100" builtinId="53" customBuiltin="1"/>
    <cellStyle name="Texto explicativo 2" xfId="176"/>
    <cellStyle name="Texto explicativo 2 2" xfId="300"/>
    <cellStyle name="Texto explicativo 3" xfId="299"/>
    <cellStyle name="Texto explicativo 3 2" xfId="301"/>
    <cellStyle name="Title" xfId="101"/>
    <cellStyle name="Título" xfId="102" builtinId="15" customBuiltin="1"/>
    <cellStyle name="Título 1" xfId="103" builtinId="16" customBuiltin="1"/>
    <cellStyle name="Título 1 2" xfId="178"/>
    <cellStyle name="Título 1 2 2" xfId="304"/>
    <cellStyle name="Título 1 3" xfId="303"/>
    <cellStyle name="Título 1 3 2" xfId="305"/>
    <cellStyle name="Título 2" xfId="104" builtinId="17" customBuiltin="1"/>
    <cellStyle name="Título 2 2" xfId="179"/>
    <cellStyle name="Título 2 2 2" xfId="307"/>
    <cellStyle name="Título 2 3" xfId="306"/>
    <cellStyle name="Título 2 3 2" xfId="308"/>
    <cellStyle name="Título 3" xfId="105" builtinId="18" customBuiltin="1"/>
    <cellStyle name="Título 3 2" xfId="180"/>
    <cellStyle name="Título 3 2 2" xfId="310"/>
    <cellStyle name="Título 3 3" xfId="309"/>
    <cellStyle name="Título 3 3 2" xfId="311"/>
    <cellStyle name="Título 4" xfId="177"/>
    <cellStyle name="Título 4 2" xfId="312"/>
    <cellStyle name="Título 5" xfId="302"/>
    <cellStyle name="Título 5 2" xfId="313"/>
    <cellStyle name="Total" xfId="106" builtinId="25" customBuiltin="1"/>
    <cellStyle name="Total 2" xfId="181"/>
    <cellStyle name="Total 2 2" xfId="315"/>
    <cellStyle name="Total 3" xfId="314"/>
    <cellStyle name="Total 3 2" xfId="316"/>
    <cellStyle name="vaca" xfId="107"/>
    <cellStyle name="Warning Text" xfId="108"/>
    <cellStyle name="Warning Text 2" xfId="182"/>
    <cellStyle name="Warning Text 3" xfId="339"/>
    <cellStyle name="Warning Text 4" xfId="346"/>
    <cellStyle name="Warning Text 5" xfId="34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3399"/>
      <color rgb="FF123A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sumen"/>
      <sheetName val="Datos Caja"/>
      <sheetName val="Capitalizacion"/>
      <sheetName val="Titulo x Pais"/>
      <sheetName val="% Residual"/>
      <sheetName val="Current"/>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Amort Títulos"/>
      <sheetName val="Intereses"/>
      <sheetName val="I-02"/>
      <sheetName val=" II-02"/>
      <sheetName val=" III-02"/>
      <sheetName val="Resumen"/>
      <sheetName val="BOP"/>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alida"/>
      <sheetName val="Datos"/>
      <sheetName val="Codigos"/>
      <sheetName val="BajaSiGADEProy"/>
      <sheetName val="BajaSiGADEProy.xls"/>
    </sheetNames>
    <definedNames>
      <definedName name="SIGADERED"/>
    </defined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sheetPr codeName="Hoja2">
    <pageSetUpPr fitToPage="1"/>
  </sheetPr>
  <dimension ref="A2:P63"/>
  <sheetViews>
    <sheetView showGridLines="0" tabSelected="1" zoomScaleNormal="100" zoomScaleSheetLayoutView="85" workbookViewId="0">
      <selection activeCell="B5" sqref="B5:C5"/>
    </sheetView>
  </sheetViews>
  <sheetFormatPr baseColWidth="10" defaultColWidth="9.1796875" defaultRowHeight="15.5"/>
  <cols>
    <col min="1" max="1" width="5.7265625" style="130" customWidth="1"/>
    <col min="2" max="2" width="15.7265625" style="130" customWidth="1"/>
    <col min="3" max="3" width="122.1796875" style="130" customWidth="1"/>
    <col min="4" max="4" width="106.7265625" style="130" customWidth="1"/>
    <col min="5" max="5" width="19.26953125" style="130" bestFit="1" customWidth="1"/>
    <col min="6" max="6" width="10" style="307" bestFit="1" customWidth="1"/>
    <col min="7" max="9" width="12.26953125" style="307" bestFit="1" customWidth="1"/>
    <col min="10" max="11" width="14" style="307" bestFit="1" customWidth="1"/>
    <col min="12" max="16" width="9.1796875" style="307" customWidth="1"/>
    <col min="17" max="16384" width="9.1796875" style="130"/>
  </cols>
  <sheetData>
    <row r="2" spans="2:16">
      <c r="B2" s="1053" t="s">
        <v>889</v>
      </c>
      <c r="C2" s="1054"/>
      <c r="F2" s="130"/>
      <c r="G2" s="130"/>
      <c r="H2" s="130"/>
      <c r="I2" s="130"/>
      <c r="J2" s="130"/>
      <c r="K2" s="130"/>
      <c r="L2" s="130"/>
      <c r="M2" s="130"/>
      <c r="N2" s="130"/>
      <c r="O2" s="130"/>
      <c r="P2" s="130"/>
    </row>
    <row r="3" spans="2:16">
      <c r="B3" s="1055" t="s">
        <v>304</v>
      </c>
      <c r="C3" s="1054"/>
      <c r="F3" s="130"/>
      <c r="G3" s="130"/>
      <c r="H3" s="130"/>
      <c r="I3" s="130"/>
      <c r="J3" s="130"/>
      <c r="K3" s="130"/>
      <c r="L3" s="130"/>
      <c r="M3" s="130"/>
      <c r="N3" s="130"/>
      <c r="O3" s="130"/>
      <c r="P3" s="130"/>
    </row>
    <row r="4" spans="2:16" ht="30.75" customHeight="1" thickBot="1">
      <c r="C4" s="306"/>
      <c r="F4" s="130"/>
      <c r="G4" s="130"/>
      <c r="H4" s="130"/>
      <c r="I4" s="130"/>
      <c r="J4" s="130"/>
      <c r="K4" s="130"/>
      <c r="L4" s="130"/>
      <c r="M4" s="130"/>
      <c r="N4" s="130"/>
      <c r="O4" s="130"/>
      <c r="P4" s="130"/>
    </row>
    <row r="5" spans="2:16" ht="27" customHeight="1">
      <c r="B5" s="1351" t="s">
        <v>515</v>
      </c>
      <c r="C5" s="1352"/>
      <c r="F5" s="130"/>
      <c r="G5" s="130"/>
      <c r="H5" s="130"/>
      <c r="I5" s="130"/>
      <c r="J5" s="130"/>
      <c r="K5" s="130"/>
      <c r="L5" s="130"/>
      <c r="M5" s="130"/>
      <c r="N5" s="130"/>
      <c r="O5" s="130"/>
      <c r="P5" s="130"/>
    </row>
    <row r="6" spans="2:16" ht="8" customHeight="1" thickBot="1">
      <c r="B6" s="1355"/>
      <c r="C6" s="1356"/>
      <c r="F6" s="130"/>
      <c r="G6" s="130"/>
      <c r="H6" s="130"/>
      <c r="I6" s="130"/>
      <c r="J6" s="130"/>
      <c r="K6" s="130"/>
      <c r="L6" s="130"/>
      <c r="M6" s="130"/>
      <c r="N6" s="130"/>
      <c r="O6" s="130"/>
      <c r="P6" s="130"/>
    </row>
    <row r="7" spans="2:16" ht="24.75" customHeight="1" thickBot="1">
      <c r="F7" s="130"/>
      <c r="G7" s="130"/>
      <c r="H7" s="130"/>
      <c r="I7" s="130"/>
      <c r="J7" s="130"/>
      <c r="K7" s="130"/>
      <c r="L7" s="130"/>
      <c r="M7" s="130"/>
      <c r="N7" s="130"/>
      <c r="O7" s="130"/>
      <c r="P7" s="130"/>
    </row>
    <row r="8" spans="2:16" ht="25.5" customHeight="1" thickBot="1">
      <c r="B8" s="1353" t="s">
        <v>167</v>
      </c>
      <c r="C8" s="1354"/>
      <c r="F8" s="130"/>
      <c r="G8" s="130"/>
      <c r="H8" s="130"/>
      <c r="I8" s="130"/>
      <c r="J8" s="130"/>
      <c r="K8" s="130"/>
      <c r="L8" s="130"/>
      <c r="M8" s="130"/>
      <c r="N8" s="130"/>
      <c r="O8" s="130"/>
      <c r="P8" s="130"/>
    </row>
    <row r="9" spans="2:16" ht="16" thickBot="1">
      <c r="F9" s="130"/>
      <c r="G9" s="130"/>
      <c r="H9" s="130"/>
      <c r="I9" s="130"/>
      <c r="J9" s="130"/>
      <c r="K9" s="130"/>
      <c r="L9" s="130"/>
      <c r="M9" s="130"/>
      <c r="N9" s="130"/>
      <c r="O9" s="130"/>
      <c r="P9" s="130"/>
    </row>
    <row r="10" spans="2:16" ht="24" customHeight="1" thickBot="1">
      <c r="B10" s="308" t="s">
        <v>168</v>
      </c>
      <c r="C10" s="309" t="s">
        <v>169</v>
      </c>
      <c r="F10" s="130"/>
      <c r="G10" s="130"/>
      <c r="H10" s="130"/>
      <c r="I10" s="130"/>
      <c r="J10" s="130"/>
      <c r="K10" s="130"/>
      <c r="L10" s="130"/>
      <c r="M10" s="130"/>
      <c r="N10" s="130"/>
      <c r="O10" s="130"/>
      <c r="P10" s="130"/>
    </row>
    <row r="11" spans="2:16" ht="27" customHeight="1">
      <c r="B11" s="1349" t="s">
        <v>859</v>
      </c>
      <c r="C11" s="1350"/>
      <c r="F11" s="130"/>
      <c r="G11" s="130"/>
      <c r="H11" s="130"/>
      <c r="I11" s="130"/>
      <c r="J11" s="130"/>
      <c r="K11" s="130"/>
      <c r="L11" s="130"/>
      <c r="M11" s="130"/>
      <c r="N11" s="130"/>
      <c r="O11" s="130"/>
      <c r="P11" s="130"/>
    </row>
    <row r="12" spans="2:16">
      <c r="B12" s="1056" t="s">
        <v>170</v>
      </c>
      <c r="C12" s="310" t="s">
        <v>728</v>
      </c>
      <c r="F12" s="130"/>
      <c r="G12" s="130"/>
      <c r="H12" s="130"/>
      <c r="I12" s="130"/>
      <c r="J12" s="130"/>
      <c r="K12" s="130"/>
      <c r="L12" s="130"/>
      <c r="M12" s="130"/>
      <c r="N12" s="130"/>
      <c r="O12" s="130"/>
      <c r="P12" s="130"/>
    </row>
    <row r="13" spans="2:16">
      <c r="B13" s="1056" t="s">
        <v>224</v>
      </c>
      <c r="C13" s="310" t="s">
        <v>766</v>
      </c>
      <c r="F13" s="130"/>
      <c r="G13" s="130"/>
      <c r="H13" s="130"/>
      <c r="I13" s="130"/>
      <c r="J13" s="130"/>
      <c r="K13" s="130"/>
      <c r="L13" s="130"/>
      <c r="M13" s="130"/>
      <c r="N13" s="130"/>
      <c r="O13" s="130"/>
      <c r="P13" s="130"/>
    </row>
    <row r="14" spans="2:16">
      <c r="B14" s="1056" t="s">
        <v>260</v>
      </c>
      <c r="C14" s="310" t="s">
        <v>767</v>
      </c>
      <c r="F14" s="130"/>
      <c r="G14" s="130"/>
      <c r="H14" s="130"/>
      <c r="I14" s="130"/>
      <c r="J14" s="130"/>
      <c r="K14" s="130"/>
      <c r="L14" s="130"/>
      <c r="M14" s="130"/>
      <c r="N14" s="130"/>
      <c r="O14" s="130"/>
      <c r="P14" s="130"/>
    </row>
    <row r="15" spans="2:16">
      <c r="B15" s="1056" t="s">
        <v>114</v>
      </c>
      <c r="C15" s="310" t="s">
        <v>768</v>
      </c>
      <c r="E15" s="311"/>
      <c r="F15" s="130"/>
      <c r="G15" s="130"/>
      <c r="H15" s="130"/>
      <c r="I15" s="130"/>
      <c r="J15" s="130"/>
      <c r="K15" s="130"/>
      <c r="L15" s="130"/>
      <c r="M15" s="130"/>
      <c r="N15" s="130"/>
      <c r="O15" s="130"/>
      <c r="P15" s="130"/>
    </row>
    <row r="16" spans="2:16">
      <c r="B16" s="1056" t="s">
        <v>115</v>
      </c>
      <c r="C16" s="310" t="s">
        <v>769</v>
      </c>
      <c r="E16" s="311"/>
      <c r="F16" s="130"/>
      <c r="G16" s="130"/>
      <c r="H16" s="130"/>
      <c r="I16" s="130"/>
      <c r="J16" s="130"/>
      <c r="K16" s="130"/>
      <c r="L16" s="130"/>
      <c r="M16" s="130"/>
      <c r="N16" s="130"/>
      <c r="O16" s="130"/>
      <c r="P16" s="130"/>
    </row>
    <row r="17" spans="1:16">
      <c r="B17" s="1056" t="s">
        <v>116</v>
      </c>
      <c r="C17" s="310" t="s">
        <v>770</v>
      </c>
      <c r="E17" s="311"/>
      <c r="F17" s="130"/>
      <c r="G17" s="130"/>
      <c r="H17" s="130"/>
      <c r="I17" s="130"/>
      <c r="J17" s="130"/>
      <c r="K17" s="130"/>
      <c r="L17" s="130"/>
      <c r="M17" s="130"/>
      <c r="N17" s="130"/>
      <c r="O17" s="130"/>
      <c r="P17" s="130"/>
    </row>
    <row r="18" spans="1:16">
      <c r="B18" s="1056" t="s">
        <v>117</v>
      </c>
      <c r="C18" s="310" t="s">
        <v>729</v>
      </c>
      <c r="E18" s="311"/>
      <c r="F18" s="130"/>
      <c r="G18" s="130"/>
      <c r="H18" s="130"/>
      <c r="I18" s="130"/>
      <c r="J18" s="130"/>
      <c r="K18" s="130"/>
      <c r="L18" s="130"/>
      <c r="M18" s="130"/>
      <c r="N18" s="130"/>
      <c r="O18" s="130"/>
      <c r="P18" s="130"/>
    </row>
    <row r="19" spans="1:16">
      <c r="B19" s="1056" t="s">
        <v>118</v>
      </c>
      <c r="C19" s="310" t="s">
        <v>730</v>
      </c>
      <c r="E19" s="311"/>
      <c r="F19" s="130"/>
      <c r="G19" s="130"/>
      <c r="H19" s="130"/>
      <c r="I19" s="130"/>
      <c r="J19" s="130"/>
      <c r="K19" s="130"/>
      <c r="L19" s="130"/>
      <c r="M19" s="130"/>
      <c r="N19" s="130"/>
      <c r="O19" s="130"/>
      <c r="P19" s="130"/>
    </row>
    <row r="20" spans="1:16">
      <c r="B20" s="1056" t="s">
        <v>119</v>
      </c>
      <c r="C20" s="310" t="s">
        <v>731</v>
      </c>
      <c r="E20" s="311"/>
      <c r="F20" s="130"/>
      <c r="G20" s="130"/>
      <c r="H20" s="130"/>
      <c r="I20" s="130"/>
      <c r="J20" s="130"/>
      <c r="K20" s="130"/>
      <c r="L20" s="130"/>
      <c r="M20" s="130"/>
      <c r="N20" s="130"/>
      <c r="O20" s="130"/>
      <c r="P20" s="130"/>
    </row>
    <row r="21" spans="1:16" ht="16" thickBot="1">
      <c r="B21" s="1057" t="s">
        <v>120</v>
      </c>
      <c r="C21" s="312" t="s">
        <v>772</v>
      </c>
      <c r="E21" s="311"/>
      <c r="F21" s="130"/>
      <c r="G21" s="130"/>
      <c r="H21" s="130"/>
      <c r="I21" s="130"/>
      <c r="J21" s="130"/>
      <c r="K21" s="130"/>
      <c r="L21" s="130"/>
      <c r="M21" s="130"/>
      <c r="N21" s="130"/>
      <c r="O21" s="130"/>
      <c r="P21" s="130"/>
    </row>
    <row r="22" spans="1:16" ht="16" thickBot="1">
      <c r="A22" s="307"/>
      <c r="B22" s="307"/>
      <c r="C22" s="307"/>
      <c r="D22" s="307"/>
      <c r="E22" s="307"/>
      <c r="F22" s="130"/>
      <c r="G22" s="130"/>
      <c r="H22" s="130"/>
      <c r="I22" s="130"/>
      <c r="J22" s="130"/>
      <c r="K22" s="130"/>
      <c r="L22" s="130"/>
      <c r="M22" s="130"/>
      <c r="N22" s="130"/>
      <c r="O22" s="130"/>
      <c r="P22" s="130"/>
    </row>
    <row r="23" spans="1:16" ht="27" customHeight="1">
      <c r="B23" s="1349" t="s">
        <v>87</v>
      </c>
      <c r="C23" s="1350"/>
      <c r="F23" s="130"/>
      <c r="G23" s="130"/>
      <c r="H23" s="130"/>
      <c r="I23" s="130"/>
      <c r="J23" s="130"/>
      <c r="K23" s="130"/>
      <c r="L23" s="130"/>
      <c r="M23" s="130"/>
      <c r="N23" s="130"/>
      <c r="O23" s="130"/>
      <c r="P23" s="130"/>
    </row>
    <row r="24" spans="1:16" ht="15.75" customHeight="1">
      <c r="B24" s="1058" t="s">
        <v>159</v>
      </c>
      <c r="C24" s="310" t="s">
        <v>862</v>
      </c>
      <c r="F24" s="130"/>
      <c r="G24" s="130"/>
      <c r="H24" s="130"/>
      <c r="I24" s="130"/>
      <c r="J24" s="130"/>
      <c r="K24" s="130"/>
      <c r="L24" s="130"/>
      <c r="M24" s="130"/>
      <c r="N24" s="130"/>
      <c r="O24" s="130"/>
      <c r="P24" s="130"/>
    </row>
    <row r="25" spans="1:16">
      <c r="B25" s="1058" t="s">
        <v>160</v>
      </c>
      <c r="C25" s="310" t="s">
        <v>863</v>
      </c>
      <c r="F25" s="130"/>
      <c r="G25" s="130"/>
      <c r="H25" s="130"/>
      <c r="I25" s="130"/>
      <c r="J25" s="130"/>
      <c r="K25" s="130"/>
      <c r="L25" s="130"/>
      <c r="M25" s="130"/>
      <c r="N25" s="130"/>
      <c r="O25" s="130"/>
      <c r="P25" s="130"/>
    </row>
    <row r="26" spans="1:16">
      <c r="B26" s="1058" t="s">
        <v>76</v>
      </c>
      <c r="C26" s="310" t="s">
        <v>809</v>
      </c>
      <c r="F26" s="130"/>
      <c r="G26" s="130"/>
      <c r="H26" s="130"/>
      <c r="I26" s="130"/>
      <c r="J26" s="130"/>
      <c r="K26" s="130"/>
      <c r="L26" s="130"/>
      <c r="M26" s="130"/>
      <c r="N26" s="130"/>
      <c r="O26" s="130"/>
      <c r="P26" s="130"/>
    </row>
    <row r="27" spans="1:16">
      <c r="B27" s="1058" t="s">
        <v>808</v>
      </c>
      <c r="C27" s="310" t="s">
        <v>732</v>
      </c>
      <c r="F27" s="130"/>
      <c r="G27" s="130"/>
      <c r="H27" s="130"/>
      <c r="I27" s="130"/>
      <c r="J27" s="130"/>
      <c r="K27" s="130"/>
      <c r="L27" s="130"/>
      <c r="M27" s="130"/>
      <c r="N27" s="130"/>
      <c r="O27" s="130"/>
      <c r="P27" s="130"/>
    </row>
    <row r="28" spans="1:16" ht="16" thickBot="1">
      <c r="B28" s="1058" t="s">
        <v>885</v>
      </c>
      <c r="C28" s="315" t="s">
        <v>886</v>
      </c>
      <c r="F28" s="130"/>
      <c r="G28" s="130"/>
      <c r="H28" s="130"/>
      <c r="I28" s="130"/>
      <c r="J28" s="130"/>
      <c r="K28" s="130"/>
      <c r="L28" s="130"/>
      <c r="M28" s="130"/>
      <c r="N28" s="130"/>
      <c r="O28" s="130"/>
      <c r="P28" s="130"/>
    </row>
    <row r="29" spans="1:16" ht="16" thickBot="1">
      <c r="A29" s="307"/>
      <c r="B29" s="307"/>
      <c r="C29" s="307"/>
      <c r="D29" s="307"/>
      <c r="E29" s="307"/>
      <c r="F29" s="130"/>
      <c r="G29" s="130"/>
      <c r="H29" s="130"/>
      <c r="I29" s="130"/>
      <c r="J29" s="130"/>
      <c r="K29" s="130"/>
      <c r="L29" s="130"/>
      <c r="M29" s="130"/>
      <c r="N29" s="130"/>
      <c r="O29" s="130"/>
      <c r="P29" s="130"/>
    </row>
    <row r="30" spans="1:16" ht="27.75" customHeight="1">
      <c r="B30" s="1347" t="s">
        <v>860</v>
      </c>
      <c r="C30" s="1348"/>
      <c r="D30" s="313"/>
      <c r="F30" s="130"/>
      <c r="G30" s="130"/>
      <c r="H30" s="130"/>
      <c r="I30" s="130"/>
      <c r="J30" s="130"/>
      <c r="K30" s="130"/>
      <c r="L30" s="130"/>
      <c r="M30" s="130"/>
      <c r="N30" s="130"/>
      <c r="O30" s="130"/>
      <c r="P30" s="130"/>
    </row>
    <row r="31" spans="1:16">
      <c r="B31" s="1056" t="s">
        <v>121</v>
      </c>
      <c r="C31" s="310" t="s">
        <v>861</v>
      </c>
      <c r="D31" s="314"/>
      <c r="F31" s="130"/>
      <c r="G31" s="130"/>
      <c r="H31" s="130"/>
      <c r="I31" s="130"/>
      <c r="J31" s="130"/>
      <c r="K31" s="130"/>
      <c r="L31" s="130"/>
      <c r="M31" s="130"/>
      <c r="N31" s="130"/>
      <c r="O31" s="130"/>
      <c r="P31" s="130"/>
    </row>
    <row r="32" spans="1:16">
      <c r="B32" s="1056" t="s">
        <v>122</v>
      </c>
      <c r="C32" s="310" t="s">
        <v>774</v>
      </c>
      <c r="F32" s="130"/>
      <c r="G32" s="130"/>
      <c r="H32" s="130"/>
      <c r="I32" s="130"/>
      <c r="J32" s="130"/>
      <c r="K32" s="130"/>
      <c r="L32" s="130"/>
      <c r="M32" s="130"/>
      <c r="N32" s="130"/>
      <c r="O32" s="130"/>
      <c r="P32" s="130"/>
    </row>
    <row r="33" spans="1:16">
      <c r="B33" s="1056" t="s">
        <v>123</v>
      </c>
      <c r="C33" s="310" t="s">
        <v>775</v>
      </c>
      <c r="F33" s="130"/>
      <c r="G33" s="130"/>
      <c r="H33" s="130"/>
      <c r="I33" s="130"/>
      <c r="J33" s="130"/>
      <c r="K33" s="130"/>
      <c r="L33" s="130"/>
      <c r="M33" s="130"/>
      <c r="N33" s="130"/>
      <c r="O33" s="130"/>
      <c r="P33" s="130"/>
    </row>
    <row r="34" spans="1:16">
      <c r="B34" s="1056" t="s">
        <v>124</v>
      </c>
      <c r="C34" s="310" t="s">
        <v>864</v>
      </c>
      <c r="F34" s="130"/>
      <c r="G34" s="130"/>
      <c r="H34" s="130"/>
      <c r="I34" s="130"/>
      <c r="J34" s="130"/>
      <c r="K34" s="130"/>
      <c r="L34" s="130"/>
      <c r="M34" s="130"/>
      <c r="N34" s="130"/>
      <c r="O34" s="130"/>
      <c r="P34" s="130"/>
    </row>
    <row r="35" spans="1:16">
      <c r="B35" s="1056" t="s">
        <v>125</v>
      </c>
      <c r="C35" s="310" t="s">
        <v>865</v>
      </c>
      <c r="F35" s="130"/>
      <c r="G35" s="130"/>
      <c r="H35" s="130"/>
      <c r="I35" s="130"/>
      <c r="J35" s="130"/>
      <c r="K35" s="130"/>
      <c r="L35" s="130"/>
      <c r="M35" s="130"/>
      <c r="N35" s="130"/>
      <c r="O35" s="130"/>
      <c r="P35" s="130"/>
    </row>
    <row r="36" spans="1:16" ht="17.25" customHeight="1">
      <c r="B36" s="1056" t="s">
        <v>126</v>
      </c>
      <c r="C36" s="310" t="s">
        <v>776</v>
      </c>
      <c r="F36" s="130"/>
      <c r="G36" s="130"/>
      <c r="H36" s="130"/>
      <c r="I36" s="130"/>
      <c r="J36" s="130"/>
      <c r="K36" s="130"/>
      <c r="L36" s="130"/>
      <c r="M36" s="130"/>
      <c r="N36" s="130"/>
      <c r="O36" s="130"/>
      <c r="P36" s="130"/>
    </row>
    <row r="37" spans="1:16">
      <c r="B37" s="1056" t="s">
        <v>127</v>
      </c>
      <c r="C37" s="310" t="s">
        <v>777</v>
      </c>
      <c r="F37" s="130"/>
      <c r="G37" s="130"/>
      <c r="H37" s="130"/>
      <c r="I37" s="130"/>
      <c r="J37" s="130"/>
      <c r="K37" s="130"/>
      <c r="L37" s="130"/>
      <c r="M37" s="130"/>
      <c r="N37" s="130"/>
      <c r="O37" s="130"/>
      <c r="P37" s="130"/>
    </row>
    <row r="38" spans="1:16" ht="16" thickBot="1">
      <c r="B38" s="1057" t="s">
        <v>128</v>
      </c>
      <c r="C38" s="315" t="s">
        <v>778</v>
      </c>
      <c r="F38" s="130"/>
      <c r="G38" s="130"/>
      <c r="H38" s="130"/>
      <c r="I38" s="130"/>
      <c r="J38" s="130"/>
      <c r="K38" s="130"/>
      <c r="L38" s="130"/>
      <c r="M38" s="130"/>
      <c r="N38" s="130"/>
      <c r="O38" s="130"/>
      <c r="P38" s="130"/>
    </row>
    <row r="39" spans="1:16" ht="16" thickBot="1">
      <c r="A39" s="307"/>
      <c r="B39" s="307"/>
      <c r="C39" s="307"/>
      <c r="D39" s="307"/>
      <c r="E39" s="307"/>
      <c r="F39" s="130"/>
      <c r="G39" s="130"/>
      <c r="H39" s="130"/>
      <c r="I39" s="130"/>
      <c r="J39" s="130"/>
      <c r="K39" s="130"/>
      <c r="L39" s="130"/>
      <c r="M39" s="130"/>
      <c r="N39" s="130"/>
      <c r="O39" s="130"/>
      <c r="P39" s="130"/>
    </row>
    <row r="40" spans="1:16" ht="27.75" customHeight="1">
      <c r="B40" s="1349" t="s">
        <v>112</v>
      </c>
      <c r="C40" s="1350"/>
      <c r="F40" s="130"/>
      <c r="G40" s="130"/>
      <c r="H40" s="130"/>
      <c r="I40" s="130"/>
      <c r="J40" s="130"/>
      <c r="K40" s="130"/>
      <c r="L40" s="130"/>
      <c r="M40" s="130"/>
      <c r="N40" s="130"/>
      <c r="O40" s="130"/>
      <c r="P40" s="130"/>
    </row>
    <row r="41" spans="1:16">
      <c r="B41" s="1056" t="s">
        <v>129</v>
      </c>
      <c r="C41" s="310" t="s">
        <v>113</v>
      </c>
      <c r="F41" s="130"/>
      <c r="G41" s="130"/>
      <c r="H41" s="130"/>
      <c r="I41" s="130"/>
      <c r="J41" s="130"/>
      <c r="K41" s="130"/>
      <c r="L41" s="130"/>
      <c r="M41" s="130"/>
      <c r="N41" s="130"/>
      <c r="O41" s="130"/>
      <c r="P41" s="130"/>
    </row>
    <row r="42" spans="1:16">
      <c r="B42" s="1056" t="s">
        <v>130</v>
      </c>
      <c r="C42" s="310" t="s">
        <v>733</v>
      </c>
      <c r="F42" s="130"/>
      <c r="G42" s="130"/>
      <c r="H42" s="130"/>
      <c r="I42" s="130"/>
      <c r="J42" s="130"/>
      <c r="K42" s="130"/>
      <c r="L42" s="130"/>
      <c r="M42" s="130"/>
      <c r="N42" s="130"/>
      <c r="O42" s="130"/>
      <c r="P42" s="130"/>
    </row>
    <row r="43" spans="1:16">
      <c r="B43" s="1056" t="s">
        <v>131</v>
      </c>
      <c r="C43" s="310" t="s">
        <v>256</v>
      </c>
      <c r="F43" s="130"/>
      <c r="G43" s="130"/>
      <c r="H43" s="130"/>
      <c r="I43" s="130"/>
      <c r="J43" s="130"/>
      <c r="K43" s="130"/>
      <c r="L43" s="130"/>
      <c r="M43" s="130"/>
      <c r="N43" s="130"/>
      <c r="O43" s="130"/>
      <c r="P43" s="130"/>
    </row>
    <row r="44" spans="1:16">
      <c r="B44" s="1056" t="s">
        <v>132</v>
      </c>
      <c r="C44" s="310" t="s">
        <v>734</v>
      </c>
      <c r="F44" s="130"/>
      <c r="G44" s="130"/>
      <c r="H44" s="130"/>
      <c r="I44" s="130"/>
      <c r="J44" s="130"/>
      <c r="K44" s="130"/>
      <c r="L44" s="130"/>
      <c r="M44" s="130"/>
      <c r="N44" s="130"/>
      <c r="O44" s="130"/>
      <c r="P44" s="130"/>
    </row>
    <row r="45" spans="1:16">
      <c r="B45" s="1056" t="s">
        <v>133</v>
      </c>
      <c r="C45" s="310" t="s">
        <v>779</v>
      </c>
      <c r="F45" s="130"/>
      <c r="G45" s="130"/>
      <c r="H45" s="130"/>
      <c r="I45" s="130"/>
      <c r="J45" s="130"/>
      <c r="K45" s="130"/>
      <c r="L45" s="130"/>
      <c r="M45" s="130"/>
      <c r="N45" s="130"/>
      <c r="O45" s="130"/>
      <c r="P45" s="130"/>
    </row>
    <row r="46" spans="1:16">
      <c r="B46" s="1056" t="s">
        <v>77</v>
      </c>
      <c r="C46" s="310" t="s">
        <v>780</v>
      </c>
      <c r="F46" s="130"/>
      <c r="G46" s="130"/>
      <c r="H46" s="130"/>
      <c r="I46" s="130"/>
      <c r="J46" s="130"/>
      <c r="K46" s="130"/>
      <c r="L46" s="130"/>
      <c r="M46" s="130"/>
      <c r="N46" s="130"/>
      <c r="O46" s="130"/>
      <c r="P46" s="130"/>
    </row>
    <row r="47" spans="1:16" ht="16" thickBot="1">
      <c r="B47" s="1057" t="s">
        <v>78</v>
      </c>
      <c r="C47" s="315" t="s">
        <v>781</v>
      </c>
      <c r="F47" s="130"/>
      <c r="G47" s="130"/>
      <c r="H47" s="130"/>
      <c r="I47" s="130"/>
      <c r="J47" s="130"/>
      <c r="K47" s="130"/>
      <c r="L47" s="130"/>
      <c r="M47" s="130"/>
      <c r="N47" s="130"/>
      <c r="O47" s="130"/>
      <c r="P47" s="130"/>
    </row>
    <row r="50" spans="6:16" ht="18" customHeight="1">
      <c r="F50" s="130"/>
      <c r="G50" s="130"/>
      <c r="H50" s="130"/>
      <c r="I50" s="130"/>
      <c r="J50" s="130"/>
      <c r="K50" s="130"/>
      <c r="L50" s="130"/>
      <c r="M50" s="130"/>
      <c r="N50" s="130"/>
      <c r="O50" s="130"/>
      <c r="P50" s="130"/>
    </row>
    <row r="63" spans="6:16" ht="30" customHeight="1">
      <c r="F63" s="130"/>
      <c r="G63" s="130"/>
      <c r="H63" s="130"/>
      <c r="I63" s="130"/>
      <c r="J63" s="130"/>
      <c r="K63" s="130"/>
      <c r="L63" s="130"/>
      <c r="M63" s="130"/>
      <c r="N63" s="130"/>
      <c r="O63" s="130"/>
      <c r="P63" s="130"/>
    </row>
  </sheetData>
  <mergeCells count="7">
    <mergeCell ref="B30:C30"/>
    <mergeCell ref="B40:C40"/>
    <mergeCell ref="B5:C5"/>
    <mergeCell ref="B8:C8"/>
    <mergeCell ref="B11:C11"/>
    <mergeCell ref="B23:C23"/>
    <mergeCell ref="B6:C6"/>
  </mergeCells>
  <phoneticPr fontId="21" type="noConversion"/>
  <hyperlinks>
    <hyperlink ref="B41" location="A.4.1!A1" display="A.4.1"/>
    <hyperlink ref="B31" location="A.3.1!A1" display="A.3.1"/>
    <hyperlink ref="B32:B38" location="A.16.1!A1" display="A.16.1!A1"/>
    <hyperlink ref="B42" location="A.4.2!A1" display="A.4.2"/>
    <hyperlink ref="B43" location="A.4.3!A1" display="A.4.3"/>
    <hyperlink ref="B24" location="A.2.1!A1" display="A.2.1"/>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5" location="A.2.2!A1" display="A.2.2"/>
    <hyperlink ref="B28" location="A.2.5!A1" display="A.2.5"/>
    <hyperlink ref="B26" location="A.2.3!A1" display="A.2.3"/>
    <hyperlink ref="B27" location="A.2.4!A1" display="A.2.4"/>
  </hyperlinks>
  <printOptions horizontalCentered="1"/>
  <pageMargins left="0.39370078740157483" right="0.39370078740157483" top="0.19685039370078741" bottom="0.19685039370078741" header="0.15748031496062992" footer="0"/>
  <pageSetup paperSize="9" scale="79"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sheetPr>
    <tabColor theme="3" tint="0.79998168889431442"/>
    <pageSetUpPr fitToPage="1"/>
  </sheetPr>
  <dimension ref="A1:H150"/>
  <sheetViews>
    <sheetView showGridLines="0" showRuler="0" zoomScale="115" zoomScaleNormal="115" zoomScaleSheetLayoutView="85" workbookViewId="0"/>
  </sheetViews>
  <sheetFormatPr baseColWidth="10" defaultColWidth="11.453125" defaultRowHeight="13"/>
  <cols>
    <col min="1" max="1" width="6.81640625" style="267" customWidth="1"/>
    <col min="2" max="2" width="76.1796875" style="267" bestFit="1" customWidth="1"/>
    <col min="3" max="3" width="19" style="267" customWidth="1"/>
    <col min="4" max="4" width="19.26953125" style="267" customWidth="1"/>
    <col min="5" max="5" width="28.453125" style="1047" bestFit="1" customWidth="1"/>
    <col min="6" max="6" width="11.453125" style="267"/>
    <col min="7" max="7" width="20.81640625" style="267" bestFit="1" customWidth="1"/>
    <col min="8" max="16384" width="11.453125" style="267"/>
  </cols>
  <sheetData>
    <row r="1" spans="1:5" ht="14.5">
      <c r="A1" s="734" t="s">
        <v>219</v>
      </c>
      <c r="B1" s="735"/>
      <c r="E1" s="1048"/>
    </row>
    <row r="2" spans="1:5" ht="15" customHeight="1">
      <c r="A2" s="734"/>
      <c r="B2" s="386" t="str">
        <f>+INDICE!B2</f>
        <v>MINISTERIO DE ECONOMÍA</v>
      </c>
      <c r="C2" s="268"/>
      <c r="D2" s="269"/>
      <c r="E2" s="1048"/>
    </row>
    <row r="3" spans="1:5" ht="15" customHeight="1">
      <c r="A3" s="403"/>
      <c r="B3" s="270" t="s">
        <v>304</v>
      </c>
      <c r="C3" s="269"/>
      <c r="D3" s="271"/>
      <c r="E3" s="1048"/>
    </row>
    <row r="4" spans="1:5" s="402" customFormat="1" ht="12">
      <c r="B4" s="416"/>
      <c r="C4" s="417"/>
      <c r="D4" s="417"/>
      <c r="E4" s="1048"/>
    </row>
    <row r="5" spans="1:5" s="402" customFormat="1" ht="12">
      <c r="B5" s="418"/>
      <c r="C5" s="418"/>
      <c r="D5" s="419"/>
      <c r="E5" s="1048"/>
    </row>
    <row r="6" spans="1:5" ht="17">
      <c r="B6" s="1358" t="s">
        <v>515</v>
      </c>
      <c r="C6" s="1358"/>
      <c r="D6" s="1358"/>
      <c r="E6" s="1048"/>
    </row>
    <row r="7" spans="1:5" ht="15.5">
      <c r="B7" s="1359" t="s">
        <v>277</v>
      </c>
      <c r="C7" s="1359"/>
      <c r="D7" s="1359"/>
      <c r="E7" s="1048"/>
    </row>
    <row r="8" spans="1:5" s="402" customFormat="1" ht="12">
      <c r="B8" s="418"/>
      <c r="C8" s="789"/>
      <c r="D8" s="789"/>
      <c r="E8" s="1048"/>
    </row>
    <row r="9" spans="1:5" s="402" customFormat="1" ht="12">
      <c r="B9" s="417"/>
      <c r="C9" s="417"/>
      <c r="D9" s="417"/>
      <c r="E9" s="1048"/>
    </row>
    <row r="10" spans="1:5" ht="13.5" thickBot="1">
      <c r="B10" s="269" t="s">
        <v>887</v>
      </c>
      <c r="C10" s="271"/>
      <c r="D10" s="271"/>
      <c r="E10" s="1048"/>
    </row>
    <row r="11" spans="1:5" ht="15.5" thickTop="1" thickBot="1">
      <c r="B11" s="254"/>
      <c r="C11" s="411" t="s">
        <v>274</v>
      </c>
      <c r="D11" s="411" t="s">
        <v>275</v>
      </c>
      <c r="E11" s="1048"/>
    </row>
    <row r="12" spans="1:5" ht="13.5" thickTop="1">
      <c r="B12" s="272"/>
      <c r="C12" s="273"/>
      <c r="D12" s="273"/>
      <c r="E12" s="1048"/>
    </row>
    <row r="13" spans="1:5" ht="17">
      <c r="B13" s="406" t="s">
        <v>735</v>
      </c>
      <c r="C13" s="317">
        <f>+C16+C84</f>
        <v>336027350.03944337</v>
      </c>
      <c r="D13" s="317">
        <f>+D16+D84</f>
        <v>20126358130.612469</v>
      </c>
      <c r="E13" s="1048"/>
    </row>
    <row r="14" spans="1:5" ht="13.5" thickBot="1">
      <c r="B14" s="274"/>
      <c r="C14" s="275"/>
      <c r="D14" s="275"/>
      <c r="E14" s="1048"/>
    </row>
    <row r="15" spans="1:5" ht="13.5" thickTop="1">
      <c r="B15" s="272"/>
      <c r="C15" s="273"/>
      <c r="D15" s="273"/>
      <c r="E15" s="1048"/>
    </row>
    <row r="16" spans="1:5" ht="15.5">
      <c r="B16" s="316" t="s">
        <v>751</v>
      </c>
      <c r="C16" s="397">
        <f>+C19+C61+C66</f>
        <v>323064618.25805849</v>
      </c>
      <c r="D16" s="397">
        <f>+D19+D61+D66</f>
        <v>19349955310.566422</v>
      </c>
      <c r="E16" s="1048"/>
    </row>
    <row r="17" spans="2:5" ht="13.5" thickBot="1">
      <c r="B17" s="274"/>
      <c r="C17" s="275"/>
      <c r="D17" s="275"/>
      <c r="E17" s="1048"/>
    </row>
    <row r="18" spans="2:5" s="278" customFormat="1" ht="12.75" customHeight="1" thickTop="1">
      <c r="B18" s="276"/>
      <c r="C18" s="277"/>
      <c r="D18" s="277"/>
      <c r="E18" s="1048"/>
    </row>
    <row r="19" spans="2:5" s="405" customFormat="1" ht="15.5">
      <c r="B19" s="316" t="s">
        <v>752</v>
      </c>
      <c r="C19" s="334">
        <f>+C21+C54</f>
        <v>320525453.50388753</v>
      </c>
      <c r="D19" s="334">
        <f>+D21+D54</f>
        <v>19197872037.615349</v>
      </c>
      <c r="E19" s="1048"/>
    </row>
    <row r="20" spans="2:5">
      <c r="B20" s="279"/>
      <c r="C20" s="280"/>
      <c r="D20" s="280"/>
      <c r="E20" s="1048"/>
    </row>
    <row r="21" spans="2:5" s="403" customFormat="1" ht="14.5">
      <c r="B21" s="404" t="s">
        <v>225</v>
      </c>
      <c r="C21" s="335">
        <f>+C23+C27+C29+C52</f>
        <v>301160724.94488806</v>
      </c>
      <c r="D21" s="335">
        <f>+D23+D27+D29+D52</f>
        <v>18038021620.574074</v>
      </c>
      <c r="E21" s="1048"/>
    </row>
    <row r="22" spans="2:5">
      <c r="B22" s="281"/>
      <c r="C22" s="282"/>
      <c r="D22" s="282"/>
      <c r="E22" s="1048"/>
    </row>
    <row r="23" spans="2:5" ht="14.5">
      <c r="B23" s="407" t="s">
        <v>305</v>
      </c>
      <c r="C23" s="283">
        <f>+C24+C25</f>
        <v>194152809.9513444</v>
      </c>
      <c r="D23" s="283">
        <f>+D24+D25</f>
        <v>11628782552.035774</v>
      </c>
      <c r="E23" s="1048"/>
    </row>
    <row r="24" spans="2:5">
      <c r="B24" s="279" t="s">
        <v>272</v>
      </c>
      <c r="C24" s="285">
        <v>38723467.4013834</v>
      </c>
      <c r="D24" s="285">
        <v>2319342080.0058589</v>
      </c>
      <c r="E24" s="1048"/>
    </row>
    <row r="25" spans="2:5">
      <c r="B25" s="286" t="s">
        <v>108</v>
      </c>
      <c r="C25" s="285">
        <v>155429342.549961</v>
      </c>
      <c r="D25" s="285">
        <v>9309440472.0299149</v>
      </c>
      <c r="E25" s="1048"/>
    </row>
    <row r="26" spans="2:5">
      <c r="B26" s="287"/>
      <c r="C26" s="282"/>
      <c r="D26" s="282"/>
      <c r="E26" s="1048"/>
    </row>
    <row r="27" spans="2:5" ht="14.5">
      <c r="B27" s="407" t="s">
        <v>422</v>
      </c>
      <c r="C27" s="284">
        <v>23113729.473362166</v>
      </c>
      <c r="D27" s="284">
        <v>1384396826.8070271</v>
      </c>
      <c r="E27" s="1048"/>
    </row>
    <row r="28" spans="2:5">
      <c r="B28" s="287"/>
      <c r="C28" s="282"/>
      <c r="D28" s="282"/>
      <c r="E28" s="1048"/>
    </row>
    <row r="29" spans="2:5" ht="14.5">
      <c r="B29" s="407" t="s">
        <v>53</v>
      </c>
      <c r="C29" s="284">
        <f>+C31+C33+C44+C46+C48+C50</f>
        <v>79052379.025482446</v>
      </c>
      <c r="D29" s="284">
        <f>+D31+D33+D44+D46+D48+D50</f>
        <v>4734842241.7312727</v>
      </c>
      <c r="E29" s="1048"/>
    </row>
    <row r="30" spans="2:5">
      <c r="B30" s="287"/>
      <c r="C30" s="282"/>
      <c r="D30" s="282"/>
      <c r="E30" s="1048"/>
    </row>
    <row r="31" spans="2:5">
      <c r="B31" s="287" t="s">
        <v>261</v>
      </c>
      <c r="C31" s="288">
        <v>640325.04701061919</v>
      </c>
      <c r="D31" s="288">
        <v>38352268.690701038</v>
      </c>
      <c r="E31" s="1048"/>
    </row>
    <row r="32" spans="2:5">
      <c r="B32" s="287"/>
      <c r="C32" s="282"/>
      <c r="D32" s="282"/>
      <c r="E32" s="1048"/>
    </row>
    <row r="33" spans="2:5">
      <c r="B33" s="287" t="s">
        <v>270</v>
      </c>
      <c r="C33" s="282">
        <f>SUM(C34:C42)</f>
        <v>68000788.456716701</v>
      </c>
      <c r="D33" s="282">
        <f>SUM(D34:D42)</f>
        <v>4072907224.615047</v>
      </c>
      <c r="E33" s="1048"/>
    </row>
    <row r="34" spans="2:5">
      <c r="B34" s="279" t="s">
        <v>571</v>
      </c>
      <c r="C34" s="285">
        <v>2625</v>
      </c>
      <c r="D34" s="1083">
        <v>157224.375</v>
      </c>
      <c r="E34" s="1048"/>
    </row>
    <row r="35" spans="2:5">
      <c r="B35" s="279" t="s">
        <v>266</v>
      </c>
      <c r="C35" s="285">
        <v>7127849.6188295344</v>
      </c>
      <c r="D35" s="285">
        <v>426922552.91979498</v>
      </c>
      <c r="E35" s="1048"/>
    </row>
    <row r="36" spans="2:5">
      <c r="B36" s="279" t="s">
        <v>265</v>
      </c>
      <c r="C36" s="285">
        <v>12646998.656206004</v>
      </c>
      <c r="D36" s="285">
        <v>757491984.51345861</v>
      </c>
      <c r="E36" s="1048"/>
    </row>
    <row r="37" spans="2:5">
      <c r="B37" s="279" t="s">
        <v>267</v>
      </c>
      <c r="C37" s="285">
        <v>237350.83324000001</v>
      </c>
      <c r="D37" s="285">
        <v>14216128.156909801</v>
      </c>
      <c r="E37" s="1048"/>
    </row>
    <row r="38" spans="2:5">
      <c r="B38" s="279" t="s">
        <v>268</v>
      </c>
      <c r="C38" s="285">
        <v>41144.732880456075</v>
      </c>
      <c r="D38" s="285">
        <v>2464363.7758749169</v>
      </c>
      <c r="E38" s="1048"/>
    </row>
    <row r="39" spans="2:5">
      <c r="B39" s="279" t="s">
        <v>281</v>
      </c>
      <c r="C39" s="285">
        <v>3655847.82076</v>
      </c>
      <c r="D39" s="285">
        <v>218967005.22442022</v>
      </c>
      <c r="E39" s="1048"/>
    </row>
    <row r="40" spans="2:5">
      <c r="B40" s="279" t="s">
        <v>516</v>
      </c>
      <c r="C40" s="285">
        <v>74644.737410000002</v>
      </c>
      <c r="D40" s="285">
        <v>4470846.5471719503</v>
      </c>
      <c r="E40" s="1048"/>
    </row>
    <row r="41" spans="2:5">
      <c r="B41" s="279" t="s">
        <v>655</v>
      </c>
      <c r="C41" s="285">
        <v>44128470.685840711</v>
      </c>
      <c r="D41" s="285">
        <v>2643074751.7284293</v>
      </c>
      <c r="E41" s="1048"/>
    </row>
    <row r="42" spans="2:5">
      <c r="B42" s="279" t="s">
        <v>689</v>
      </c>
      <c r="C42" s="285">
        <v>85856.371549999996</v>
      </c>
      <c r="D42" s="285">
        <v>5142367.37398725</v>
      </c>
      <c r="E42" s="1048"/>
    </row>
    <row r="43" spans="2:5">
      <c r="B43" s="289"/>
      <c r="C43" s="290"/>
      <c r="D43" s="290"/>
      <c r="E43" s="1048"/>
    </row>
    <row r="44" spans="2:5">
      <c r="B44" s="287" t="s">
        <v>269</v>
      </c>
      <c r="C44" s="288">
        <v>5398072.3095353451</v>
      </c>
      <c r="D44" s="858">
        <v>323317540.9796195</v>
      </c>
      <c r="E44" s="1048"/>
    </row>
    <row r="45" spans="2:5">
      <c r="B45" s="289"/>
      <c r="C45" s="1124"/>
      <c r="D45" s="1124"/>
      <c r="E45" s="1048"/>
    </row>
    <row r="46" spans="2:5">
      <c r="B46" s="287" t="s">
        <v>271</v>
      </c>
      <c r="C46" s="288">
        <f>2784897.19483012-C59</f>
        <v>2284020.660895735</v>
      </c>
      <c r="D46" s="288">
        <f>166801417.48435-D59</f>
        <v>136801417.48435</v>
      </c>
      <c r="E46" s="1048"/>
    </row>
    <row r="47" spans="2:5">
      <c r="B47" s="289"/>
      <c r="C47" s="1124"/>
      <c r="D47" s="1124"/>
      <c r="E47" s="1048"/>
    </row>
    <row r="48" spans="2:5">
      <c r="B48" s="287" t="s">
        <v>357</v>
      </c>
      <c r="C48" s="288">
        <v>2396978.5928329937</v>
      </c>
      <c r="D48" s="288">
        <v>143567032.81773216</v>
      </c>
      <c r="E48" s="1048"/>
    </row>
    <row r="49" spans="2:7">
      <c r="B49" s="289"/>
      <c r="C49" s="395"/>
      <c r="D49" s="395"/>
      <c r="E49" s="1048"/>
    </row>
    <row r="50" spans="2:7">
      <c r="B50" s="287" t="s">
        <v>380</v>
      </c>
      <c r="C50" s="288">
        <v>332193.95849106333</v>
      </c>
      <c r="D50" s="288">
        <v>19896757.143822238</v>
      </c>
      <c r="E50" s="1048"/>
    </row>
    <row r="51" spans="2:7">
      <c r="B51" s="287"/>
      <c r="C51" s="288"/>
      <c r="D51" s="288"/>
      <c r="E51" s="1048"/>
    </row>
    <row r="52" spans="2:7" ht="14.5">
      <c r="B52" s="407" t="s">
        <v>239</v>
      </c>
      <c r="C52" s="284">
        <v>4841806.4946990563</v>
      </c>
      <c r="D52" s="284">
        <v>290000000</v>
      </c>
      <c r="E52" s="1048"/>
    </row>
    <row r="53" spans="2:7" ht="14.5">
      <c r="B53" s="291"/>
      <c r="C53" s="292"/>
      <c r="D53" s="292"/>
      <c r="E53" s="1048"/>
    </row>
    <row r="54" spans="2:7" s="403" customFormat="1" ht="15.5">
      <c r="B54" s="399" t="s">
        <v>347</v>
      </c>
      <c r="C54" s="334">
        <f>SUM(C55:C60)</f>
        <v>19364728.558999468</v>
      </c>
      <c r="D54" s="334">
        <f>SUM(D55:D60)</f>
        <v>1159850417.0412731</v>
      </c>
      <c r="E54" s="1048"/>
    </row>
    <row r="55" spans="2:7">
      <c r="B55" s="287"/>
      <c r="C55" s="293"/>
      <c r="D55" s="282"/>
      <c r="E55" s="1048"/>
    </row>
    <row r="56" spans="2:7">
      <c r="B56" s="287" t="s">
        <v>278</v>
      </c>
      <c r="C56" s="293">
        <v>9395275.0646965522</v>
      </c>
      <c r="D56" s="858">
        <v>562730000</v>
      </c>
      <c r="E56" s="1048"/>
    </row>
    <row r="57" spans="2:7">
      <c r="B57" s="294" t="s">
        <v>706</v>
      </c>
      <c r="C57" s="295">
        <v>8177985.0912642637</v>
      </c>
      <c r="D57" s="288">
        <v>489820417.041273</v>
      </c>
      <c r="E57" s="1048"/>
      <c r="F57" s="1231"/>
    </row>
    <row r="58" spans="2:7">
      <c r="B58" s="294" t="s">
        <v>380</v>
      </c>
      <c r="C58" s="295">
        <v>1290591.8691042657</v>
      </c>
      <c r="D58" s="288">
        <v>77300000</v>
      </c>
      <c r="E58" s="1048"/>
      <c r="F58" s="1231"/>
    </row>
    <row r="59" spans="2:7">
      <c r="B59" s="294" t="s">
        <v>271</v>
      </c>
      <c r="C59" s="295">
        <v>500876.53393438511</v>
      </c>
      <c r="D59" s="288">
        <v>29999999.999999996</v>
      </c>
      <c r="E59" s="1048"/>
      <c r="F59" s="1231"/>
    </row>
    <row r="60" spans="2:7">
      <c r="B60" s="287"/>
      <c r="C60" s="293"/>
      <c r="D60" s="282"/>
      <c r="E60" s="1048"/>
      <c r="G60" s="852"/>
    </row>
    <row r="61" spans="2:7" ht="15.5">
      <c r="B61" s="398" t="s">
        <v>756</v>
      </c>
      <c r="C61" s="334">
        <f>+C63+C64</f>
        <v>103955.2346598757</v>
      </c>
      <c r="D61" s="334">
        <f>+D63+D64</f>
        <v>6226398.7799532553</v>
      </c>
      <c r="E61" s="1048"/>
    </row>
    <row r="62" spans="2:7">
      <c r="B62" s="287"/>
      <c r="C62" s="282"/>
      <c r="D62" s="282"/>
      <c r="E62" s="1048"/>
    </row>
    <row r="63" spans="2:7">
      <c r="B63" s="287" t="s">
        <v>276</v>
      </c>
      <c r="C63" s="858">
        <v>95681.181455170779</v>
      </c>
      <c r="D63" s="858">
        <v>5730824.3632574538</v>
      </c>
      <c r="E63" s="1048"/>
    </row>
    <row r="64" spans="2:7">
      <c r="B64" s="287" t="s">
        <v>306</v>
      </c>
      <c r="C64" s="858">
        <v>8274.0532047049255</v>
      </c>
      <c r="D64" s="858">
        <v>495574.41669580154</v>
      </c>
      <c r="E64" s="1048"/>
    </row>
    <row r="65" spans="2:8">
      <c r="B65" s="287"/>
      <c r="C65" s="282"/>
      <c r="D65" s="282"/>
      <c r="E65" s="1048"/>
    </row>
    <row r="66" spans="2:8" ht="15.5">
      <c r="B66" s="398" t="s">
        <v>753</v>
      </c>
      <c r="C66" s="334">
        <f>+C68+C73+C78</f>
        <v>2435209.5195111227</v>
      </c>
      <c r="D66" s="334">
        <f>+D68+D73+D78</f>
        <v>145856874.17111871</v>
      </c>
      <c r="E66" s="1048"/>
    </row>
    <row r="67" spans="2:8" ht="15.5">
      <c r="B67" s="387"/>
      <c r="C67" s="296"/>
      <c r="D67" s="296"/>
      <c r="E67" s="1048"/>
    </row>
    <row r="68" spans="2:8" s="401" customFormat="1" ht="12.75" customHeight="1">
      <c r="B68" s="399" t="s">
        <v>413</v>
      </c>
      <c r="C68" s="400">
        <f>+C70+C71</f>
        <v>1058079.7299730589</v>
      </c>
      <c r="D68" s="400">
        <f>+D70+D71</f>
        <v>63373685.426736362</v>
      </c>
      <c r="E68" s="1048"/>
      <c r="F68" s="267"/>
      <c r="G68" s="267"/>
      <c r="H68" s="267"/>
    </row>
    <row r="69" spans="2:8" s="278" customFormat="1">
      <c r="B69" s="388"/>
      <c r="C69" s="389"/>
      <c r="D69" s="390"/>
      <c r="E69" s="1048"/>
      <c r="F69" s="267"/>
      <c r="G69" s="267"/>
      <c r="H69" s="267"/>
    </row>
    <row r="70" spans="2:8" s="278" customFormat="1" ht="12.75" customHeight="1">
      <c r="B70" s="388" t="s">
        <v>272</v>
      </c>
      <c r="C70" s="391">
        <v>51462.772625358695</v>
      </c>
      <c r="D70" s="392">
        <v>3082362.7663958594</v>
      </c>
      <c r="E70" s="1048"/>
      <c r="F70" s="267"/>
      <c r="G70" s="267"/>
      <c r="H70" s="267"/>
    </row>
    <row r="71" spans="2:8" s="278" customFormat="1">
      <c r="B71" s="388" t="s">
        <v>414</v>
      </c>
      <c r="C71" s="391">
        <v>1006616.9573477001</v>
      </c>
      <c r="D71" s="392">
        <v>60291322.660340503</v>
      </c>
      <c r="E71" s="1048"/>
      <c r="F71" s="267"/>
      <c r="G71" s="267"/>
      <c r="H71" s="267"/>
    </row>
    <row r="72" spans="2:8" s="278" customFormat="1">
      <c r="B72" s="393"/>
      <c r="C72" s="391"/>
      <c r="D72" s="392"/>
      <c r="E72" s="1048"/>
      <c r="F72" s="267"/>
      <c r="G72" s="267"/>
      <c r="H72" s="267"/>
    </row>
    <row r="73" spans="2:8" s="401" customFormat="1" ht="12.75" customHeight="1">
      <c r="B73" s="333" t="s">
        <v>546</v>
      </c>
      <c r="C73" s="400">
        <f>+C75+C76</f>
        <v>863857.57424961263</v>
      </c>
      <c r="D73" s="400">
        <f>+D75+D76</f>
        <v>51740749.409680553</v>
      </c>
      <c r="E73" s="1048"/>
      <c r="F73" s="267"/>
      <c r="G73" s="267"/>
      <c r="H73" s="267"/>
    </row>
    <row r="74" spans="2:8" s="278" customFormat="1">
      <c r="B74" s="388"/>
      <c r="C74" s="389"/>
      <c r="D74" s="390"/>
      <c r="E74" s="1048"/>
      <c r="F74" s="267"/>
      <c r="G74" s="267"/>
      <c r="H74" s="267"/>
    </row>
    <row r="75" spans="2:8" s="278" customFormat="1" ht="12.75" customHeight="1">
      <c r="B75" s="388" t="s">
        <v>272</v>
      </c>
      <c r="C75" s="391">
        <v>1910.8235689010305</v>
      </c>
      <c r="D75" s="392">
        <v>114448.77765932723</v>
      </c>
      <c r="E75" s="1048"/>
      <c r="F75" s="267"/>
      <c r="G75" s="267"/>
      <c r="H75" s="267"/>
    </row>
    <row r="76" spans="2:8" s="278" customFormat="1">
      <c r="B76" s="388" t="s">
        <v>414</v>
      </c>
      <c r="C76" s="391">
        <v>861946.75068071159</v>
      </c>
      <c r="D76" s="392">
        <v>51626300.632021226</v>
      </c>
      <c r="E76" s="1048"/>
    </row>
    <row r="77" spans="2:8" s="278" customFormat="1">
      <c r="B77" s="279"/>
      <c r="C77" s="282"/>
      <c r="D77" s="282"/>
      <c r="E77" s="1048"/>
    </row>
    <row r="78" spans="2:8" s="401" customFormat="1" ht="14.5">
      <c r="B78" s="333" t="s">
        <v>606</v>
      </c>
      <c r="C78" s="400">
        <f>+C80+C81</f>
        <v>513272.21528845129</v>
      </c>
      <c r="D78" s="400">
        <f>+D80+D81</f>
        <v>30742439.334701795</v>
      </c>
      <c r="E78" s="1048"/>
    </row>
    <row r="79" spans="2:8" s="278" customFormat="1">
      <c r="B79" s="279"/>
      <c r="C79" s="282"/>
      <c r="D79" s="282"/>
      <c r="E79" s="1048"/>
    </row>
    <row r="80" spans="2:8" s="278" customFormat="1">
      <c r="B80" s="388" t="s">
        <v>272</v>
      </c>
      <c r="C80" s="394">
        <v>9810.2730609771352</v>
      </c>
      <c r="D80" s="395">
        <v>587586.30498722557</v>
      </c>
      <c r="E80" s="1048"/>
    </row>
    <row r="81" spans="2:5" s="278" customFormat="1">
      <c r="B81" s="388" t="s">
        <v>414</v>
      </c>
      <c r="C81" s="394">
        <v>503461.94222747418</v>
      </c>
      <c r="D81" s="395">
        <v>30154853.029714569</v>
      </c>
      <c r="E81" s="1048"/>
    </row>
    <row r="82" spans="2:5" s="278" customFormat="1" ht="13.5" thickBot="1">
      <c r="B82" s="274"/>
      <c r="C82" s="297"/>
      <c r="D82" s="297"/>
      <c r="E82" s="1048"/>
    </row>
    <row r="83" spans="2:5" ht="12.75" customHeight="1" thickTop="1">
      <c r="B83" s="279"/>
      <c r="C83" s="282"/>
      <c r="D83" s="282"/>
      <c r="E83" s="1048"/>
    </row>
    <row r="84" spans="2:5" ht="12.75" customHeight="1">
      <c r="B84" s="316" t="s">
        <v>607</v>
      </c>
      <c r="C84" s="397">
        <v>12962731.781384883</v>
      </c>
      <c r="D84" s="397">
        <v>776402820.04604769</v>
      </c>
      <c r="E84" s="1174"/>
    </row>
    <row r="85" spans="2:5" ht="13.5" thickBot="1">
      <c r="B85" s="274"/>
      <c r="C85" s="297"/>
      <c r="D85" s="297"/>
      <c r="E85" s="1048"/>
    </row>
    <row r="86" spans="2:5" ht="13.5" thickTop="1">
      <c r="B86" s="279"/>
      <c r="C86" s="282"/>
      <c r="D86" s="282"/>
      <c r="E86" s="1048"/>
    </row>
    <row r="87" spans="2:5" ht="12.75" customHeight="1">
      <c r="B87" s="316" t="s">
        <v>608</v>
      </c>
      <c r="C87" s="1265">
        <f>+A.4.2!C37+A.4.2!C52</f>
        <v>1753531.3999945787</v>
      </c>
      <c r="D87" s="1265">
        <v>105027763.2026753</v>
      </c>
      <c r="E87" s="1174"/>
    </row>
    <row r="88" spans="2:5" ht="17">
      <c r="B88" s="298"/>
      <c r="C88" s="299"/>
      <c r="D88" s="299"/>
      <c r="E88" s="1048"/>
    </row>
    <row r="89" spans="2:5" ht="12.75" customHeight="1">
      <c r="B89" s="396" t="s">
        <v>754</v>
      </c>
      <c r="C89" s="334">
        <f>+C16-C87</f>
        <v>321311086.85806394</v>
      </c>
      <c r="D89" s="334">
        <f>+D16-D87</f>
        <v>19244927547.363747</v>
      </c>
      <c r="E89" s="1174"/>
    </row>
    <row r="90" spans="2:5" ht="16" thickBot="1">
      <c r="B90" s="300"/>
      <c r="C90" s="301"/>
      <c r="D90" s="301"/>
      <c r="E90" s="1174"/>
    </row>
    <row r="91" spans="2:5" s="302" customFormat="1" ht="12.75" customHeight="1" thickTop="1">
      <c r="B91" s="303"/>
      <c r="C91" s="304"/>
      <c r="D91" s="305"/>
      <c r="E91" s="1048"/>
    </row>
    <row r="92" spans="2:5" ht="12.75" customHeight="1">
      <c r="B92" s="1357" t="s">
        <v>568</v>
      </c>
      <c r="C92" s="1357"/>
      <c r="D92" s="1357"/>
      <c r="E92" s="1048"/>
    </row>
    <row r="93" spans="2:5" ht="12.75" customHeight="1">
      <c r="B93" s="1357" t="s">
        <v>694</v>
      </c>
      <c r="C93" s="1357"/>
      <c r="D93" s="1357"/>
      <c r="E93" s="1048"/>
    </row>
    <row r="94" spans="2:5" ht="30.75" customHeight="1">
      <c r="B94" s="1357" t="s">
        <v>693</v>
      </c>
      <c r="C94" s="1357"/>
      <c r="D94" s="1357"/>
      <c r="E94" s="1048"/>
    </row>
    <row r="95" spans="2:5" ht="12.75" customHeight="1">
      <c r="B95" s="1357" t="s">
        <v>691</v>
      </c>
      <c r="C95" s="1357"/>
      <c r="D95" s="1357"/>
      <c r="E95" s="1048"/>
    </row>
    <row r="96" spans="2:5" ht="25.5" customHeight="1">
      <c r="B96" s="1357" t="s">
        <v>615</v>
      </c>
      <c r="C96" s="1357"/>
      <c r="D96" s="1357"/>
      <c r="E96" s="1048"/>
    </row>
    <row r="97" spans="2:5" ht="12.75" customHeight="1">
      <c r="B97" s="1357" t="s">
        <v>692</v>
      </c>
      <c r="C97" s="1357"/>
      <c r="D97" s="1357"/>
      <c r="E97" s="1048"/>
    </row>
    <row r="98" spans="2:5" ht="12.75" customHeight="1">
      <c r="B98" s="1357"/>
      <c r="C98" s="1357"/>
      <c r="D98" s="1357"/>
      <c r="E98" s="1048"/>
    </row>
    <row r="99" spans="2:5">
      <c r="E99" s="1048"/>
    </row>
    <row r="100" spans="2:5">
      <c r="E100" s="1048"/>
    </row>
    <row r="101" spans="2:5">
      <c r="E101" s="1048"/>
    </row>
    <row r="102" spans="2:5">
      <c r="E102" s="1048"/>
    </row>
    <row r="103" spans="2:5">
      <c r="E103" s="1048"/>
    </row>
    <row r="104" spans="2:5">
      <c r="E104" s="1048"/>
    </row>
    <row r="105" spans="2:5">
      <c r="E105" s="1048"/>
    </row>
    <row r="106" spans="2:5">
      <c r="E106" s="1048"/>
    </row>
    <row r="107" spans="2:5">
      <c r="E107" s="1048"/>
    </row>
    <row r="108" spans="2:5">
      <c r="E108" s="1048"/>
    </row>
    <row r="109" spans="2:5">
      <c r="E109" s="1048"/>
    </row>
    <row r="110" spans="2:5">
      <c r="E110" s="1048"/>
    </row>
    <row r="111" spans="2:5">
      <c r="E111" s="1048"/>
    </row>
    <row r="112" spans="2:5">
      <c r="E112" s="1048"/>
    </row>
    <row r="113" spans="5:5">
      <c r="E113" s="1048"/>
    </row>
    <row r="114" spans="5:5">
      <c r="E114" s="1048"/>
    </row>
    <row r="115" spans="5:5">
      <c r="E115" s="1048"/>
    </row>
    <row r="116" spans="5:5">
      <c r="E116" s="1048"/>
    </row>
    <row r="117" spans="5:5">
      <c r="E117" s="1048"/>
    </row>
    <row r="118" spans="5:5">
      <c r="E118" s="1048"/>
    </row>
    <row r="119" spans="5:5">
      <c r="E119" s="1048"/>
    </row>
    <row r="120" spans="5:5">
      <c r="E120" s="1048"/>
    </row>
    <row r="121" spans="5:5">
      <c r="E121" s="1048"/>
    </row>
    <row r="122" spans="5:5">
      <c r="E122" s="1048"/>
    </row>
    <row r="123" spans="5:5">
      <c r="E123" s="1048"/>
    </row>
    <row r="124" spans="5:5">
      <c r="E124" s="1048"/>
    </row>
    <row r="125" spans="5:5">
      <c r="E125" s="1048"/>
    </row>
    <row r="126" spans="5:5">
      <c r="E126" s="1048"/>
    </row>
    <row r="127" spans="5:5">
      <c r="E127" s="1048"/>
    </row>
    <row r="128" spans="5:5">
      <c r="E128" s="1048"/>
    </row>
    <row r="129" spans="5:5">
      <c r="E129" s="1048"/>
    </row>
    <row r="130" spans="5:5">
      <c r="E130" s="1048"/>
    </row>
    <row r="131" spans="5:5">
      <c r="E131" s="1048"/>
    </row>
    <row r="132" spans="5:5">
      <c r="E132" s="1048"/>
    </row>
    <row r="133" spans="5:5">
      <c r="E133" s="1048"/>
    </row>
    <row r="134" spans="5:5">
      <c r="E134" s="1048"/>
    </row>
    <row r="135" spans="5:5">
      <c r="E135" s="1048"/>
    </row>
    <row r="136" spans="5:5">
      <c r="E136" s="1048"/>
    </row>
    <row r="137" spans="5:5">
      <c r="E137" s="1048"/>
    </row>
    <row r="138" spans="5:5">
      <c r="E138" s="1048"/>
    </row>
    <row r="139" spans="5:5">
      <c r="E139" s="1048"/>
    </row>
    <row r="140" spans="5:5">
      <c r="E140" s="1048"/>
    </row>
    <row r="141" spans="5:5">
      <c r="E141" s="1048"/>
    </row>
    <row r="142" spans="5:5">
      <c r="E142" s="1048"/>
    </row>
    <row r="143" spans="5:5">
      <c r="E143" s="1048"/>
    </row>
    <row r="144" spans="5:5">
      <c r="E144" s="1048"/>
    </row>
    <row r="145" spans="5:5">
      <c r="E145" s="1048"/>
    </row>
    <row r="146" spans="5:5">
      <c r="E146" s="1048"/>
    </row>
    <row r="147" spans="5:5">
      <c r="E147" s="1048"/>
    </row>
    <row r="148" spans="5:5">
      <c r="E148" s="1048"/>
    </row>
    <row r="149" spans="5:5">
      <c r="E149" s="1048"/>
    </row>
    <row r="150" spans="5:5">
      <c r="E150" s="1048"/>
    </row>
  </sheetData>
  <mergeCells count="9">
    <mergeCell ref="B98:D98"/>
    <mergeCell ref="B6:D6"/>
    <mergeCell ref="B7:D7"/>
    <mergeCell ref="B93:D93"/>
    <mergeCell ref="B96:D96"/>
    <mergeCell ref="B97:D97"/>
    <mergeCell ref="B95:D95"/>
    <mergeCell ref="B94:D94"/>
    <mergeCell ref="B92:D9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sheetPr>
    <tabColor theme="3" tint="0.79998168889431442"/>
    <pageSetUpPr fitToPage="1"/>
  </sheetPr>
  <dimension ref="A1:J216"/>
  <sheetViews>
    <sheetView showGridLines="0" zoomScaleNormal="100" zoomScaleSheetLayoutView="85" workbookViewId="0"/>
  </sheetViews>
  <sheetFormatPr baseColWidth="10" defaultColWidth="11.453125" defaultRowHeight="13"/>
  <cols>
    <col min="1" max="1" width="6.81640625" style="5" customWidth="1"/>
    <col min="2" max="2" width="62.1796875" style="15" customWidth="1"/>
    <col min="3" max="3" width="23.1796875" style="15" customWidth="1"/>
    <col min="4" max="4" width="17.453125" style="122" bestFit="1" customWidth="1"/>
    <col min="5" max="10" width="11.453125" style="122"/>
    <col min="11" max="16384" width="11.453125" style="15"/>
  </cols>
  <sheetData>
    <row r="1" spans="1:10" ht="14.5">
      <c r="A1" s="738" t="s">
        <v>219</v>
      </c>
      <c r="B1" s="42"/>
      <c r="C1" s="5"/>
      <c r="D1" s="15"/>
      <c r="E1" s="15"/>
      <c r="F1" s="15"/>
      <c r="G1" s="15"/>
      <c r="H1" s="15"/>
      <c r="I1" s="15"/>
      <c r="J1" s="15"/>
    </row>
    <row r="2" spans="1:10" ht="15" customHeight="1">
      <c r="A2" s="738"/>
      <c r="B2" s="386" t="str">
        <f>+INDICE!B2</f>
        <v>MINISTERIO DE ECONOMÍA</v>
      </c>
      <c r="C2" s="7"/>
      <c r="D2" s="15"/>
      <c r="E2" s="15"/>
      <c r="F2" s="15"/>
      <c r="G2" s="15"/>
      <c r="H2" s="15"/>
      <c r="I2" s="15"/>
      <c r="J2" s="15"/>
    </row>
    <row r="3" spans="1:10" ht="15" customHeight="1">
      <c r="A3" s="42"/>
      <c r="B3" s="270" t="s">
        <v>304</v>
      </c>
      <c r="C3" s="5"/>
      <c r="D3" s="15"/>
      <c r="E3" s="15"/>
      <c r="F3" s="15"/>
      <c r="G3" s="15"/>
      <c r="H3" s="15"/>
      <c r="I3" s="15"/>
      <c r="J3" s="15"/>
    </row>
    <row r="4" spans="1:10" s="421" customFormat="1" ht="12">
      <c r="A4" s="35"/>
      <c r="B4" s="382"/>
      <c r="C4" s="420"/>
    </row>
    <row r="5" spans="1:10" s="421" customFormat="1" ht="12">
      <c r="A5" s="35"/>
      <c r="B5" s="35"/>
      <c r="C5" s="35"/>
    </row>
    <row r="6" spans="1:10" ht="17">
      <c r="B6" s="1358" t="s">
        <v>773</v>
      </c>
      <c r="C6" s="1358"/>
      <c r="D6" s="15"/>
      <c r="E6" s="15"/>
      <c r="F6" s="15"/>
      <c r="G6" s="15"/>
      <c r="H6" s="15"/>
      <c r="I6" s="15"/>
      <c r="J6" s="15"/>
    </row>
    <row r="7" spans="1:10" ht="15.5">
      <c r="B7" s="1359" t="s">
        <v>739</v>
      </c>
      <c r="C7" s="1359"/>
      <c r="D7" s="15"/>
      <c r="E7" s="15"/>
      <c r="F7" s="15"/>
      <c r="G7" s="15"/>
      <c r="H7" s="15"/>
      <c r="I7" s="15"/>
      <c r="J7" s="15"/>
    </row>
    <row r="8" spans="1:10" s="421" customFormat="1" ht="12">
      <c r="A8" s="35"/>
      <c r="B8" s="35"/>
      <c r="C8" s="35"/>
    </row>
    <row r="9" spans="1:10" s="421" customFormat="1" ht="12">
      <c r="A9" s="35"/>
      <c r="B9" s="420"/>
      <c r="C9" s="420"/>
    </row>
    <row r="10" spans="1:10" ht="13.5" thickBot="1">
      <c r="B10" s="269" t="s">
        <v>887</v>
      </c>
      <c r="C10" s="5"/>
      <c r="D10" s="15"/>
      <c r="E10" s="15"/>
      <c r="F10" s="15"/>
      <c r="G10" s="15"/>
      <c r="H10" s="15"/>
      <c r="I10" s="15"/>
      <c r="J10" s="15"/>
    </row>
    <row r="11" spans="1:10" ht="15.5" thickTop="1" thickBot="1">
      <c r="B11" s="254"/>
      <c r="C11" s="411" t="s">
        <v>274</v>
      </c>
      <c r="D11" s="15"/>
      <c r="E11" s="15"/>
      <c r="F11" s="15"/>
      <c r="G11" s="15"/>
      <c r="H11" s="15"/>
      <c r="I11" s="15"/>
      <c r="J11" s="15"/>
    </row>
    <row r="12" spans="1:10" ht="13.5" thickTop="1">
      <c r="B12" s="57"/>
      <c r="C12" s="160"/>
      <c r="D12" s="15"/>
      <c r="E12" s="15"/>
      <c r="F12" s="15"/>
      <c r="G12" s="15"/>
      <c r="H12" s="15"/>
      <c r="I12" s="15"/>
      <c r="J12" s="15"/>
    </row>
    <row r="13" spans="1:10" ht="15.5">
      <c r="B13" s="396" t="s">
        <v>750</v>
      </c>
      <c r="C13" s="397">
        <f>+C16+C47</f>
        <v>323064618.25805855</v>
      </c>
      <c r="D13" s="63"/>
      <c r="E13" s="1068"/>
      <c r="F13" s="15"/>
      <c r="G13" s="15"/>
      <c r="H13" s="15"/>
      <c r="I13" s="15"/>
      <c r="J13" s="15"/>
    </row>
    <row r="14" spans="1:10" ht="13.5" thickBot="1">
      <c r="B14" s="13"/>
      <c r="C14" s="62"/>
      <c r="D14" s="15"/>
      <c r="E14" s="402"/>
      <c r="F14" s="15"/>
      <c r="G14" s="15"/>
      <c r="H14" s="15"/>
      <c r="I14" s="15"/>
      <c r="J14" s="15"/>
    </row>
    <row r="15" spans="1:10" ht="13.5" thickTop="1">
      <c r="B15" s="146"/>
      <c r="C15" s="255"/>
      <c r="D15" s="15"/>
      <c r="E15" s="402"/>
      <c r="F15" s="15"/>
      <c r="G15" s="15"/>
      <c r="H15" s="15"/>
      <c r="I15" s="15"/>
      <c r="J15" s="15"/>
    </row>
    <row r="16" spans="1:10" ht="15.5">
      <c r="A16" s="15"/>
      <c r="B16" s="396" t="s">
        <v>349</v>
      </c>
      <c r="C16" s="334">
        <f>+C18+C29+C36+C41</f>
        <v>311763838.93738592</v>
      </c>
      <c r="D16" s="63"/>
      <c r="E16" s="15"/>
      <c r="F16" s="15"/>
      <c r="G16" s="15"/>
      <c r="H16" s="15"/>
      <c r="I16" s="15"/>
      <c r="J16" s="15"/>
    </row>
    <row r="17" spans="1:10">
      <c r="A17" s="15"/>
      <c r="B17" s="146"/>
      <c r="C17" s="49"/>
      <c r="D17" s="63"/>
      <c r="E17" s="15"/>
      <c r="F17" s="15"/>
      <c r="G17" s="15"/>
      <c r="H17" s="15"/>
      <c r="I17" s="15"/>
      <c r="J17" s="15"/>
    </row>
    <row r="18" spans="1:10" ht="14.5">
      <c r="A18" s="15"/>
      <c r="B18" s="479" t="s">
        <v>88</v>
      </c>
      <c r="C18" s="481">
        <f>SUM(C20:C27)</f>
        <v>289859945.62421548</v>
      </c>
      <c r="D18" s="63"/>
      <c r="E18" s="15"/>
      <c r="F18" s="15"/>
      <c r="G18" s="15"/>
      <c r="H18" s="15"/>
      <c r="I18" s="15"/>
      <c r="J18" s="15"/>
    </row>
    <row r="19" spans="1:10">
      <c r="A19" s="15"/>
      <c r="B19" s="146"/>
      <c r="C19" s="164"/>
      <c r="D19" s="63"/>
      <c r="E19" s="15"/>
      <c r="F19" s="15"/>
      <c r="G19" s="15"/>
      <c r="H19" s="15"/>
      <c r="I19" s="15"/>
      <c r="J19" s="15"/>
    </row>
    <row r="20" spans="1:10">
      <c r="A20" s="15"/>
      <c r="B20" s="279" t="s">
        <v>89</v>
      </c>
      <c r="C20" s="285">
        <v>194152809.9513444</v>
      </c>
      <c r="D20" s="63"/>
      <c r="E20" s="15"/>
      <c r="F20" s="15"/>
      <c r="G20" s="15"/>
      <c r="H20" s="15"/>
      <c r="I20" s="15"/>
      <c r="J20" s="15"/>
    </row>
    <row r="21" spans="1:10">
      <c r="A21" s="15"/>
      <c r="B21" s="279" t="s">
        <v>544</v>
      </c>
      <c r="C21" s="285">
        <v>640325.04701061919</v>
      </c>
      <c r="D21" s="63"/>
      <c r="E21" s="15"/>
      <c r="F21" s="15"/>
      <c r="G21" s="15"/>
      <c r="H21" s="15"/>
      <c r="I21" s="15"/>
      <c r="J21" s="15"/>
    </row>
    <row r="22" spans="1:10">
      <c r="A22" s="15"/>
      <c r="B22" s="279" t="s">
        <v>90</v>
      </c>
      <c r="C22" s="392">
        <v>66549765.676143169</v>
      </c>
      <c r="D22" s="63"/>
      <c r="E22" s="15"/>
      <c r="F22" s="15"/>
      <c r="G22" s="15"/>
      <c r="H22" s="15"/>
      <c r="I22" s="15"/>
      <c r="J22" s="15"/>
    </row>
    <row r="23" spans="1:10">
      <c r="A23" s="15"/>
      <c r="B23" s="279" t="s">
        <v>91</v>
      </c>
      <c r="C23" s="392">
        <v>5350516.8160132021</v>
      </c>
      <c r="D23" s="63"/>
      <c r="E23" s="15"/>
      <c r="F23" s="15"/>
      <c r="G23" s="15"/>
      <c r="H23" s="15"/>
      <c r="I23" s="15"/>
      <c r="J23" s="15"/>
    </row>
    <row r="24" spans="1:10">
      <c r="A24" s="15"/>
      <c r="B24" s="279" t="s">
        <v>92</v>
      </c>
      <c r="C24" s="285">
        <v>2247237.6571517596</v>
      </c>
      <c r="D24" s="63"/>
      <c r="E24" s="15"/>
      <c r="F24" s="15"/>
      <c r="G24" s="15"/>
      <c r="H24" s="15"/>
      <c r="I24" s="15"/>
      <c r="J24" s="15"/>
    </row>
    <row r="25" spans="1:10">
      <c r="A25" s="15"/>
      <c r="B25" s="279" t="s">
        <v>93</v>
      </c>
      <c r="C25" s="285">
        <v>4841806.4946990572</v>
      </c>
      <c r="D25" s="63"/>
      <c r="E25" s="15"/>
      <c r="F25" s="15"/>
      <c r="G25" s="15"/>
      <c r="H25" s="15"/>
      <c r="I25" s="15"/>
      <c r="J25" s="15"/>
    </row>
    <row r="26" spans="1:10">
      <c r="A26" s="15"/>
      <c r="B26" s="279" t="s">
        <v>94</v>
      </c>
      <c r="C26" s="285">
        <v>15745290.023362167</v>
      </c>
      <c r="D26" s="63"/>
      <c r="E26" s="15"/>
      <c r="F26" s="15"/>
      <c r="G26" s="15"/>
      <c r="H26" s="15"/>
      <c r="I26" s="15"/>
      <c r="J26" s="15"/>
    </row>
    <row r="27" spans="1:10">
      <c r="A27" s="15"/>
      <c r="B27" s="279" t="s">
        <v>84</v>
      </c>
      <c r="C27" s="285">
        <v>332193.95849106344</v>
      </c>
      <c r="D27" s="63"/>
      <c r="E27" s="15"/>
      <c r="F27" s="15"/>
      <c r="G27" s="15"/>
      <c r="H27" s="15"/>
      <c r="I27" s="15"/>
      <c r="J27" s="15"/>
    </row>
    <row r="28" spans="1:10">
      <c r="A28" s="15"/>
      <c r="B28" s="146"/>
      <c r="C28" s="161"/>
      <c r="D28" s="63"/>
      <c r="E28" s="15"/>
      <c r="F28" s="15"/>
      <c r="G28" s="15"/>
      <c r="H28" s="15"/>
      <c r="I28" s="15"/>
      <c r="J28" s="15"/>
    </row>
    <row r="29" spans="1:10" ht="14.5">
      <c r="A29" s="15"/>
      <c r="B29" s="479" t="s">
        <v>543</v>
      </c>
      <c r="C29" s="480">
        <f>SUM(C31:C35)</f>
        <v>19364728.558999468</v>
      </c>
      <c r="D29" s="63"/>
      <c r="E29" s="15"/>
      <c r="F29" s="15"/>
      <c r="G29" s="15"/>
      <c r="H29" s="15"/>
      <c r="I29" s="15"/>
      <c r="J29" s="15"/>
    </row>
    <row r="30" spans="1:10">
      <c r="A30" s="15"/>
      <c r="B30" s="256"/>
      <c r="C30" s="164"/>
      <c r="D30" s="63"/>
      <c r="E30" s="15"/>
      <c r="F30" s="15"/>
      <c r="G30" s="15"/>
      <c r="H30" s="15"/>
      <c r="I30" s="15"/>
      <c r="J30" s="15"/>
    </row>
    <row r="31" spans="1:10">
      <c r="A31" s="15"/>
      <c r="B31" s="279" t="s">
        <v>93</v>
      </c>
      <c r="C31" s="285">
        <v>9395275.0646965522</v>
      </c>
      <c r="D31" s="63"/>
      <c r="E31" s="15"/>
      <c r="F31" s="15"/>
      <c r="G31" s="15"/>
      <c r="H31" s="15"/>
      <c r="I31" s="15"/>
      <c r="J31" s="15"/>
    </row>
    <row r="32" spans="1:10">
      <c r="B32" s="279" t="s">
        <v>94</v>
      </c>
      <c r="C32" s="285">
        <v>8177985.0912642637</v>
      </c>
      <c r="D32" s="63"/>
    </row>
    <row r="33" spans="1:10">
      <c r="B33" s="279" t="s">
        <v>84</v>
      </c>
      <c r="C33" s="1083">
        <v>1290591.8691042657</v>
      </c>
      <c r="D33" s="1068"/>
    </row>
    <row r="34" spans="1:10">
      <c r="B34" s="279" t="s">
        <v>92</v>
      </c>
      <c r="C34" s="1083">
        <v>500876.53393438511</v>
      </c>
      <c r="D34" s="1068"/>
    </row>
    <row r="35" spans="1:10">
      <c r="B35" s="146"/>
      <c r="C35" s="169"/>
      <c r="D35" s="63"/>
    </row>
    <row r="36" spans="1:10" ht="14.5">
      <c r="A36" s="15"/>
      <c r="B36" s="479" t="s">
        <v>757</v>
      </c>
      <c r="C36" s="480">
        <f>+C38+C39</f>
        <v>103955.2346598757</v>
      </c>
      <c r="D36" s="63"/>
      <c r="E36" s="15"/>
      <c r="F36" s="15"/>
      <c r="G36" s="15"/>
      <c r="H36" s="15"/>
      <c r="I36" s="15"/>
      <c r="J36" s="15"/>
    </row>
    <row r="37" spans="1:10">
      <c r="A37" s="15"/>
      <c r="B37" s="256"/>
      <c r="C37" s="164"/>
      <c r="D37" s="63"/>
      <c r="E37" s="15"/>
      <c r="F37" s="15"/>
      <c r="G37" s="15"/>
      <c r="H37" s="15"/>
      <c r="I37" s="15"/>
      <c r="J37" s="15"/>
    </row>
    <row r="38" spans="1:10">
      <c r="A38" s="15"/>
      <c r="B38" s="279" t="s">
        <v>391</v>
      </c>
      <c r="C38" s="482">
        <v>95681.181455170779</v>
      </c>
      <c r="D38" s="63"/>
      <c r="E38" s="15"/>
      <c r="F38" s="15"/>
      <c r="G38" s="15"/>
      <c r="H38" s="15"/>
      <c r="I38" s="15"/>
      <c r="J38" s="15"/>
    </row>
    <row r="39" spans="1:10">
      <c r="A39" s="15"/>
      <c r="B39" s="279" t="s">
        <v>505</v>
      </c>
      <c r="C39" s="392">
        <v>8274.0532047049255</v>
      </c>
      <c r="D39" s="63"/>
      <c r="E39" s="15"/>
      <c r="F39" s="15"/>
      <c r="G39" s="15"/>
      <c r="H39" s="15"/>
      <c r="I39" s="15"/>
      <c r="J39" s="15"/>
    </row>
    <row r="40" spans="1:10">
      <c r="A40" s="15"/>
      <c r="B40" s="165"/>
      <c r="C40" s="161"/>
      <c r="D40" s="63"/>
      <c r="E40" s="15"/>
      <c r="F40" s="15"/>
      <c r="G40" s="15"/>
      <c r="H40" s="15"/>
      <c r="I40" s="15"/>
      <c r="J40" s="15"/>
    </row>
    <row r="41" spans="1:10" ht="14.5">
      <c r="A41" s="15"/>
      <c r="B41" s="479" t="s">
        <v>610</v>
      </c>
      <c r="C41" s="480">
        <f>+C43+C44+C45</f>
        <v>2435209.5195111227</v>
      </c>
      <c r="D41" s="63"/>
      <c r="E41" s="15"/>
      <c r="F41" s="15"/>
      <c r="G41" s="15"/>
      <c r="H41" s="15"/>
      <c r="I41" s="15"/>
      <c r="J41" s="15"/>
    </row>
    <row r="42" spans="1:10">
      <c r="A42" s="15"/>
      <c r="B42" s="256"/>
      <c r="C42" s="164"/>
      <c r="D42" s="63"/>
      <c r="E42" s="15"/>
      <c r="F42" s="15"/>
      <c r="G42" s="15"/>
      <c r="H42" s="15"/>
      <c r="I42" s="15"/>
      <c r="J42" s="15"/>
    </row>
    <row r="43" spans="1:10">
      <c r="A43" s="15"/>
      <c r="B43" s="279" t="s">
        <v>391</v>
      </c>
      <c r="C43" s="395">
        <v>1058079.7299730589</v>
      </c>
      <c r="D43" s="63"/>
      <c r="E43" s="15"/>
      <c r="F43" s="15"/>
      <c r="G43" s="15"/>
      <c r="H43" s="15"/>
      <c r="I43" s="15"/>
      <c r="J43" s="15"/>
    </row>
    <row r="44" spans="1:10">
      <c r="A44" s="15"/>
      <c r="B44" s="279" t="s">
        <v>547</v>
      </c>
      <c r="C44" s="395">
        <v>863857.57424961263</v>
      </c>
      <c r="D44" s="63"/>
      <c r="E44" s="15"/>
      <c r="F44" s="15"/>
      <c r="G44" s="15"/>
      <c r="H44" s="15"/>
      <c r="I44" s="15"/>
      <c r="J44" s="15"/>
    </row>
    <row r="45" spans="1:10">
      <c r="A45" s="15"/>
      <c r="B45" s="279" t="s">
        <v>685</v>
      </c>
      <c r="C45" s="395">
        <v>513272.21528845129</v>
      </c>
      <c r="D45" s="63"/>
      <c r="E45" s="15"/>
      <c r="F45" s="15"/>
      <c r="G45" s="15"/>
      <c r="H45" s="15"/>
      <c r="I45" s="15"/>
      <c r="J45" s="15"/>
    </row>
    <row r="46" spans="1:10">
      <c r="A46" s="15"/>
      <c r="B46" s="165"/>
      <c r="C46" s="161"/>
      <c r="D46" s="63"/>
      <c r="E46" s="15"/>
      <c r="F46" s="15"/>
      <c r="G46" s="15"/>
      <c r="H46" s="15"/>
      <c r="I46" s="15"/>
      <c r="J46" s="15"/>
    </row>
    <row r="47" spans="1:10" ht="15.5">
      <c r="A47" s="15"/>
      <c r="B47" s="316" t="s">
        <v>350</v>
      </c>
      <c r="C47" s="478">
        <f>+C49</f>
        <v>11300779.320672646</v>
      </c>
      <c r="D47" s="63"/>
      <c r="E47" s="15"/>
      <c r="F47" s="15"/>
      <c r="G47" s="15"/>
      <c r="H47" s="15"/>
      <c r="I47" s="15"/>
      <c r="J47" s="15"/>
    </row>
    <row r="48" spans="1:10" ht="15.5">
      <c r="A48" s="15"/>
      <c r="B48" s="257"/>
      <c r="C48" s="258"/>
      <c r="D48" s="63"/>
      <c r="E48" s="15"/>
      <c r="F48" s="15"/>
      <c r="G48" s="15"/>
      <c r="H48" s="15"/>
      <c r="I48" s="15"/>
      <c r="J48" s="15"/>
    </row>
    <row r="49" spans="1:10" ht="14.5">
      <c r="A49" s="15"/>
      <c r="B49" s="479" t="s">
        <v>392</v>
      </c>
      <c r="C49" s="480">
        <f>SUM(C51:C53)</f>
        <v>11300779.320672646</v>
      </c>
      <c r="D49" s="63"/>
      <c r="E49" s="15"/>
      <c r="F49" s="15"/>
      <c r="G49" s="15"/>
      <c r="H49" s="15"/>
      <c r="I49" s="15"/>
      <c r="J49" s="15"/>
    </row>
    <row r="50" spans="1:10">
      <c r="A50" s="15"/>
      <c r="B50" s="256"/>
      <c r="C50" s="164"/>
      <c r="D50" s="63"/>
      <c r="E50" s="15"/>
      <c r="F50" s="15"/>
      <c r="G50" s="15"/>
      <c r="H50" s="15"/>
      <c r="I50" s="15"/>
      <c r="J50" s="15"/>
    </row>
    <row r="51" spans="1:10">
      <c r="A51" s="15"/>
      <c r="B51" s="279" t="s">
        <v>354</v>
      </c>
      <c r="C51" s="285">
        <v>2396978.5928329937</v>
      </c>
      <c r="D51" s="63"/>
      <c r="E51" s="15"/>
      <c r="F51" s="15"/>
      <c r="G51" s="15"/>
      <c r="H51" s="15"/>
      <c r="I51" s="15"/>
      <c r="J51" s="15"/>
    </row>
    <row r="52" spans="1:10">
      <c r="A52" s="15"/>
      <c r="B52" s="279" t="s">
        <v>545</v>
      </c>
      <c r="C52" s="285">
        <v>1535361.2778396511</v>
      </c>
      <c r="D52" s="63"/>
      <c r="E52" s="15"/>
      <c r="F52" s="15"/>
      <c r="G52" s="15"/>
      <c r="H52" s="15"/>
      <c r="I52" s="15"/>
      <c r="J52" s="15"/>
    </row>
    <row r="53" spans="1:10">
      <c r="A53" s="15"/>
      <c r="B53" s="279" t="s">
        <v>684</v>
      </c>
      <c r="C53" s="285">
        <v>7368439.4500000002</v>
      </c>
      <c r="D53" s="63"/>
      <c r="E53" s="15"/>
      <c r="F53" s="15"/>
      <c r="G53" s="15"/>
      <c r="H53" s="15"/>
      <c r="I53" s="15"/>
      <c r="J53" s="15"/>
    </row>
    <row r="54" spans="1:10" ht="13.5" thickBot="1">
      <c r="A54" s="15"/>
      <c r="B54" s="259"/>
      <c r="C54" s="260"/>
      <c r="D54" s="780"/>
    </row>
    <row r="55" spans="1:10" ht="13.5" thickTop="1">
      <c r="A55" s="15"/>
      <c r="B55" s="261"/>
      <c r="C55" s="262"/>
      <c r="D55" s="15"/>
    </row>
    <row r="56" spans="1:10">
      <c r="A56" s="15"/>
      <c r="B56" s="263" t="s">
        <v>680</v>
      </c>
      <c r="C56" s="264"/>
      <c r="D56" s="15"/>
    </row>
    <row r="57" spans="1:10">
      <c r="A57" s="15"/>
      <c r="B57" s="265" t="s">
        <v>353</v>
      </c>
      <c r="C57" s="265"/>
      <c r="D57" s="15"/>
    </row>
    <row r="58" spans="1:10" ht="28.5" customHeight="1">
      <c r="A58" s="15"/>
      <c r="B58" s="1362" t="s">
        <v>609</v>
      </c>
      <c r="C58" s="1362"/>
      <c r="D58" s="15"/>
    </row>
    <row r="59" spans="1:10" s="5" customFormat="1" ht="31.5" customHeight="1">
      <c r="B59" s="1360" t="s">
        <v>611</v>
      </c>
      <c r="C59" s="1360"/>
      <c r="D59" s="15"/>
      <c r="E59" s="122"/>
      <c r="F59" s="122"/>
      <c r="G59" s="122"/>
      <c r="H59" s="122"/>
      <c r="I59" s="122"/>
      <c r="J59" s="122"/>
    </row>
    <row r="60" spans="1:10" s="5" customFormat="1" ht="12.75" customHeight="1">
      <c r="B60" s="266"/>
      <c r="C60" s="266"/>
      <c r="D60" s="15"/>
      <c r="E60" s="122"/>
      <c r="F60" s="122"/>
      <c r="G60" s="122"/>
      <c r="H60" s="122"/>
      <c r="I60" s="122"/>
      <c r="J60" s="122"/>
    </row>
    <row r="61" spans="1:10" s="5" customFormat="1">
      <c r="B61" s="1361"/>
      <c r="C61" s="1361"/>
      <c r="D61" s="15"/>
      <c r="E61" s="122"/>
      <c r="F61" s="122"/>
      <c r="G61" s="122"/>
      <c r="H61" s="122"/>
      <c r="I61" s="122"/>
      <c r="J61" s="122"/>
    </row>
    <row r="62" spans="1:10" s="5" customFormat="1">
      <c r="B62" s="1361"/>
      <c r="C62" s="1361"/>
      <c r="D62" s="15"/>
      <c r="E62" s="122"/>
      <c r="F62" s="122"/>
      <c r="G62" s="122"/>
      <c r="H62" s="122"/>
      <c r="I62" s="122"/>
      <c r="J62" s="122"/>
    </row>
    <row r="63" spans="1:10" s="5" customFormat="1">
      <c r="D63" s="15"/>
      <c r="E63" s="122"/>
      <c r="F63" s="122"/>
      <c r="G63" s="122"/>
      <c r="H63" s="122"/>
      <c r="I63" s="122"/>
      <c r="J63" s="122"/>
    </row>
    <row r="64" spans="1:10" s="5" customFormat="1">
      <c r="C64" s="159"/>
      <c r="D64" s="15"/>
      <c r="E64" s="122"/>
      <c r="F64" s="122"/>
      <c r="G64" s="122"/>
      <c r="H64" s="122"/>
      <c r="I64" s="122"/>
      <c r="J64" s="122"/>
    </row>
    <row r="65" spans="3:10" s="5" customFormat="1">
      <c r="C65" s="159"/>
      <c r="D65" s="15"/>
      <c r="E65" s="122"/>
      <c r="F65" s="122"/>
      <c r="G65" s="122"/>
      <c r="H65" s="122"/>
      <c r="I65" s="122"/>
      <c r="J65" s="122"/>
    </row>
    <row r="66" spans="3:10" s="5" customFormat="1">
      <c r="D66" s="15"/>
      <c r="E66" s="122"/>
      <c r="F66" s="122"/>
      <c r="G66" s="122"/>
      <c r="H66" s="122"/>
      <c r="I66" s="122"/>
      <c r="J66" s="122"/>
    </row>
    <row r="67" spans="3:10" s="5" customFormat="1">
      <c r="D67" s="15"/>
      <c r="E67" s="122"/>
      <c r="F67" s="122"/>
      <c r="G67" s="122"/>
      <c r="H67" s="122"/>
      <c r="I67" s="122"/>
      <c r="J67" s="122"/>
    </row>
    <row r="68" spans="3:10" s="5" customFormat="1">
      <c r="D68" s="15"/>
      <c r="E68" s="122"/>
      <c r="F68" s="122"/>
      <c r="G68" s="122"/>
      <c r="H68" s="122"/>
      <c r="I68" s="122"/>
      <c r="J68" s="122"/>
    </row>
    <row r="69" spans="3:10" s="5" customFormat="1">
      <c r="D69" s="15"/>
      <c r="E69" s="122"/>
      <c r="F69" s="122"/>
      <c r="G69" s="122"/>
      <c r="H69" s="122"/>
      <c r="I69" s="122"/>
      <c r="J69" s="122"/>
    </row>
    <row r="70" spans="3:10" s="5" customFormat="1">
      <c r="D70" s="15"/>
      <c r="E70" s="122"/>
      <c r="F70" s="122"/>
      <c r="G70" s="122"/>
      <c r="H70" s="122"/>
      <c r="I70" s="122"/>
      <c r="J70" s="122"/>
    </row>
    <row r="71" spans="3:10" s="5" customFormat="1">
      <c r="D71" s="15"/>
      <c r="E71" s="122"/>
      <c r="F71" s="122"/>
      <c r="G71" s="122"/>
      <c r="H71" s="122"/>
      <c r="I71" s="122"/>
      <c r="J71" s="122"/>
    </row>
    <row r="72" spans="3:10" s="5" customFormat="1">
      <c r="D72" s="15"/>
      <c r="E72" s="122"/>
      <c r="F72" s="122"/>
      <c r="G72" s="122"/>
      <c r="H72" s="122"/>
      <c r="I72" s="122"/>
      <c r="J72" s="122"/>
    </row>
    <row r="73" spans="3:10" s="5" customFormat="1">
      <c r="D73" s="15"/>
      <c r="E73" s="122"/>
      <c r="F73" s="122"/>
      <c r="G73" s="122"/>
      <c r="H73" s="122"/>
      <c r="I73" s="122"/>
      <c r="J73" s="122"/>
    </row>
    <row r="74" spans="3:10" s="5" customFormat="1">
      <c r="D74" s="15"/>
      <c r="E74" s="122"/>
      <c r="F74" s="122"/>
      <c r="G74" s="122"/>
      <c r="H74" s="122"/>
      <c r="I74" s="122"/>
      <c r="J74" s="122"/>
    </row>
    <row r="75" spans="3:10" s="5" customFormat="1">
      <c r="D75" s="15"/>
      <c r="E75" s="122"/>
      <c r="F75" s="122"/>
      <c r="G75" s="122"/>
      <c r="H75" s="122"/>
      <c r="I75" s="122"/>
      <c r="J75" s="122"/>
    </row>
    <row r="76" spans="3:10" s="5" customFormat="1">
      <c r="D76" s="15"/>
      <c r="E76" s="122"/>
      <c r="F76" s="122"/>
      <c r="G76" s="122"/>
      <c r="H76" s="122"/>
      <c r="I76" s="122"/>
      <c r="J76" s="122"/>
    </row>
    <row r="77" spans="3:10" s="5" customFormat="1">
      <c r="D77" s="15"/>
      <c r="E77" s="122"/>
      <c r="F77" s="122"/>
      <c r="G77" s="122"/>
      <c r="H77" s="122"/>
      <c r="I77" s="122"/>
      <c r="J77" s="122"/>
    </row>
    <row r="78" spans="3:10" s="5" customFormat="1">
      <c r="D78" s="15"/>
      <c r="E78" s="122"/>
      <c r="F78" s="122"/>
      <c r="G78" s="122"/>
      <c r="H78" s="122"/>
      <c r="I78" s="122"/>
      <c r="J78" s="122"/>
    </row>
    <row r="79" spans="3:10" s="5" customFormat="1">
      <c r="D79" s="15"/>
      <c r="E79" s="122"/>
      <c r="F79" s="122"/>
      <c r="G79" s="122"/>
      <c r="H79" s="122"/>
      <c r="I79" s="122"/>
      <c r="J79" s="122"/>
    </row>
    <row r="80" spans="3:10" s="5" customFormat="1">
      <c r="D80" s="15"/>
      <c r="E80" s="122"/>
      <c r="F80" s="122"/>
      <c r="G80" s="122"/>
      <c r="H80" s="122"/>
      <c r="I80" s="122"/>
      <c r="J80" s="122"/>
    </row>
    <row r="81" spans="4:10" s="5" customFormat="1">
      <c r="D81" s="122"/>
      <c r="E81" s="122"/>
      <c r="F81" s="122"/>
      <c r="G81" s="122"/>
      <c r="H81" s="122"/>
      <c r="I81" s="122"/>
      <c r="J81" s="122"/>
    </row>
    <row r="82" spans="4:10" s="5" customFormat="1">
      <c r="D82" s="122"/>
      <c r="E82" s="122"/>
      <c r="F82" s="122"/>
      <c r="G82" s="122"/>
      <c r="H82" s="122"/>
      <c r="I82" s="122"/>
      <c r="J82" s="122"/>
    </row>
    <row r="83" spans="4:10" s="5" customFormat="1">
      <c r="D83" s="122"/>
      <c r="E83" s="122"/>
      <c r="F83" s="122"/>
      <c r="G83" s="122"/>
      <c r="H83" s="122"/>
      <c r="I83" s="122"/>
      <c r="J83" s="122"/>
    </row>
    <row r="84" spans="4:10" s="5" customFormat="1">
      <c r="D84" s="122"/>
      <c r="E84" s="122"/>
      <c r="F84" s="122"/>
      <c r="G84" s="122"/>
      <c r="H84" s="122"/>
      <c r="I84" s="122"/>
      <c r="J84" s="122"/>
    </row>
    <row r="85" spans="4:10" s="5" customFormat="1">
      <c r="D85" s="122"/>
      <c r="E85" s="122"/>
      <c r="F85" s="122"/>
      <c r="G85" s="122"/>
      <c r="H85" s="122"/>
      <c r="I85" s="122"/>
      <c r="J85" s="122"/>
    </row>
    <row r="86" spans="4:10" s="5" customFormat="1">
      <c r="D86" s="122"/>
      <c r="E86" s="122"/>
      <c r="F86" s="122"/>
      <c r="G86" s="122"/>
      <c r="H86" s="122"/>
      <c r="I86" s="122"/>
      <c r="J86" s="122"/>
    </row>
    <row r="87" spans="4:10" s="5" customFormat="1">
      <c r="D87" s="122"/>
      <c r="E87" s="122"/>
      <c r="F87" s="122"/>
      <c r="G87" s="122"/>
      <c r="H87" s="122"/>
      <c r="I87" s="122"/>
      <c r="J87" s="122"/>
    </row>
    <row r="88" spans="4:10" s="5" customFormat="1">
      <c r="D88" s="122"/>
      <c r="E88" s="122"/>
      <c r="F88" s="122"/>
      <c r="G88" s="122"/>
      <c r="H88" s="122"/>
      <c r="I88" s="122"/>
      <c r="J88" s="122"/>
    </row>
    <row r="89" spans="4:10" s="5" customFormat="1">
      <c r="D89" s="122"/>
      <c r="E89" s="122"/>
      <c r="F89" s="122"/>
      <c r="G89" s="122"/>
      <c r="H89" s="122"/>
      <c r="I89" s="122"/>
      <c r="J89" s="122"/>
    </row>
    <row r="90" spans="4:10" s="5" customFormat="1">
      <c r="D90" s="122"/>
      <c r="E90" s="122"/>
      <c r="F90" s="122"/>
      <c r="G90" s="122"/>
      <c r="H90" s="122"/>
      <c r="I90" s="122"/>
      <c r="J90" s="122"/>
    </row>
    <row r="91" spans="4:10" s="5" customFormat="1">
      <c r="D91" s="122"/>
      <c r="E91" s="122"/>
      <c r="F91" s="122"/>
      <c r="G91" s="122"/>
      <c r="H91" s="122"/>
      <c r="I91" s="122"/>
      <c r="J91" s="122"/>
    </row>
    <row r="92" spans="4:10" s="5" customFormat="1">
      <c r="D92" s="122"/>
      <c r="E92" s="122"/>
      <c r="F92" s="122"/>
      <c r="G92" s="122"/>
      <c r="H92" s="122"/>
      <c r="I92" s="122"/>
      <c r="J92" s="122"/>
    </row>
    <row r="93" spans="4:10" s="5" customFormat="1">
      <c r="D93" s="122"/>
      <c r="E93" s="122"/>
      <c r="F93" s="122"/>
      <c r="G93" s="122"/>
      <c r="H93" s="122"/>
      <c r="I93" s="122"/>
      <c r="J93" s="122"/>
    </row>
    <row r="94" spans="4:10" s="5" customFormat="1">
      <c r="D94" s="122"/>
      <c r="E94" s="122"/>
      <c r="F94" s="122"/>
      <c r="G94" s="122"/>
      <c r="H94" s="122"/>
      <c r="I94" s="122"/>
      <c r="J94" s="122"/>
    </row>
    <row r="95" spans="4:10" s="5" customFormat="1">
      <c r="D95" s="122"/>
      <c r="E95" s="122"/>
      <c r="F95" s="122"/>
      <c r="G95" s="122"/>
      <c r="H95" s="122"/>
      <c r="I95" s="122"/>
      <c r="J95" s="122"/>
    </row>
    <row r="96" spans="4:10" s="5" customFormat="1">
      <c r="D96" s="122"/>
      <c r="E96" s="122"/>
      <c r="F96" s="122"/>
      <c r="G96" s="122"/>
      <c r="H96" s="122"/>
      <c r="I96" s="122"/>
      <c r="J96" s="122"/>
    </row>
    <row r="97" spans="4:10" s="5" customFormat="1">
      <c r="D97" s="122"/>
      <c r="E97" s="122"/>
      <c r="F97" s="122"/>
      <c r="G97" s="122"/>
      <c r="H97" s="122"/>
      <c r="I97" s="122"/>
      <c r="J97" s="122"/>
    </row>
    <row r="98" spans="4:10" s="5" customFormat="1">
      <c r="D98" s="122"/>
      <c r="E98" s="122"/>
      <c r="F98" s="122"/>
      <c r="G98" s="122"/>
      <c r="H98" s="122"/>
      <c r="I98" s="122"/>
      <c r="J98" s="122"/>
    </row>
    <row r="99" spans="4:10" s="5" customFormat="1">
      <c r="D99" s="122"/>
      <c r="E99" s="122"/>
      <c r="F99" s="122"/>
      <c r="G99" s="122"/>
      <c r="H99" s="122"/>
      <c r="I99" s="122"/>
      <c r="J99" s="122"/>
    </row>
    <row r="100" spans="4:10" s="5" customFormat="1">
      <c r="D100" s="122"/>
      <c r="E100" s="122"/>
      <c r="F100" s="122"/>
      <c r="G100" s="122"/>
      <c r="H100" s="122"/>
      <c r="I100" s="122"/>
      <c r="J100" s="122"/>
    </row>
    <row r="101" spans="4:10" s="5" customFormat="1">
      <c r="D101" s="122"/>
      <c r="E101" s="122"/>
      <c r="F101" s="122"/>
      <c r="G101" s="122"/>
      <c r="H101" s="122"/>
      <c r="I101" s="122"/>
      <c r="J101" s="122"/>
    </row>
    <row r="102" spans="4:10" s="5" customFormat="1">
      <c r="D102" s="122"/>
      <c r="E102" s="122"/>
      <c r="F102" s="122"/>
      <c r="G102" s="122"/>
      <c r="H102" s="122"/>
      <c r="I102" s="122"/>
      <c r="J102" s="122"/>
    </row>
    <row r="103" spans="4:10" s="5" customFormat="1">
      <c r="D103" s="122"/>
      <c r="E103" s="122"/>
      <c r="F103" s="122"/>
      <c r="G103" s="122"/>
      <c r="H103" s="122"/>
      <c r="I103" s="122"/>
      <c r="J103" s="122"/>
    </row>
    <row r="104" spans="4:10" s="5" customFormat="1">
      <c r="D104" s="122"/>
      <c r="E104" s="122"/>
      <c r="F104" s="122"/>
      <c r="G104" s="122"/>
      <c r="H104" s="122"/>
      <c r="I104" s="122"/>
      <c r="J104" s="122"/>
    </row>
    <row r="105" spans="4:10" s="5" customFormat="1">
      <c r="D105" s="122"/>
      <c r="E105" s="122"/>
      <c r="F105" s="122"/>
      <c r="G105" s="122"/>
      <c r="H105" s="122"/>
      <c r="I105" s="122"/>
      <c r="J105" s="122"/>
    </row>
    <row r="106" spans="4:10" s="5" customFormat="1">
      <c r="D106" s="122"/>
      <c r="E106" s="122"/>
      <c r="F106" s="122"/>
      <c r="G106" s="122"/>
      <c r="H106" s="122"/>
      <c r="I106" s="122"/>
      <c r="J106" s="122"/>
    </row>
    <row r="107" spans="4:10" s="5" customFormat="1">
      <c r="D107" s="122"/>
      <c r="E107" s="122"/>
      <c r="F107" s="122"/>
      <c r="G107" s="122"/>
      <c r="H107" s="122"/>
      <c r="I107" s="122"/>
      <c r="J107" s="122"/>
    </row>
    <row r="108" spans="4:10" s="5" customFormat="1">
      <c r="D108" s="122"/>
      <c r="E108" s="122"/>
      <c r="F108" s="122"/>
      <c r="G108" s="122"/>
      <c r="H108" s="122"/>
      <c r="I108" s="122"/>
      <c r="J108" s="122"/>
    </row>
    <row r="109" spans="4:10" s="5" customFormat="1">
      <c r="D109" s="122"/>
      <c r="E109" s="122"/>
      <c r="F109" s="122"/>
      <c r="G109" s="122"/>
      <c r="H109" s="122"/>
      <c r="I109" s="122"/>
      <c r="J109" s="122"/>
    </row>
    <row r="110" spans="4:10" s="5" customFormat="1">
      <c r="D110" s="122"/>
      <c r="E110" s="122"/>
      <c r="F110" s="122"/>
      <c r="G110" s="122"/>
      <c r="H110" s="122"/>
      <c r="I110" s="122"/>
      <c r="J110" s="122"/>
    </row>
    <row r="111" spans="4:10" s="5" customFormat="1">
      <c r="D111" s="122"/>
      <c r="E111" s="122"/>
      <c r="F111" s="122"/>
      <c r="G111" s="122"/>
      <c r="H111" s="122"/>
      <c r="I111" s="122"/>
      <c r="J111" s="122"/>
    </row>
    <row r="112" spans="4:10" s="5" customFormat="1">
      <c r="D112" s="122"/>
      <c r="E112" s="122"/>
      <c r="F112" s="122"/>
      <c r="G112" s="122"/>
      <c r="H112" s="122"/>
      <c r="I112" s="122"/>
      <c r="J112" s="122"/>
    </row>
    <row r="113" spans="4:10" s="5" customFormat="1">
      <c r="D113" s="122"/>
      <c r="E113" s="122"/>
      <c r="F113" s="122"/>
      <c r="G113" s="122"/>
      <c r="H113" s="122"/>
      <c r="I113" s="122"/>
      <c r="J113" s="122"/>
    </row>
    <row r="114" spans="4:10" s="5" customFormat="1">
      <c r="D114" s="122"/>
      <c r="E114" s="122"/>
      <c r="F114" s="122"/>
      <c r="G114" s="122"/>
      <c r="H114" s="122"/>
      <c r="I114" s="122"/>
      <c r="J114" s="122"/>
    </row>
    <row r="115" spans="4:10" s="5" customFormat="1">
      <c r="D115" s="122"/>
      <c r="E115" s="122"/>
      <c r="F115" s="122"/>
      <c r="G115" s="122"/>
      <c r="H115" s="122"/>
      <c r="I115" s="122"/>
      <c r="J115" s="122"/>
    </row>
    <row r="116" spans="4:10" s="5" customFormat="1">
      <c r="D116" s="122"/>
      <c r="E116" s="122"/>
      <c r="F116" s="122"/>
      <c r="G116" s="122"/>
      <c r="H116" s="122"/>
      <c r="I116" s="122"/>
      <c r="J116" s="122"/>
    </row>
    <row r="117" spans="4:10" s="5" customFormat="1">
      <c r="D117" s="122"/>
      <c r="E117" s="122"/>
      <c r="F117" s="122"/>
      <c r="G117" s="122"/>
      <c r="H117" s="122"/>
      <c r="I117" s="122"/>
      <c r="J117" s="122"/>
    </row>
    <row r="118" spans="4:10" s="5" customFormat="1">
      <c r="D118" s="122"/>
      <c r="E118" s="122"/>
      <c r="F118" s="122"/>
      <c r="G118" s="122"/>
      <c r="H118" s="122"/>
      <c r="I118" s="122"/>
      <c r="J118" s="122"/>
    </row>
    <row r="119" spans="4:10" s="5" customFormat="1">
      <c r="D119" s="122"/>
      <c r="E119" s="122"/>
      <c r="F119" s="122"/>
      <c r="G119" s="122"/>
      <c r="H119" s="122"/>
      <c r="I119" s="122"/>
      <c r="J119" s="122"/>
    </row>
    <row r="120" spans="4:10" s="5" customFormat="1">
      <c r="D120" s="122"/>
      <c r="E120" s="122"/>
      <c r="F120" s="122"/>
      <c r="G120" s="122"/>
      <c r="H120" s="122"/>
      <c r="I120" s="122"/>
      <c r="J120" s="122"/>
    </row>
    <row r="121" spans="4:10" s="5" customFormat="1">
      <c r="D121" s="122"/>
      <c r="E121" s="122"/>
      <c r="F121" s="122"/>
      <c r="G121" s="122"/>
      <c r="H121" s="122"/>
      <c r="I121" s="122"/>
      <c r="J121" s="122"/>
    </row>
    <row r="122" spans="4:10" s="5" customFormat="1">
      <c r="D122" s="122"/>
      <c r="E122" s="122"/>
      <c r="F122" s="122"/>
      <c r="G122" s="122"/>
      <c r="H122" s="122"/>
      <c r="I122" s="122"/>
      <c r="J122" s="122"/>
    </row>
    <row r="123" spans="4:10" s="5" customFormat="1">
      <c r="D123" s="122"/>
      <c r="E123" s="122"/>
      <c r="F123" s="122"/>
      <c r="G123" s="122"/>
      <c r="H123" s="122"/>
      <c r="I123" s="122"/>
      <c r="J123" s="122"/>
    </row>
    <row r="124" spans="4:10" s="5" customFormat="1">
      <c r="D124" s="122"/>
      <c r="E124" s="122"/>
      <c r="F124" s="122"/>
      <c r="G124" s="122"/>
      <c r="H124" s="122"/>
      <c r="I124" s="122"/>
      <c r="J124" s="122"/>
    </row>
    <row r="125" spans="4:10" s="5" customFormat="1">
      <c r="D125" s="122"/>
      <c r="E125" s="122"/>
      <c r="F125" s="122"/>
      <c r="G125" s="122"/>
      <c r="H125" s="122"/>
      <c r="I125" s="122"/>
      <c r="J125" s="122"/>
    </row>
    <row r="126" spans="4:10" s="5" customFormat="1">
      <c r="D126" s="122"/>
      <c r="E126" s="122"/>
      <c r="F126" s="122"/>
      <c r="G126" s="122"/>
      <c r="H126" s="122"/>
      <c r="I126" s="122"/>
      <c r="J126" s="122"/>
    </row>
    <row r="127" spans="4:10" s="5" customFormat="1">
      <c r="D127" s="122"/>
      <c r="E127" s="122"/>
      <c r="F127" s="122"/>
      <c r="G127" s="122"/>
      <c r="H127" s="122"/>
      <c r="I127" s="122"/>
      <c r="J127" s="122"/>
    </row>
    <row r="128" spans="4:10" s="5" customFormat="1">
      <c r="D128" s="122"/>
      <c r="E128" s="122"/>
      <c r="F128" s="122"/>
      <c r="G128" s="122"/>
      <c r="H128" s="122"/>
      <c r="I128" s="122"/>
      <c r="J128" s="122"/>
    </row>
    <row r="129" spans="4:10" s="5" customFormat="1">
      <c r="D129" s="122"/>
      <c r="E129" s="122"/>
      <c r="F129" s="122"/>
      <c r="G129" s="122"/>
      <c r="H129" s="122"/>
      <c r="I129" s="122"/>
      <c r="J129" s="122"/>
    </row>
    <row r="130" spans="4:10" s="5" customFormat="1">
      <c r="D130" s="122"/>
      <c r="E130" s="122"/>
      <c r="F130" s="122"/>
      <c r="G130" s="122"/>
      <c r="H130" s="122"/>
      <c r="I130" s="122"/>
      <c r="J130" s="122"/>
    </row>
    <row r="131" spans="4:10" s="5" customFormat="1">
      <c r="D131" s="122"/>
      <c r="E131" s="122"/>
      <c r="F131" s="122"/>
      <c r="G131" s="122"/>
      <c r="H131" s="122"/>
      <c r="I131" s="122"/>
      <c r="J131" s="122"/>
    </row>
    <row r="132" spans="4:10" s="5" customFormat="1">
      <c r="D132" s="122"/>
      <c r="E132" s="122"/>
      <c r="F132" s="122"/>
      <c r="G132" s="122"/>
      <c r="H132" s="122"/>
      <c r="I132" s="122"/>
      <c r="J132" s="122"/>
    </row>
    <row r="133" spans="4:10" s="5" customFormat="1">
      <c r="D133" s="122"/>
      <c r="E133" s="122"/>
      <c r="F133" s="122"/>
      <c r="G133" s="122"/>
      <c r="H133" s="122"/>
      <c r="I133" s="122"/>
      <c r="J133" s="122"/>
    </row>
    <row r="134" spans="4:10" s="5" customFormat="1">
      <c r="D134" s="122"/>
      <c r="E134" s="122"/>
      <c r="F134" s="122"/>
      <c r="G134" s="122"/>
      <c r="H134" s="122"/>
      <c r="I134" s="122"/>
      <c r="J134" s="122"/>
    </row>
    <row r="135" spans="4:10" s="5" customFormat="1">
      <c r="D135" s="122"/>
      <c r="E135" s="122"/>
      <c r="F135" s="122"/>
      <c r="G135" s="122"/>
      <c r="H135" s="122"/>
      <c r="I135" s="122"/>
      <c r="J135" s="122"/>
    </row>
    <row r="136" spans="4:10" s="5" customFormat="1">
      <c r="D136" s="122"/>
      <c r="E136" s="122"/>
      <c r="F136" s="122"/>
      <c r="G136" s="122"/>
      <c r="H136" s="122"/>
      <c r="I136" s="122"/>
      <c r="J136" s="122"/>
    </row>
    <row r="137" spans="4:10" s="5" customFormat="1">
      <c r="D137" s="122"/>
      <c r="E137" s="122"/>
      <c r="F137" s="122"/>
      <c r="G137" s="122"/>
      <c r="H137" s="122"/>
      <c r="I137" s="122"/>
      <c r="J137" s="122"/>
    </row>
    <row r="138" spans="4:10" s="5" customFormat="1">
      <c r="D138" s="122"/>
      <c r="E138" s="122"/>
      <c r="F138" s="122"/>
      <c r="G138" s="122"/>
      <c r="H138" s="122"/>
      <c r="I138" s="122"/>
      <c r="J138" s="122"/>
    </row>
    <row r="139" spans="4:10" s="5" customFormat="1">
      <c r="D139" s="122"/>
      <c r="E139" s="122"/>
      <c r="F139" s="122"/>
      <c r="G139" s="122"/>
      <c r="H139" s="122"/>
      <c r="I139" s="122"/>
      <c r="J139" s="122"/>
    </row>
    <row r="140" spans="4:10" s="5" customFormat="1">
      <c r="D140" s="122"/>
      <c r="E140" s="122"/>
      <c r="F140" s="122"/>
      <c r="G140" s="122"/>
      <c r="H140" s="122"/>
      <c r="I140" s="122"/>
      <c r="J140" s="122"/>
    </row>
    <row r="141" spans="4:10" s="5" customFormat="1">
      <c r="D141" s="122"/>
      <c r="E141" s="122"/>
      <c r="F141" s="122"/>
      <c r="G141" s="122"/>
      <c r="H141" s="122"/>
      <c r="I141" s="122"/>
      <c r="J141" s="122"/>
    </row>
    <row r="142" spans="4:10" s="5" customFormat="1">
      <c r="D142" s="122"/>
      <c r="E142" s="122"/>
      <c r="F142" s="122"/>
      <c r="G142" s="122"/>
      <c r="H142" s="122"/>
      <c r="I142" s="122"/>
      <c r="J142" s="122"/>
    </row>
    <row r="143" spans="4:10" s="5" customFormat="1">
      <c r="D143" s="122"/>
      <c r="E143" s="122"/>
      <c r="F143" s="122"/>
      <c r="G143" s="122"/>
      <c r="H143" s="122"/>
      <c r="I143" s="122"/>
      <c r="J143" s="122"/>
    </row>
    <row r="144" spans="4:10" s="5" customFormat="1">
      <c r="D144" s="122"/>
      <c r="E144" s="122"/>
      <c r="F144" s="122"/>
      <c r="G144" s="122"/>
      <c r="H144" s="122"/>
      <c r="I144" s="122"/>
      <c r="J144" s="122"/>
    </row>
    <row r="145" spans="4:10" s="5" customFormat="1">
      <c r="D145" s="122"/>
      <c r="E145" s="122"/>
      <c r="F145" s="122"/>
      <c r="G145" s="122"/>
      <c r="H145" s="122"/>
      <c r="I145" s="122"/>
      <c r="J145" s="122"/>
    </row>
    <row r="146" spans="4:10" s="5" customFormat="1">
      <c r="D146" s="122"/>
      <c r="E146" s="122"/>
      <c r="F146" s="122"/>
      <c r="G146" s="122"/>
      <c r="H146" s="122"/>
      <c r="I146" s="122"/>
      <c r="J146" s="122"/>
    </row>
    <row r="147" spans="4:10" s="5" customFormat="1">
      <c r="D147" s="122"/>
      <c r="E147" s="122"/>
      <c r="F147" s="122"/>
      <c r="G147" s="122"/>
      <c r="H147" s="122"/>
      <c r="I147" s="122"/>
      <c r="J147" s="122"/>
    </row>
    <row r="148" spans="4:10" s="5" customFormat="1">
      <c r="D148" s="122"/>
      <c r="E148" s="122"/>
      <c r="F148" s="122"/>
      <c r="G148" s="122"/>
      <c r="H148" s="122"/>
      <c r="I148" s="122"/>
      <c r="J148" s="122"/>
    </row>
    <row r="149" spans="4:10" s="5" customFormat="1">
      <c r="D149" s="122"/>
      <c r="E149" s="122"/>
      <c r="F149" s="122"/>
      <c r="G149" s="122"/>
      <c r="H149" s="122"/>
      <c r="I149" s="122"/>
      <c r="J149" s="122"/>
    </row>
    <row r="150" spans="4:10" s="5" customFormat="1">
      <c r="D150" s="122"/>
      <c r="E150" s="122"/>
      <c r="F150" s="122"/>
      <c r="G150" s="122"/>
      <c r="H150" s="122"/>
      <c r="I150" s="122"/>
      <c r="J150" s="122"/>
    </row>
    <row r="151" spans="4:10" s="5" customFormat="1">
      <c r="D151" s="122"/>
      <c r="E151" s="122"/>
      <c r="F151" s="122"/>
      <c r="G151" s="122"/>
      <c r="H151" s="122"/>
      <c r="I151" s="122"/>
      <c r="J151" s="122"/>
    </row>
    <row r="152" spans="4:10" s="5" customFormat="1">
      <c r="D152" s="122"/>
      <c r="E152" s="122"/>
      <c r="F152" s="122"/>
      <c r="G152" s="122"/>
      <c r="H152" s="122"/>
      <c r="I152" s="122"/>
      <c r="J152" s="122"/>
    </row>
    <row r="153" spans="4:10" s="5" customFormat="1">
      <c r="D153" s="122"/>
      <c r="E153" s="122"/>
      <c r="F153" s="122"/>
      <c r="G153" s="122"/>
      <c r="H153" s="122"/>
      <c r="I153" s="122"/>
      <c r="J153" s="122"/>
    </row>
    <row r="154" spans="4:10" s="5" customFormat="1">
      <c r="D154" s="122"/>
      <c r="E154" s="122"/>
      <c r="F154" s="122"/>
      <c r="G154" s="122"/>
      <c r="H154" s="122"/>
      <c r="I154" s="122"/>
      <c r="J154" s="122"/>
    </row>
    <row r="155" spans="4:10" s="5" customFormat="1">
      <c r="D155" s="122"/>
      <c r="E155" s="122"/>
      <c r="F155" s="122"/>
      <c r="G155" s="122"/>
      <c r="H155" s="122"/>
      <c r="I155" s="122"/>
      <c r="J155" s="122"/>
    </row>
    <row r="156" spans="4:10" s="5" customFormat="1">
      <c r="D156" s="122"/>
      <c r="E156" s="122"/>
      <c r="F156" s="122"/>
      <c r="G156" s="122"/>
      <c r="H156" s="122"/>
      <c r="I156" s="122"/>
      <c r="J156" s="122"/>
    </row>
    <row r="157" spans="4:10" s="5" customFormat="1">
      <c r="D157" s="122"/>
      <c r="E157" s="122"/>
      <c r="F157" s="122"/>
      <c r="G157" s="122"/>
      <c r="H157" s="122"/>
      <c r="I157" s="122"/>
      <c r="J157" s="122"/>
    </row>
    <row r="158" spans="4:10" s="5" customFormat="1">
      <c r="D158" s="122"/>
      <c r="E158" s="122"/>
      <c r="F158" s="122"/>
      <c r="G158" s="122"/>
      <c r="H158" s="122"/>
      <c r="I158" s="122"/>
      <c r="J158" s="122"/>
    </row>
    <row r="159" spans="4:10" s="5" customFormat="1">
      <c r="D159" s="122"/>
      <c r="E159" s="122"/>
      <c r="F159" s="122"/>
      <c r="G159" s="122"/>
      <c r="H159" s="122"/>
      <c r="I159" s="122"/>
      <c r="J159" s="122"/>
    </row>
    <row r="160" spans="4:10" s="5" customFormat="1">
      <c r="D160" s="122"/>
      <c r="E160" s="122"/>
      <c r="F160" s="122"/>
      <c r="G160" s="122"/>
      <c r="H160" s="122"/>
      <c r="I160" s="122"/>
      <c r="J160" s="122"/>
    </row>
    <row r="161" spans="4:10" s="5" customFormat="1">
      <c r="D161" s="122"/>
      <c r="E161" s="122"/>
      <c r="F161" s="122"/>
      <c r="G161" s="122"/>
      <c r="H161" s="122"/>
      <c r="I161" s="122"/>
      <c r="J161" s="122"/>
    </row>
    <row r="162" spans="4:10" s="5" customFormat="1">
      <c r="D162" s="122"/>
      <c r="E162" s="122"/>
      <c r="F162" s="122"/>
      <c r="G162" s="122"/>
      <c r="H162" s="122"/>
      <c r="I162" s="122"/>
      <c r="J162" s="122"/>
    </row>
    <row r="163" spans="4:10" s="5" customFormat="1">
      <c r="D163" s="122"/>
      <c r="E163" s="122"/>
      <c r="F163" s="122"/>
      <c r="G163" s="122"/>
      <c r="H163" s="122"/>
      <c r="I163" s="122"/>
      <c r="J163" s="122"/>
    </row>
    <row r="164" spans="4:10" s="5" customFormat="1">
      <c r="D164" s="122"/>
      <c r="E164" s="122"/>
      <c r="F164" s="122"/>
      <c r="G164" s="122"/>
      <c r="H164" s="122"/>
      <c r="I164" s="122"/>
      <c r="J164" s="122"/>
    </row>
    <row r="165" spans="4:10" s="5" customFormat="1">
      <c r="D165" s="122"/>
      <c r="E165" s="122"/>
      <c r="F165" s="122"/>
      <c r="G165" s="122"/>
      <c r="H165" s="122"/>
      <c r="I165" s="122"/>
      <c r="J165" s="122"/>
    </row>
    <row r="166" spans="4:10" s="5" customFormat="1">
      <c r="D166" s="122"/>
      <c r="E166" s="122"/>
      <c r="F166" s="122"/>
      <c r="G166" s="122"/>
      <c r="H166" s="122"/>
      <c r="I166" s="122"/>
      <c r="J166" s="122"/>
    </row>
    <row r="167" spans="4:10" s="5" customFormat="1">
      <c r="D167" s="122"/>
      <c r="E167" s="122"/>
      <c r="F167" s="122"/>
      <c r="G167" s="122"/>
      <c r="H167" s="122"/>
      <c r="I167" s="122"/>
      <c r="J167" s="122"/>
    </row>
    <row r="168" spans="4:10" s="5" customFormat="1">
      <c r="D168" s="122"/>
      <c r="E168" s="122"/>
      <c r="F168" s="122"/>
      <c r="G168" s="122"/>
      <c r="H168" s="122"/>
      <c r="I168" s="122"/>
      <c r="J168" s="122"/>
    </row>
    <row r="169" spans="4:10" s="5" customFormat="1">
      <c r="D169" s="122"/>
      <c r="E169" s="122"/>
      <c r="F169" s="122"/>
      <c r="G169" s="122"/>
      <c r="H169" s="122"/>
      <c r="I169" s="122"/>
      <c r="J169" s="122"/>
    </row>
    <row r="170" spans="4:10" s="5" customFormat="1">
      <c r="D170" s="122"/>
      <c r="E170" s="122"/>
      <c r="F170" s="122"/>
      <c r="G170" s="122"/>
      <c r="H170" s="122"/>
      <c r="I170" s="122"/>
      <c r="J170" s="122"/>
    </row>
    <row r="171" spans="4:10" s="5" customFormat="1">
      <c r="D171" s="122"/>
      <c r="E171" s="122"/>
      <c r="F171" s="122"/>
      <c r="G171" s="122"/>
      <c r="H171" s="122"/>
      <c r="I171" s="122"/>
      <c r="J171" s="122"/>
    </row>
    <row r="172" spans="4:10" s="5" customFormat="1">
      <c r="D172" s="122"/>
      <c r="E172" s="122"/>
      <c r="F172" s="122"/>
      <c r="G172" s="122"/>
      <c r="H172" s="122"/>
      <c r="I172" s="122"/>
      <c r="J172" s="122"/>
    </row>
    <row r="173" spans="4:10" s="5" customFormat="1">
      <c r="D173" s="122"/>
      <c r="E173" s="122"/>
      <c r="F173" s="122"/>
      <c r="G173" s="122"/>
      <c r="H173" s="122"/>
      <c r="I173" s="122"/>
      <c r="J173" s="122"/>
    </row>
    <row r="174" spans="4:10" s="5" customFormat="1">
      <c r="D174" s="122"/>
      <c r="E174" s="122"/>
      <c r="F174" s="122"/>
      <c r="G174" s="122"/>
      <c r="H174" s="122"/>
      <c r="I174" s="122"/>
      <c r="J174" s="122"/>
    </row>
    <row r="175" spans="4:10" s="5" customFormat="1">
      <c r="D175" s="122"/>
      <c r="E175" s="122"/>
      <c r="F175" s="122"/>
      <c r="G175" s="122"/>
      <c r="H175" s="122"/>
      <c r="I175" s="122"/>
      <c r="J175" s="122"/>
    </row>
    <row r="176" spans="4:10" s="5" customFormat="1">
      <c r="D176" s="122"/>
      <c r="E176" s="122"/>
      <c r="F176" s="122"/>
      <c r="G176" s="122"/>
      <c r="H176" s="122"/>
      <c r="I176" s="122"/>
      <c r="J176" s="122"/>
    </row>
    <row r="177" spans="4:10" s="5" customFormat="1">
      <c r="D177" s="122"/>
      <c r="E177" s="122"/>
      <c r="F177" s="122"/>
      <c r="G177" s="122"/>
      <c r="H177" s="122"/>
      <c r="I177" s="122"/>
      <c r="J177" s="122"/>
    </row>
    <row r="178" spans="4:10" s="5" customFormat="1">
      <c r="D178" s="122"/>
      <c r="E178" s="122"/>
      <c r="F178" s="122"/>
      <c r="G178" s="122"/>
      <c r="H178" s="122"/>
      <c r="I178" s="122"/>
      <c r="J178" s="122"/>
    </row>
    <row r="179" spans="4:10" s="5" customFormat="1">
      <c r="D179" s="122"/>
      <c r="E179" s="122"/>
      <c r="F179" s="122"/>
      <c r="G179" s="122"/>
      <c r="H179" s="122"/>
      <c r="I179" s="122"/>
      <c r="J179" s="122"/>
    </row>
    <row r="180" spans="4:10" s="5" customFormat="1">
      <c r="D180" s="122"/>
      <c r="E180" s="122"/>
      <c r="F180" s="122"/>
      <c r="G180" s="122"/>
      <c r="H180" s="122"/>
      <c r="I180" s="122"/>
      <c r="J180" s="122"/>
    </row>
    <row r="181" spans="4:10" s="5" customFormat="1">
      <c r="D181" s="122"/>
      <c r="E181" s="122"/>
      <c r="F181" s="122"/>
      <c r="G181" s="122"/>
      <c r="H181" s="122"/>
      <c r="I181" s="122"/>
      <c r="J181" s="122"/>
    </row>
    <row r="182" spans="4:10" s="5" customFormat="1">
      <c r="D182" s="122"/>
      <c r="E182" s="122"/>
      <c r="F182" s="122"/>
      <c r="G182" s="122"/>
      <c r="H182" s="122"/>
      <c r="I182" s="122"/>
      <c r="J182" s="122"/>
    </row>
    <row r="183" spans="4:10" s="5" customFormat="1">
      <c r="D183" s="122"/>
      <c r="E183" s="122"/>
      <c r="F183" s="122"/>
      <c r="G183" s="122"/>
      <c r="H183" s="122"/>
      <c r="I183" s="122"/>
      <c r="J183" s="122"/>
    </row>
    <row r="184" spans="4:10" s="5" customFormat="1">
      <c r="D184" s="122"/>
      <c r="E184" s="122"/>
      <c r="F184" s="122"/>
      <c r="G184" s="122"/>
      <c r="H184" s="122"/>
      <c r="I184" s="122"/>
      <c r="J184" s="122"/>
    </row>
    <row r="185" spans="4:10" s="5" customFormat="1">
      <c r="D185" s="122"/>
      <c r="E185" s="122"/>
      <c r="F185" s="122"/>
      <c r="G185" s="122"/>
      <c r="H185" s="122"/>
      <c r="I185" s="122"/>
      <c r="J185" s="122"/>
    </row>
    <row r="186" spans="4:10" s="5" customFormat="1">
      <c r="D186" s="122"/>
      <c r="E186" s="122"/>
      <c r="F186" s="122"/>
      <c r="G186" s="122"/>
      <c r="H186" s="122"/>
      <c r="I186" s="122"/>
      <c r="J186" s="122"/>
    </row>
    <row r="187" spans="4:10" s="5" customFormat="1">
      <c r="D187" s="122"/>
      <c r="E187" s="122"/>
      <c r="F187" s="122"/>
      <c r="G187" s="122"/>
      <c r="H187" s="122"/>
      <c r="I187" s="122"/>
      <c r="J187" s="122"/>
    </row>
    <row r="188" spans="4:10" s="5" customFormat="1">
      <c r="D188" s="122"/>
      <c r="E188" s="122"/>
      <c r="F188" s="122"/>
      <c r="G188" s="122"/>
      <c r="H188" s="122"/>
      <c r="I188" s="122"/>
      <c r="J188" s="122"/>
    </row>
    <row r="189" spans="4:10" s="5" customFormat="1">
      <c r="D189" s="122"/>
      <c r="E189" s="122"/>
      <c r="F189" s="122"/>
      <c r="G189" s="122"/>
      <c r="H189" s="122"/>
      <c r="I189" s="122"/>
      <c r="J189" s="122"/>
    </row>
    <row r="190" spans="4:10" s="5" customFormat="1">
      <c r="D190" s="122"/>
      <c r="E190" s="122"/>
      <c r="F190" s="122"/>
      <c r="G190" s="122"/>
      <c r="H190" s="122"/>
      <c r="I190" s="122"/>
      <c r="J190" s="122"/>
    </row>
    <row r="191" spans="4:10" s="5" customFormat="1">
      <c r="D191" s="122"/>
      <c r="E191" s="122"/>
      <c r="F191" s="122"/>
      <c r="G191" s="122"/>
      <c r="H191" s="122"/>
      <c r="I191" s="122"/>
      <c r="J191" s="122"/>
    </row>
    <row r="192" spans="4:10" s="5" customFormat="1">
      <c r="D192" s="122"/>
      <c r="E192" s="122"/>
      <c r="F192" s="122"/>
      <c r="G192" s="122"/>
      <c r="H192" s="122"/>
      <c r="I192" s="122"/>
      <c r="J192" s="122"/>
    </row>
    <row r="193" spans="4:10" s="5" customFormat="1">
      <c r="D193" s="122"/>
      <c r="E193" s="122"/>
      <c r="F193" s="122"/>
      <c r="G193" s="122"/>
      <c r="H193" s="122"/>
      <c r="I193" s="122"/>
      <c r="J193" s="122"/>
    </row>
    <row r="194" spans="4:10" s="5" customFormat="1">
      <c r="D194" s="122"/>
      <c r="E194" s="122"/>
      <c r="F194" s="122"/>
      <c r="G194" s="122"/>
      <c r="H194" s="122"/>
      <c r="I194" s="122"/>
      <c r="J194" s="122"/>
    </row>
    <row r="195" spans="4:10" s="5" customFormat="1">
      <c r="D195" s="122"/>
      <c r="E195" s="122"/>
      <c r="F195" s="122"/>
      <c r="G195" s="122"/>
      <c r="H195" s="122"/>
      <c r="I195" s="122"/>
      <c r="J195" s="122"/>
    </row>
    <row r="196" spans="4:10" s="5" customFormat="1">
      <c r="D196" s="122"/>
      <c r="E196" s="122"/>
      <c r="F196" s="122"/>
      <c r="G196" s="122"/>
      <c r="H196" s="122"/>
      <c r="I196" s="122"/>
      <c r="J196" s="122"/>
    </row>
    <row r="197" spans="4:10" s="5" customFormat="1">
      <c r="D197" s="122"/>
      <c r="E197" s="122"/>
      <c r="F197" s="122"/>
      <c r="G197" s="122"/>
      <c r="H197" s="122"/>
      <c r="I197" s="122"/>
      <c r="J197" s="122"/>
    </row>
    <row r="198" spans="4:10" s="5" customFormat="1">
      <c r="D198" s="122"/>
      <c r="E198" s="122"/>
      <c r="F198" s="122"/>
      <c r="G198" s="122"/>
      <c r="H198" s="122"/>
      <c r="I198" s="122"/>
      <c r="J198" s="122"/>
    </row>
    <row r="199" spans="4:10" s="5" customFormat="1">
      <c r="D199" s="122"/>
      <c r="E199" s="122"/>
      <c r="F199" s="122"/>
      <c r="G199" s="122"/>
      <c r="H199" s="122"/>
      <c r="I199" s="122"/>
      <c r="J199" s="122"/>
    </row>
    <row r="200" spans="4:10" s="5" customFormat="1">
      <c r="D200" s="122"/>
      <c r="E200" s="122"/>
      <c r="F200" s="122"/>
      <c r="G200" s="122"/>
      <c r="H200" s="122"/>
      <c r="I200" s="122"/>
      <c r="J200" s="122"/>
    </row>
    <row r="201" spans="4:10" s="5" customFormat="1">
      <c r="D201" s="122"/>
      <c r="E201" s="122"/>
      <c r="F201" s="122"/>
      <c r="G201" s="122"/>
      <c r="H201" s="122"/>
      <c r="I201" s="122"/>
      <c r="J201" s="122"/>
    </row>
    <row r="202" spans="4:10" s="5" customFormat="1">
      <c r="D202" s="122"/>
      <c r="E202" s="122"/>
      <c r="F202" s="122"/>
      <c r="G202" s="122"/>
      <c r="H202" s="122"/>
      <c r="I202" s="122"/>
      <c r="J202" s="122"/>
    </row>
    <row r="203" spans="4:10" s="5" customFormat="1">
      <c r="D203" s="122"/>
      <c r="E203" s="122"/>
      <c r="F203" s="122"/>
      <c r="G203" s="122"/>
      <c r="H203" s="122"/>
      <c r="I203" s="122"/>
      <c r="J203" s="122"/>
    </row>
    <row r="204" spans="4:10" s="5" customFormat="1">
      <c r="D204" s="122"/>
      <c r="E204" s="122"/>
      <c r="F204" s="122"/>
      <c r="G204" s="122"/>
      <c r="H204" s="122"/>
      <c r="I204" s="122"/>
      <c r="J204" s="122"/>
    </row>
    <row r="205" spans="4:10" s="5" customFormat="1">
      <c r="D205" s="122"/>
      <c r="E205" s="122"/>
      <c r="F205" s="122"/>
      <c r="G205" s="122"/>
      <c r="H205" s="122"/>
      <c r="I205" s="122"/>
      <c r="J205" s="122"/>
    </row>
    <row r="206" spans="4:10" s="5" customFormat="1">
      <c r="D206" s="122"/>
      <c r="E206" s="122"/>
      <c r="F206" s="122"/>
      <c r="G206" s="122"/>
      <c r="H206" s="122"/>
      <c r="I206" s="122"/>
      <c r="J206" s="122"/>
    </row>
    <row r="207" spans="4:10" s="5" customFormat="1">
      <c r="D207" s="122"/>
      <c r="E207" s="122"/>
      <c r="F207" s="122"/>
      <c r="G207" s="122"/>
      <c r="H207" s="122"/>
      <c r="I207" s="122"/>
      <c r="J207" s="122"/>
    </row>
    <row r="208" spans="4:10" s="5" customFormat="1">
      <c r="D208" s="122"/>
      <c r="E208" s="122"/>
      <c r="F208" s="122"/>
      <c r="G208" s="122"/>
      <c r="H208" s="122"/>
      <c r="I208" s="122"/>
      <c r="J208" s="122"/>
    </row>
    <row r="209" spans="2:10" s="5" customFormat="1">
      <c r="D209" s="122"/>
      <c r="E209" s="122"/>
      <c r="F209" s="122"/>
      <c r="G209" s="122"/>
      <c r="H209" s="122"/>
      <c r="I209" s="122"/>
      <c r="J209" s="122"/>
    </row>
    <row r="210" spans="2:10" s="5" customFormat="1">
      <c r="D210" s="122"/>
      <c r="E210" s="122"/>
      <c r="F210" s="122"/>
      <c r="G210" s="122"/>
      <c r="H210" s="122"/>
      <c r="I210" s="122"/>
      <c r="J210" s="122"/>
    </row>
    <row r="211" spans="2:10" s="5" customFormat="1">
      <c r="D211" s="122"/>
      <c r="E211" s="122"/>
      <c r="F211" s="122"/>
      <c r="G211" s="122"/>
      <c r="H211" s="122"/>
      <c r="I211" s="122"/>
      <c r="J211" s="122"/>
    </row>
    <row r="212" spans="2:10" s="5" customFormat="1">
      <c r="D212" s="122"/>
      <c r="E212" s="122"/>
      <c r="F212" s="122"/>
      <c r="G212" s="122"/>
      <c r="H212" s="122"/>
      <c r="I212" s="122"/>
      <c r="J212" s="122"/>
    </row>
    <row r="213" spans="2:10" s="5" customFormat="1">
      <c r="D213" s="122"/>
      <c r="E213" s="122"/>
      <c r="F213" s="122"/>
      <c r="G213" s="122"/>
      <c r="H213" s="122"/>
      <c r="I213" s="122"/>
      <c r="J213" s="122"/>
    </row>
    <row r="214" spans="2:10" s="5" customFormat="1">
      <c r="B214" s="15"/>
      <c r="C214" s="15"/>
      <c r="D214" s="122"/>
      <c r="E214" s="122"/>
      <c r="F214" s="122"/>
      <c r="G214" s="122"/>
      <c r="H214" s="122"/>
      <c r="I214" s="122"/>
      <c r="J214" s="122"/>
    </row>
    <row r="215" spans="2:10" s="5" customFormat="1">
      <c r="B215" s="15"/>
      <c r="C215" s="15"/>
      <c r="D215" s="122"/>
      <c r="E215" s="122"/>
      <c r="F215" s="122"/>
      <c r="G215" s="122"/>
      <c r="H215" s="122"/>
      <c r="I215" s="122"/>
      <c r="J215" s="122"/>
    </row>
    <row r="216" spans="2:10" s="5" customFormat="1">
      <c r="B216" s="15"/>
      <c r="C216" s="15"/>
      <c r="D216" s="122"/>
      <c r="E216" s="122"/>
      <c r="F216" s="122"/>
      <c r="G216" s="122"/>
      <c r="H216" s="122"/>
      <c r="I216" s="122"/>
      <c r="J216" s="122"/>
    </row>
  </sheetData>
  <mergeCells count="6">
    <mergeCell ref="B6:C6"/>
    <mergeCell ref="B7:C7"/>
    <mergeCell ref="B59:C59"/>
    <mergeCell ref="B61:C61"/>
    <mergeCell ref="B62:C62"/>
    <mergeCell ref="B58:C58"/>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sheetPr>
    <tabColor theme="3" tint="0.79998168889431442"/>
    <pageSetUpPr fitToPage="1"/>
  </sheetPr>
  <dimension ref="A1:G106"/>
  <sheetViews>
    <sheetView showGridLines="0" zoomScaleNormal="100" zoomScaleSheetLayoutView="85" workbookViewId="0"/>
  </sheetViews>
  <sheetFormatPr baseColWidth="10" defaultColWidth="11.453125" defaultRowHeight="15" customHeight="1"/>
  <cols>
    <col min="1" max="1" width="6.81640625" style="15" customWidth="1"/>
    <col min="2" max="2" width="88.54296875" style="15" bestFit="1" customWidth="1"/>
    <col min="3" max="3" width="17.81640625" style="15" customWidth="1"/>
    <col min="4" max="4" width="15.7265625" style="15" customWidth="1"/>
    <col min="5" max="5" width="23.453125" style="63" bestFit="1" customWidth="1"/>
    <col min="6" max="6" width="16.7265625" style="15" bestFit="1" customWidth="1"/>
    <col min="7" max="7" width="14.7265625" style="15" bestFit="1" customWidth="1"/>
    <col min="8" max="16384" width="11.453125" style="15"/>
  </cols>
  <sheetData>
    <row r="1" spans="1:7" ht="14.5">
      <c r="A1" s="738" t="s">
        <v>219</v>
      </c>
      <c r="B1" s="435"/>
    </row>
    <row r="2" spans="1:7" ht="15" customHeight="1">
      <c r="A2" s="738"/>
      <c r="B2" s="386" t="str">
        <f>+INDICE!B2</f>
        <v>MINISTERIO DE ECONOMÍA</v>
      </c>
      <c r="C2" s="7"/>
      <c r="D2" s="232"/>
    </row>
    <row r="3" spans="1:7" ht="15" customHeight="1">
      <c r="A3" s="738"/>
      <c r="B3" s="270" t="s">
        <v>304</v>
      </c>
      <c r="C3" s="5"/>
      <c r="D3" s="232"/>
    </row>
    <row r="4" spans="1:7" s="421" customFormat="1" ht="13">
      <c r="B4" s="382"/>
      <c r="C4" s="35"/>
      <c r="D4" s="422"/>
      <c r="E4" s="428"/>
      <c r="F4" s="15"/>
      <c r="G4" s="15"/>
    </row>
    <row r="5" spans="1:7" s="421" customFormat="1" ht="13">
      <c r="B5" s="423"/>
      <c r="C5" s="424"/>
      <c r="D5" s="422"/>
      <c r="E5" s="428"/>
      <c r="F5" s="15"/>
      <c r="G5" s="15"/>
    </row>
    <row r="6" spans="1:7" ht="15" customHeight="1">
      <c r="B6" s="1358" t="s">
        <v>773</v>
      </c>
      <c r="C6" s="1358"/>
      <c r="D6" s="1358"/>
    </row>
    <row r="7" spans="1:7" ht="15" customHeight="1">
      <c r="B7" s="1359" t="s">
        <v>381</v>
      </c>
      <c r="C7" s="1359"/>
      <c r="D7" s="1359"/>
    </row>
    <row r="8" spans="1:7" s="421" customFormat="1" ht="13">
      <c r="B8" s="35"/>
      <c r="C8" s="425"/>
      <c r="D8" s="422"/>
      <c r="E8" s="428"/>
      <c r="F8" s="15"/>
      <c r="G8" s="15"/>
    </row>
    <row r="9" spans="1:7" s="421" customFormat="1" ht="13">
      <c r="B9" s="420"/>
      <c r="C9" s="420"/>
      <c r="D9" s="422"/>
      <c r="E9" s="428"/>
      <c r="F9" s="15"/>
      <c r="G9" s="15"/>
    </row>
    <row r="10" spans="1:7" ht="15" customHeight="1" thickBot="1">
      <c r="B10" s="269" t="s">
        <v>887</v>
      </c>
      <c r="C10" s="425"/>
      <c r="D10" s="232"/>
    </row>
    <row r="11" spans="1:7" ht="15" customHeight="1" thickTop="1">
      <c r="B11" s="233"/>
      <c r="C11" s="853" t="s">
        <v>273</v>
      </c>
      <c r="D11" s="1364" t="s">
        <v>288</v>
      </c>
    </row>
    <row r="12" spans="1:7" ht="15" customHeight="1" thickBot="1">
      <c r="B12" s="234"/>
      <c r="C12" s="854" t="s">
        <v>274</v>
      </c>
      <c r="D12" s="1365"/>
    </row>
    <row r="13" spans="1:7" ht="15" customHeight="1" thickTop="1">
      <c r="B13" s="57"/>
      <c r="C13" s="160"/>
      <c r="D13" s="235"/>
    </row>
    <row r="14" spans="1:7" s="408" customFormat="1" ht="15" customHeight="1">
      <c r="B14" s="406" t="s">
        <v>736</v>
      </c>
      <c r="C14" s="629">
        <f>+C17+C64</f>
        <v>336027350.04506058</v>
      </c>
      <c r="D14" s="409"/>
      <c r="E14" s="1018"/>
      <c r="F14" s="15"/>
      <c r="G14" s="15"/>
    </row>
    <row r="15" spans="1:7" ht="15" customHeight="1" thickBot="1">
      <c r="B15" s="146"/>
      <c r="C15" s="857"/>
      <c r="D15" s="236"/>
    </row>
    <row r="16" spans="1:7" ht="15" customHeight="1" thickTop="1">
      <c r="B16" s="57"/>
      <c r="C16" s="160"/>
      <c r="D16" s="235"/>
    </row>
    <row r="17" spans="2:7" ht="15" customHeight="1">
      <c r="B17" s="396" t="s">
        <v>749</v>
      </c>
      <c r="C17" s="334">
        <f>+C19+C21+C23</f>
        <v>323064618.26367569</v>
      </c>
      <c r="D17" s="483">
        <f>+D19+D21+D23</f>
        <v>1</v>
      </c>
    </row>
    <row r="18" spans="2:7" ht="15" customHeight="1">
      <c r="B18" s="237"/>
      <c r="C18" s="238"/>
      <c r="D18" s="239"/>
    </row>
    <row r="19" spans="2:7" s="410" customFormat="1" ht="15" customHeight="1">
      <c r="B19" s="484" t="s">
        <v>548</v>
      </c>
      <c r="C19" s="859">
        <f>+C28+C47</f>
        <v>320525453.50388753</v>
      </c>
      <c r="D19" s="485">
        <f>+C19/$C$17</f>
        <v>0.99214038116140668</v>
      </c>
      <c r="E19" s="63"/>
      <c r="F19" s="15"/>
      <c r="G19" s="15"/>
    </row>
    <row r="20" spans="2:7" ht="15" customHeight="1">
      <c r="B20" s="237"/>
      <c r="C20" s="238"/>
      <c r="D20" s="239"/>
    </row>
    <row r="21" spans="2:7" s="410" customFormat="1" ht="15" customHeight="1">
      <c r="B21" s="484" t="s">
        <v>109</v>
      </c>
      <c r="C21" s="859">
        <f>+C36+C54</f>
        <v>103955.23465987571</v>
      </c>
      <c r="D21" s="485">
        <f>+C21/$C$17</f>
        <v>3.2177845787814051E-4</v>
      </c>
      <c r="E21" s="63"/>
      <c r="F21" s="15"/>
      <c r="G21" s="15"/>
    </row>
    <row r="22" spans="2:7" ht="15" customHeight="1">
      <c r="B22" s="150"/>
      <c r="C22" s="240"/>
      <c r="D22" s="241"/>
    </row>
    <row r="23" spans="2:7" s="410" customFormat="1" ht="15" customHeight="1">
      <c r="B23" s="484" t="s">
        <v>612</v>
      </c>
      <c r="C23" s="240">
        <f>+C40+C58</f>
        <v>2435209.5251282868</v>
      </c>
      <c r="D23" s="485">
        <f>+C23/$C$17</f>
        <v>7.5378403807152333E-3</v>
      </c>
      <c r="E23" s="63"/>
      <c r="F23" s="15"/>
      <c r="G23" s="15"/>
    </row>
    <row r="24" spans="2:7" ht="15" customHeight="1" thickBot="1">
      <c r="B24" s="13"/>
      <c r="C24" s="62"/>
      <c r="D24" s="242"/>
    </row>
    <row r="25" spans="2:7" ht="15" customHeight="1" thickTop="1">
      <c r="B25" s="57"/>
      <c r="C25" s="160"/>
      <c r="D25" s="235"/>
    </row>
    <row r="26" spans="2:7" ht="15" customHeight="1">
      <c r="B26" s="396" t="s">
        <v>382</v>
      </c>
      <c r="C26" s="334">
        <f>+C28+C36+C40</f>
        <v>180470641.63711891</v>
      </c>
      <c r="D26" s="483">
        <f>+D28+D36+D40</f>
        <v>0.55862088088465367</v>
      </c>
    </row>
    <row r="27" spans="2:7" ht="15" customHeight="1">
      <c r="B27" s="243"/>
      <c r="C27" s="238"/>
      <c r="D27" s="239"/>
    </row>
    <row r="28" spans="2:7" ht="15" customHeight="1">
      <c r="B28" s="484" t="s">
        <v>548</v>
      </c>
      <c r="C28" s="486">
        <f>SUM(C29:C34)</f>
        <v>180344447.32925069</v>
      </c>
      <c r="D28" s="485">
        <f>+C28/$C$17</f>
        <v>0.55823026457839753</v>
      </c>
    </row>
    <row r="29" spans="2:7" ht="15" customHeight="1">
      <c r="B29" s="487" t="s">
        <v>355</v>
      </c>
      <c r="C29" s="488">
        <v>158941878.52583897</v>
      </c>
      <c r="D29" s="489">
        <f t="shared" ref="D29:D34" si="0">+C29/$C$17</f>
        <v>0.49198169511746209</v>
      </c>
      <c r="F29" s="428"/>
      <c r="G29" s="421"/>
    </row>
    <row r="30" spans="2:7" ht="15" customHeight="1">
      <c r="B30" s="487" t="s">
        <v>261</v>
      </c>
      <c r="C30" s="488">
        <v>640325.04701061919</v>
      </c>
      <c r="D30" s="489">
        <f t="shared" si="0"/>
        <v>1.9820339672356351E-3</v>
      </c>
    </row>
    <row r="31" spans="2:7" ht="15" customHeight="1">
      <c r="B31" s="487" t="s">
        <v>356</v>
      </c>
      <c r="C31" s="490">
        <v>14237081.559395609</v>
      </c>
      <c r="D31" s="489">
        <f t="shared" si="0"/>
        <v>4.406883562772488E-2</v>
      </c>
      <c r="F31" s="421"/>
      <c r="G31" s="421"/>
    </row>
    <row r="32" spans="2:7" ht="15.75" customHeight="1">
      <c r="B32" s="487" t="s">
        <v>357</v>
      </c>
      <c r="C32" s="490">
        <v>2396978.5928329937</v>
      </c>
      <c r="D32" s="489">
        <f t="shared" si="0"/>
        <v>7.4195020355854987E-3</v>
      </c>
    </row>
    <row r="33" spans="2:6" ht="15" customHeight="1">
      <c r="B33" s="487" t="s">
        <v>358</v>
      </c>
      <c r="C33" s="491">
        <v>2505397.7765771765</v>
      </c>
      <c r="D33" s="489">
        <f t="shared" si="0"/>
        <v>7.7550980049828477E-3</v>
      </c>
    </row>
    <row r="34" spans="2:6" ht="15" customHeight="1">
      <c r="B34" s="487" t="s">
        <v>572</v>
      </c>
      <c r="C34" s="491">
        <v>1622785.8275953291</v>
      </c>
      <c r="D34" s="489">
        <f t="shared" si="0"/>
        <v>5.0230998254066307E-3</v>
      </c>
      <c r="E34" s="1068"/>
      <c r="F34" s="959"/>
    </row>
    <row r="35" spans="2:6" ht="15" customHeight="1">
      <c r="B35" s="66"/>
      <c r="C35" s="245"/>
      <c r="D35" s="787"/>
    </row>
    <row r="36" spans="2:6" ht="15" customHeight="1">
      <c r="B36" s="484" t="s">
        <v>109</v>
      </c>
      <c r="C36" s="492">
        <f>+C37+C38</f>
        <v>62140.321272875379</v>
      </c>
      <c r="D36" s="485">
        <f>+C36/$C$17</f>
        <v>1.9234641542255891E-4</v>
      </c>
    </row>
    <row r="37" spans="2:6" ht="15" customHeight="1">
      <c r="B37" s="487" t="s">
        <v>358</v>
      </c>
      <c r="C37" s="490">
        <v>60760.48442042742</v>
      </c>
      <c r="D37" s="489">
        <f>+C37/$C$17</f>
        <v>1.880753291616618E-4</v>
      </c>
    </row>
    <row r="38" spans="2:6" ht="15" customHeight="1">
      <c r="B38" s="487" t="s">
        <v>360</v>
      </c>
      <c r="C38" s="490">
        <v>1379.8368524479611</v>
      </c>
      <c r="D38" s="489">
        <f>+C38/$C$17</f>
        <v>4.2710862608971292E-6</v>
      </c>
    </row>
    <row r="39" spans="2:6" ht="15" customHeight="1">
      <c r="B39" s="66"/>
      <c r="C39" s="245"/>
      <c r="D39" s="244"/>
    </row>
    <row r="40" spans="2:6" ht="15" customHeight="1">
      <c r="B40" s="484" t="s">
        <v>612</v>
      </c>
      <c r="C40" s="492">
        <f>SUM(C41:C43)</f>
        <v>64053.986595342132</v>
      </c>
      <c r="D40" s="485">
        <f>+C40/$C$17</f>
        <v>1.9826989083361393E-4</v>
      </c>
    </row>
    <row r="41" spans="2:6" s="247" customFormat="1" ht="15" customHeight="1">
      <c r="B41" s="487" t="s">
        <v>411</v>
      </c>
      <c r="C41" s="491">
        <v>51462.785325463963</v>
      </c>
      <c r="D41" s="795">
        <f>+C41/$C$17</f>
        <v>1.592956406122492E-4</v>
      </c>
      <c r="E41" s="63"/>
    </row>
    <row r="42" spans="2:6" s="247" customFormat="1" ht="15" customHeight="1">
      <c r="B42" s="487" t="s">
        <v>412</v>
      </c>
      <c r="C42" s="491">
        <v>2780.9178183434465</v>
      </c>
      <c r="D42" s="795">
        <f>+C42/$C$17</f>
        <v>8.607930615520838E-6</v>
      </c>
      <c r="E42" s="63"/>
    </row>
    <row r="43" spans="2:6" s="247" customFormat="1" ht="15" customHeight="1">
      <c r="B43" s="487" t="s">
        <v>699</v>
      </c>
      <c r="C43" s="491">
        <v>9810.2834515347204</v>
      </c>
      <c r="D43" s="795">
        <f>+C43/$C$17</f>
        <v>3.0366319605843869E-5</v>
      </c>
      <c r="E43" s="63"/>
    </row>
    <row r="44" spans="2:6" ht="15" customHeight="1">
      <c r="B44" s="66"/>
      <c r="C44" s="245"/>
      <c r="D44" s="244"/>
    </row>
    <row r="45" spans="2:6" ht="15" customHeight="1">
      <c r="B45" s="396" t="s">
        <v>553</v>
      </c>
      <c r="C45" s="334">
        <f>+C47+C54+C58</f>
        <v>142593976.62655675</v>
      </c>
      <c r="D45" s="483">
        <f>+D47+D54+D58</f>
        <v>0.44137911911534616</v>
      </c>
    </row>
    <row r="46" spans="2:6" ht="15" customHeight="1">
      <c r="B46" s="243"/>
      <c r="C46" s="248"/>
      <c r="D46" s="239"/>
    </row>
    <row r="47" spans="2:6" ht="15" customHeight="1">
      <c r="B47" s="484" t="s">
        <v>548</v>
      </c>
      <c r="C47" s="492">
        <f>SUM(C48:C52)</f>
        <v>140181006.17463681</v>
      </c>
      <c r="D47" s="493">
        <f t="shared" ref="D47:D52" si="1">+C47/$C$17</f>
        <v>0.43391011658300899</v>
      </c>
      <c r="E47" s="788"/>
    </row>
    <row r="48" spans="2:6" ht="15" customHeight="1">
      <c r="B48" s="487" t="s">
        <v>355</v>
      </c>
      <c r="C48" s="490">
        <v>66502645.99013181</v>
      </c>
      <c r="D48" s="489">
        <f t="shared" si="1"/>
        <v>0.20584936334889617</v>
      </c>
      <c r="F48" s="428"/>
    </row>
    <row r="49" spans="1:6" ht="15" customHeight="1">
      <c r="B49" s="487" t="s">
        <v>270</v>
      </c>
      <c r="C49" s="490">
        <v>68000788.456716701</v>
      </c>
      <c r="D49" s="489">
        <f t="shared" si="1"/>
        <v>0.21048664760068678</v>
      </c>
      <c r="F49" s="959"/>
    </row>
    <row r="50" spans="1:6" ht="15" hidden="1" customHeight="1">
      <c r="B50" s="487" t="s">
        <v>357</v>
      </c>
      <c r="C50" s="490">
        <v>0</v>
      </c>
      <c r="D50" s="489">
        <f t="shared" si="1"/>
        <v>0</v>
      </c>
    </row>
    <row r="51" spans="1:6" ht="15" customHeight="1">
      <c r="B51" s="487" t="s">
        <v>359</v>
      </c>
      <c r="C51" s="490">
        <v>5398072.3095353451</v>
      </c>
      <c r="D51" s="489">
        <f t="shared" si="1"/>
        <v>1.6708955436059544E-2</v>
      </c>
    </row>
    <row r="52" spans="1:6" ht="15" customHeight="1">
      <c r="B52" s="487" t="s">
        <v>358</v>
      </c>
      <c r="C52" s="490">
        <v>279499.41825294291</v>
      </c>
      <c r="D52" s="489">
        <f t="shared" si="1"/>
        <v>8.6515019736647188E-4</v>
      </c>
    </row>
    <row r="53" spans="1:6" ht="15" customHeight="1">
      <c r="B53" s="150"/>
      <c r="C53" s="246"/>
      <c r="D53" s="241"/>
    </row>
    <row r="54" spans="1:6" ht="15" customHeight="1">
      <c r="B54" s="484" t="s">
        <v>109</v>
      </c>
      <c r="C54" s="492">
        <f>SUM(C55:C56)</f>
        <v>41814.913387000342</v>
      </c>
      <c r="D54" s="485">
        <f>+C54/$C$17</f>
        <v>1.2943204245558163E-4</v>
      </c>
    </row>
    <row r="55" spans="1:6" ht="15" customHeight="1">
      <c r="B55" s="487" t="s">
        <v>358</v>
      </c>
      <c r="C55" s="490">
        <v>33130.081137000336</v>
      </c>
      <c r="D55" s="489">
        <f>+C55/$C$17</f>
        <v>1.0254939496333379E-4</v>
      </c>
    </row>
    <row r="56" spans="1:6" ht="15" customHeight="1">
      <c r="B56" s="487" t="s">
        <v>360</v>
      </c>
      <c r="C56" s="490">
        <v>8684.8322500000049</v>
      </c>
      <c r="D56" s="489">
        <f>+C56/$C$17</f>
        <v>2.6882647492247835E-5</v>
      </c>
    </row>
    <row r="57" spans="1:6" ht="15" customHeight="1">
      <c r="B57" s="66"/>
      <c r="C57" s="245"/>
      <c r="D57" s="244"/>
    </row>
    <row r="58" spans="1:6" ht="15" customHeight="1">
      <c r="B58" s="484" t="s">
        <v>612</v>
      </c>
      <c r="C58" s="486">
        <f>SUM(C59:C61)</f>
        <v>2371155.5385329449</v>
      </c>
      <c r="D58" s="485">
        <f>+C58/$C$17</f>
        <v>7.3395704898816206E-3</v>
      </c>
    </row>
    <row r="59" spans="1:6" ht="15" customHeight="1">
      <c r="B59" s="487" t="s">
        <v>411</v>
      </c>
      <c r="C59" s="491">
        <v>1006616.9502647595</v>
      </c>
      <c r="D59" s="489">
        <f>+C59/$C$17</f>
        <v>3.1158378025884247E-3</v>
      </c>
    </row>
    <row r="60" spans="1:6" ht="15" customHeight="1">
      <c r="B60" s="487" t="s">
        <v>412</v>
      </c>
      <c r="C60" s="491">
        <v>861076.65643126878</v>
      </c>
      <c r="D60" s="489">
        <f>+C60/$C$17</f>
        <v>2.6653387828700068E-3</v>
      </c>
    </row>
    <row r="61" spans="1:6" ht="15" customHeight="1">
      <c r="B61" s="487" t="s">
        <v>699</v>
      </c>
      <c r="C61" s="491">
        <v>503461.93183691654</v>
      </c>
      <c r="D61" s="489">
        <f>+C61/$C$17</f>
        <v>1.5583939044231886E-3</v>
      </c>
    </row>
    <row r="62" spans="1:6" ht="15" customHeight="1" thickBot="1">
      <c r="B62" s="13"/>
      <c r="C62" s="170"/>
      <c r="D62" s="242"/>
    </row>
    <row r="63" spans="1:6" ht="15" customHeight="1" thickTop="1" thickBot="1">
      <c r="A63" s="139"/>
      <c r="B63" s="57"/>
      <c r="C63" s="249"/>
      <c r="D63" s="250"/>
    </row>
    <row r="64" spans="1:6" s="63" customFormat="1" ht="15" customHeight="1" thickTop="1">
      <c r="A64" s="15"/>
      <c r="B64" s="494" t="s">
        <v>700</v>
      </c>
      <c r="C64" s="495">
        <f>+C66+C71</f>
        <v>12962731.781384885</v>
      </c>
      <c r="D64" s="496">
        <f>+D66+D71</f>
        <v>0.99999999999999989</v>
      </c>
    </row>
    <row r="65" spans="1:5" s="63" customFormat="1" ht="15" customHeight="1">
      <c r="A65" s="15"/>
      <c r="B65" s="251"/>
      <c r="C65" s="51"/>
      <c r="D65" s="252"/>
    </row>
    <row r="66" spans="1:5" s="63" customFormat="1" ht="15" customHeight="1">
      <c r="A66" s="15"/>
      <c r="B66" s="497" t="s">
        <v>382</v>
      </c>
      <c r="C66" s="334">
        <f>+C68+C69</f>
        <v>1086436.8453267883</v>
      </c>
      <c r="D66" s="498">
        <f>SUM(D68:D69)</f>
        <v>8.3812337063624551E-2</v>
      </c>
    </row>
    <row r="67" spans="1:5" s="63" customFormat="1" ht="15" customHeight="1">
      <c r="A67" s="15"/>
      <c r="B67" s="251"/>
      <c r="C67" s="51"/>
      <c r="D67" s="252"/>
    </row>
    <row r="68" spans="1:5" s="63" customFormat="1" ht="15" customHeight="1">
      <c r="A68" s="15"/>
      <c r="B68" s="487" t="s">
        <v>817</v>
      </c>
      <c r="C68" s="488">
        <v>929780.55230617255</v>
      </c>
      <c r="D68" s="489">
        <f>+C68/$C$64</f>
        <v>7.1727207504315008E-2</v>
      </c>
    </row>
    <row r="69" spans="1:5" s="63" customFormat="1" ht="15" customHeight="1">
      <c r="A69" s="15"/>
      <c r="B69" s="487" t="s">
        <v>818</v>
      </c>
      <c r="C69" s="491">
        <v>156656.29302061567</v>
      </c>
      <c r="D69" s="489">
        <f>+C69/$C$64</f>
        <v>1.208512955930954E-2</v>
      </c>
    </row>
    <row r="70" spans="1:5" s="63" customFormat="1" ht="15" customHeight="1">
      <c r="A70" s="15"/>
      <c r="B70" s="251"/>
      <c r="C70" s="51"/>
      <c r="D70" s="252"/>
    </row>
    <row r="71" spans="1:5" s="63" customFormat="1" ht="15" customHeight="1">
      <c r="A71" s="15"/>
      <c r="B71" s="396" t="s">
        <v>553</v>
      </c>
      <c r="C71" s="334">
        <f>+C73+C74+C75</f>
        <v>11876294.936058097</v>
      </c>
      <c r="D71" s="498">
        <f>SUM(D73:D75)</f>
        <v>0.91618766293637532</v>
      </c>
    </row>
    <row r="72" spans="1:5" s="63" customFormat="1" ht="15" customHeight="1">
      <c r="A72" s="15"/>
      <c r="B72" s="253"/>
      <c r="C72" s="51"/>
      <c r="D72" s="252"/>
      <c r="E72" s="806"/>
    </row>
    <row r="73" spans="1:5" s="63" customFormat="1" ht="15" customHeight="1">
      <c r="A73" s="15"/>
      <c r="B73" s="487" t="s">
        <v>819</v>
      </c>
      <c r="C73" s="488">
        <v>5151027.2004566584</v>
      </c>
      <c r="D73" s="489">
        <f>+C73/$C$64</f>
        <v>0.39737204219976108</v>
      </c>
    </row>
    <row r="74" spans="1:5" s="63" customFormat="1" ht="15" customHeight="1">
      <c r="A74" s="15"/>
      <c r="B74" s="487" t="s">
        <v>820</v>
      </c>
      <c r="C74" s="488">
        <v>6585218.4009234579</v>
      </c>
      <c r="D74" s="489">
        <f>+C74/$C$64</f>
        <v>0.50801162224000906</v>
      </c>
    </row>
    <row r="75" spans="1:5" s="63" customFormat="1" ht="15" customHeight="1">
      <c r="A75" s="15"/>
      <c r="B75" s="487" t="s">
        <v>821</v>
      </c>
      <c r="C75" s="488">
        <v>140049.334677979</v>
      </c>
      <c r="D75" s="489">
        <f>+C75/$C$64</f>
        <v>1.0803998496605219E-2</v>
      </c>
    </row>
    <row r="76" spans="1:5" s="63" customFormat="1" ht="15" customHeight="1" thickBot="1">
      <c r="A76" s="15"/>
      <c r="B76" s="62"/>
      <c r="C76" s="170"/>
      <c r="D76" s="242"/>
    </row>
    <row r="77" spans="1:5" s="63" customFormat="1" ht="13.5" thickTop="1">
      <c r="A77" s="15"/>
      <c r="B77" s="414"/>
      <c r="C77" s="414"/>
      <c r="D77" s="414"/>
    </row>
    <row r="78" spans="1:5" s="63" customFormat="1" ht="29.25" customHeight="1">
      <c r="A78" s="15"/>
      <c r="B78" s="1363" t="s">
        <v>696</v>
      </c>
      <c r="C78" s="1363"/>
      <c r="D78" s="1363"/>
    </row>
    <row r="79" spans="1:5" s="63" customFormat="1" ht="12.75" customHeight="1">
      <c r="A79" s="15"/>
      <c r="B79" s="1363" t="s">
        <v>697</v>
      </c>
      <c r="C79" s="1363"/>
      <c r="D79" s="1363"/>
    </row>
    <row r="80" spans="1:5" s="63" customFormat="1" ht="15" customHeight="1">
      <c r="A80" s="15"/>
      <c r="B80" s="1363" t="s">
        <v>698</v>
      </c>
      <c r="C80" s="1363"/>
      <c r="D80" s="1363"/>
    </row>
    <row r="81" spans="1:4" s="63" customFormat="1" ht="15" customHeight="1">
      <c r="A81" s="15"/>
      <c r="B81" s="1363"/>
      <c r="C81" s="1363"/>
      <c r="D81" s="1363"/>
    </row>
    <row r="82" spans="1:4" s="63" customFormat="1" ht="15" customHeight="1">
      <c r="A82" s="15"/>
      <c r="B82" s="15"/>
      <c r="C82" s="15"/>
      <c r="D82" s="15"/>
    </row>
    <row r="83" spans="1:4" s="63" customFormat="1" ht="15" customHeight="1">
      <c r="A83" s="15"/>
      <c r="B83" s="15"/>
      <c r="C83" s="15"/>
      <c r="D83" s="15"/>
    </row>
    <row r="84" spans="1:4" s="63" customFormat="1" ht="15" customHeight="1">
      <c r="A84" s="15"/>
      <c r="B84" s="15"/>
      <c r="C84" s="15"/>
      <c r="D84" s="15"/>
    </row>
    <row r="85" spans="1:4" s="63" customFormat="1" ht="15" customHeight="1">
      <c r="A85" s="15"/>
      <c r="B85" s="15"/>
      <c r="C85" s="15"/>
      <c r="D85" s="15"/>
    </row>
    <row r="86" spans="1:4" s="63" customFormat="1" ht="15" customHeight="1">
      <c r="A86" s="15"/>
      <c r="B86" s="15"/>
      <c r="C86" s="15"/>
      <c r="D86" s="15"/>
    </row>
    <row r="87" spans="1:4" s="63" customFormat="1" ht="15" customHeight="1">
      <c r="A87" s="15"/>
      <c r="B87" s="15"/>
      <c r="C87" s="15"/>
      <c r="D87" s="15"/>
    </row>
    <row r="88" spans="1:4" s="63" customFormat="1" ht="15" customHeight="1">
      <c r="A88" s="15"/>
      <c r="B88" s="15"/>
      <c r="C88" s="15"/>
      <c r="D88" s="15"/>
    </row>
    <row r="89" spans="1:4" s="63" customFormat="1" ht="15" customHeight="1">
      <c r="A89" s="15"/>
      <c r="B89" s="15"/>
      <c r="C89" s="15"/>
      <c r="D89" s="15"/>
    </row>
    <row r="90" spans="1:4" s="63" customFormat="1" ht="15" customHeight="1">
      <c r="A90" s="15"/>
      <c r="B90" s="15"/>
      <c r="C90" s="15"/>
      <c r="D90" s="15"/>
    </row>
    <row r="91" spans="1:4" s="63" customFormat="1" ht="15" customHeight="1">
      <c r="A91" s="15"/>
      <c r="B91" s="15"/>
      <c r="C91" s="15"/>
      <c r="D91" s="15"/>
    </row>
    <row r="92" spans="1:4" s="63" customFormat="1" ht="15" customHeight="1">
      <c r="A92" s="15"/>
      <c r="B92" s="15"/>
      <c r="C92" s="15"/>
      <c r="D92" s="15"/>
    </row>
    <row r="93" spans="1:4" s="63" customFormat="1" ht="15" customHeight="1">
      <c r="A93" s="15"/>
      <c r="B93" s="15"/>
      <c r="C93" s="15"/>
      <c r="D93" s="15"/>
    </row>
    <row r="94" spans="1:4" s="63" customFormat="1" ht="15" customHeight="1">
      <c r="A94" s="15"/>
      <c r="B94" s="15"/>
      <c r="C94" s="15"/>
      <c r="D94" s="15"/>
    </row>
    <row r="95" spans="1:4" s="63" customFormat="1" ht="15" customHeight="1">
      <c r="A95" s="15"/>
      <c r="B95" s="15"/>
      <c r="C95" s="15"/>
      <c r="D95" s="15"/>
    </row>
    <row r="96" spans="1:4" s="63" customFormat="1" ht="15" customHeight="1">
      <c r="A96" s="15"/>
      <c r="B96" s="15"/>
      <c r="C96" s="15"/>
      <c r="D96" s="15"/>
    </row>
    <row r="97" spans="1:4" s="63" customFormat="1" ht="15" customHeight="1">
      <c r="A97" s="15"/>
      <c r="B97" s="15"/>
      <c r="C97" s="15"/>
      <c r="D97" s="15"/>
    </row>
    <row r="98" spans="1:4" s="63" customFormat="1" ht="15" customHeight="1">
      <c r="A98" s="15"/>
      <c r="B98" s="15"/>
      <c r="C98" s="15"/>
      <c r="D98" s="15"/>
    </row>
    <row r="99" spans="1:4" s="63" customFormat="1" ht="15" customHeight="1">
      <c r="A99" s="15"/>
      <c r="B99" s="15"/>
      <c r="C99" s="15"/>
      <c r="D99" s="15"/>
    </row>
    <row r="100" spans="1:4" s="63" customFormat="1" ht="15" customHeight="1">
      <c r="A100" s="15"/>
      <c r="B100" s="15"/>
      <c r="C100" s="15"/>
      <c r="D100" s="15"/>
    </row>
    <row r="101" spans="1:4" s="63" customFormat="1" ht="15" customHeight="1">
      <c r="A101" s="15"/>
      <c r="B101" s="15"/>
      <c r="C101" s="15"/>
      <c r="D101" s="15"/>
    </row>
    <row r="102" spans="1:4" s="63" customFormat="1" ht="15" customHeight="1">
      <c r="A102" s="15"/>
      <c r="B102" s="15"/>
      <c r="C102" s="15"/>
      <c r="D102" s="15"/>
    </row>
    <row r="103" spans="1:4" s="63" customFormat="1" ht="15" customHeight="1">
      <c r="A103" s="15"/>
      <c r="B103" s="15"/>
      <c r="C103" s="15"/>
      <c r="D103" s="15"/>
    </row>
    <row r="104" spans="1:4" s="63" customFormat="1" ht="15" customHeight="1">
      <c r="A104" s="15"/>
      <c r="B104" s="15"/>
      <c r="C104" s="15"/>
      <c r="D104" s="15"/>
    </row>
    <row r="105" spans="1:4" s="63" customFormat="1" ht="15" customHeight="1">
      <c r="A105" s="15"/>
      <c r="B105" s="15"/>
      <c r="C105" s="15"/>
      <c r="D105" s="15"/>
    </row>
    <row r="106" spans="1:4" s="63" customFormat="1" ht="15" customHeight="1">
      <c r="A106" s="15"/>
      <c r="B106" s="15"/>
      <c r="C106" s="15"/>
      <c r="D106" s="15"/>
    </row>
  </sheetData>
  <mergeCells count="6">
    <mergeCell ref="B80:D81"/>
    <mergeCell ref="B6:D6"/>
    <mergeCell ref="B7:D7"/>
    <mergeCell ref="D11:D12"/>
    <mergeCell ref="B78:D78"/>
    <mergeCell ref="B79:D7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9"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sheetPr codeName="Hoja21">
    <tabColor theme="3" tint="0.79998168889431442"/>
    <pageSetUpPr fitToPage="1"/>
  </sheetPr>
  <dimension ref="A1:H58"/>
  <sheetViews>
    <sheetView showGridLines="0" showRuler="0" zoomScaleNormal="100" zoomScaleSheetLayoutView="85" workbookViewId="0">
      <selection activeCell="B1" sqref="B1"/>
    </sheetView>
  </sheetViews>
  <sheetFormatPr baseColWidth="10" defaultColWidth="11.453125" defaultRowHeight="13"/>
  <cols>
    <col min="1" max="1" width="6.81640625" style="29" customWidth="1"/>
    <col min="2" max="2" width="47.81640625" style="29" customWidth="1"/>
    <col min="3" max="3" width="20.7265625" style="29" customWidth="1"/>
    <col min="4" max="4" width="12.7265625" style="29" customWidth="1"/>
    <col min="5" max="5" width="20.26953125" style="63" customWidth="1"/>
    <col min="6" max="6" width="12.7265625" style="29" customWidth="1"/>
    <col min="7" max="7" width="20.7265625" style="29" customWidth="1"/>
    <col min="8" max="8" width="13" style="29" customWidth="1"/>
    <col min="9" max="16384" width="11.453125" style="29"/>
  </cols>
  <sheetData>
    <row r="1" spans="1:8" ht="14.5">
      <c r="A1" s="738" t="s">
        <v>219</v>
      </c>
      <c r="B1" s="413"/>
    </row>
    <row r="2" spans="1:8" ht="15" customHeight="1">
      <c r="A2" s="413"/>
      <c r="B2" s="386" t="str">
        <f>+INDICE!B2</f>
        <v>MINISTERIO DE ECONOMÍA</v>
      </c>
      <c r="C2" s="24"/>
      <c r="D2" s="215"/>
    </row>
    <row r="3" spans="1:8" ht="15" customHeight="1">
      <c r="A3" s="413"/>
      <c r="B3" s="634" t="s">
        <v>304</v>
      </c>
      <c r="C3" s="24"/>
      <c r="D3" s="24"/>
    </row>
    <row r="4" spans="1:8" s="426" customFormat="1" ht="12">
      <c r="B4" s="427"/>
      <c r="C4" s="24"/>
      <c r="D4" s="24"/>
      <c r="E4" s="428"/>
    </row>
    <row r="5" spans="1:8" s="426" customFormat="1" ht="12">
      <c r="B5" s="24"/>
      <c r="C5" s="24"/>
      <c r="D5" s="24"/>
      <c r="E5" s="428"/>
    </row>
    <row r="6" spans="1:8" ht="16.5" customHeight="1">
      <c r="B6" s="1374" t="s">
        <v>773</v>
      </c>
      <c r="C6" s="1374"/>
      <c r="D6" s="1374"/>
      <c r="E6" s="1374"/>
      <c r="F6" s="1374"/>
      <c r="G6" s="1374"/>
      <c r="H6" s="1374"/>
    </row>
    <row r="7" spans="1:8" ht="16.5" customHeight="1">
      <c r="B7" s="1375" t="s">
        <v>740</v>
      </c>
      <c r="C7" s="1375"/>
      <c r="D7" s="1375"/>
      <c r="E7" s="1375"/>
      <c r="F7" s="1375"/>
      <c r="G7" s="1375"/>
      <c r="H7" s="1375"/>
    </row>
    <row r="8" spans="1:8" s="426" customFormat="1" ht="12">
      <c r="B8" s="429"/>
      <c r="C8" s="429"/>
      <c r="D8" s="429"/>
      <c r="E8" s="428"/>
    </row>
    <row r="9" spans="1:8" s="426" customFormat="1" ht="12.5" thickBot="1">
      <c r="B9" s="429"/>
      <c r="C9" s="429"/>
      <c r="D9" s="429"/>
      <c r="E9" s="428"/>
    </row>
    <row r="10" spans="1:8" ht="15.5" thickTop="1" thickBot="1">
      <c r="B10" s="7"/>
      <c r="C10" s="1367" t="s">
        <v>971</v>
      </c>
      <c r="D10" s="1368"/>
      <c r="E10" s="1368"/>
      <c r="F10" s="1368"/>
      <c r="G10" s="1368"/>
      <c r="H10" s="1369"/>
    </row>
    <row r="11" spans="1:8" ht="15" thickTop="1">
      <c r="B11" s="319"/>
      <c r="C11" s="1370" t="s">
        <v>760</v>
      </c>
      <c r="D11" s="1371"/>
      <c r="E11" s="1370" t="s">
        <v>758</v>
      </c>
      <c r="F11" s="1371"/>
      <c r="G11" s="1376" t="s">
        <v>737</v>
      </c>
      <c r="H11" s="1377"/>
    </row>
    <row r="12" spans="1:8" ht="36.75" customHeight="1">
      <c r="B12" s="320"/>
      <c r="C12" s="1372"/>
      <c r="D12" s="1373"/>
      <c r="E12" s="1372"/>
      <c r="F12" s="1373"/>
      <c r="G12" s="1378"/>
      <c r="H12" s="1379"/>
    </row>
    <row r="13" spans="1:8" ht="14.5">
      <c r="B13" s="321"/>
      <c r="C13" s="318" t="s">
        <v>274</v>
      </c>
      <c r="D13" s="1278" t="s">
        <v>288</v>
      </c>
      <c r="E13" s="318" t="s">
        <v>274</v>
      </c>
      <c r="F13" s="1278" t="s">
        <v>288</v>
      </c>
      <c r="G13" s="318" t="s">
        <v>274</v>
      </c>
      <c r="H13" s="1278" t="s">
        <v>288</v>
      </c>
    </row>
    <row r="14" spans="1:8" ht="14.5">
      <c r="B14" s="216"/>
      <c r="C14" s="217"/>
      <c r="D14" s="1279"/>
      <c r="E14" s="217"/>
      <c r="F14" s="1279"/>
      <c r="G14" s="217"/>
      <c r="H14" s="1279"/>
    </row>
    <row r="15" spans="1:8" s="412" customFormat="1" ht="15.5">
      <c r="B15" s="334" t="s">
        <v>280</v>
      </c>
      <c r="C15" s="1280">
        <f t="shared" ref="C15:H15" si="0">+C17+C28</f>
        <v>320629408.73854738</v>
      </c>
      <c r="D15" s="1281">
        <f t="shared" si="0"/>
        <v>0.99246215963669049</v>
      </c>
      <c r="E15" s="1280">
        <f t="shared" si="0"/>
        <v>2435209.5194623484</v>
      </c>
      <c r="F15" s="1281">
        <f t="shared" si="0"/>
        <v>7.5378403633093371E-3</v>
      </c>
      <c r="G15" s="1280">
        <f t="shared" si="0"/>
        <v>323064618.25800979</v>
      </c>
      <c r="H15" s="1281">
        <f t="shared" si="0"/>
        <v>0.99999999999999978</v>
      </c>
    </row>
    <row r="16" spans="1:8" ht="14.5">
      <c r="B16" s="216" t="s">
        <v>289</v>
      </c>
      <c r="C16" s="217"/>
      <c r="D16" s="1279"/>
      <c r="E16" s="218"/>
      <c r="F16" s="1282"/>
      <c r="G16" s="217"/>
      <c r="H16" s="1279"/>
    </row>
    <row r="17" spans="2:8" s="413" customFormat="1" ht="14.5">
      <c r="B17" s="500" t="s">
        <v>415</v>
      </c>
      <c r="C17" s="501">
        <f t="shared" ref="C17:H17" si="1">+C19+C24</f>
        <v>71582514.030383214</v>
      </c>
      <c r="D17" s="1283">
        <f t="shared" si="1"/>
        <v>0.22157336329915001</v>
      </c>
      <c r="E17" s="502">
        <f t="shared" si="1"/>
        <v>63183.869258860192</v>
      </c>
      <c r="F17" s="1284">
        <f t="shared" si="1"/>
        <v>1.9557656793106176E-4</v>
      </c>
      <c r="G17" s="501">
        <f t="shared" si="1"/>
        <v>71645697.89964208</v>
      </c>
      <c r="H17" s="1283">
        <f t="shared" si="1"/>
        <v>0.22176893986708107</v>
      </c>
    </row>
    <row r="18" spans="2:8" ht="14.5">
      <c r="B18" s="219"/>
      <c r="C18" s="220"/>
      <c r="D18" s="1285"/>
      <c r="E18" s="221"/>
      <c r="F18" s="1286"/>
      <c r="G18" s="220"/>
      <c r="H18" s="1285"/>
    </row>
    <row r="19" spans="2:8" s="413" customFormat="1" ht="14.5">
      <c r="B19" s="500" t="s">
        <v>148</v>
      </c>
      <c r="C19" s="501">
        <f t="shared" ref="C19:H19" si="2">SUM(C20:C22)</f>
        <v>47129925.405467585</v>
      </c>
      <c r="D19" s="1283">
        <f t="shared" si="2"/>
        <v>0.14588389672504501</v>
      </c>
      <c r="E19" s="502">
        <f t="shared" si="2"/>
        <v>528.18495016278473</v>
      </c>
      <c r="F19" s="1284">
        <f t="shared" si="2"/>
        <v>1.6349204472182689E-6</v>
      </c>
      <c r="G19" s="501">
        <f t="shared" si="2"/>
        <v>47130453.59041775</v>
      </c>
      <c r="H19" s="1283">
        <f t="shared" si="2"/>
        <v>0.1458855316454922</v>
      </c>
    </row>
    <row r="20" spans="2:8" ht="14.5">
      <c r="B20" s="508" t="s">
        <v>149</v>
      </c>
      <c r="C20" s="506">
        <v>18925634.156045001</v>
      </c>
      <c r="D20" s="1288">
        <f>+C20/$G$15</f>
        <v>5.8581574974361263E-2</v>
      </c>
      <c r="E20" s="507">
        <v>15.0659267050672</v>
      </c>
      <c r="F20" s="1290">
        <f>+E20/$G$15</f>
        <v>4.6634406411645694E-8</v>
      </c>
      <c r="G20" s="506">
        <f>+C20+E20</f>
        <v>18925649.221971706</v>
      </c>
      <c r="H20" s="1288">
        <f>+F20+D20</f>
        <v>5.8581621608767676E-2</v>
      </c>
    </row>
    <row r="21" spans="2:8" ht="14.5">
      <c r="B21" s="508" t="s">
        <v>150</v>
      </c>
      <c r="C21" s="506">
        <v>19378713.14440332</v>
      </c>
      <c r="D21" s="1288">
        <f>+C21/$G$15</f>
        <v>5.9984015733121406E-2</v>
      </c>
      <c r="E21" s="507">
        <v>0</v>
      </c>
      <c r="F21" s="1290">
        <f>+E21/$G$15</f>
        <v>0</v>
      </c>
      <c r="G21" s="506">
        <f>+C21+E21</f>
        <v>19378713.14440332</v>
      </c>
      <c r="H21" s="1288">
        <f>+F21+D21</f>
        <v>5.9984015733121406E-2</v>
      </c>
    </row>
    <row r="22" spans="2:8" ht="14.5">
      <c r="B22" s="508" t="s">
        <v>152</v>
      </c>
      <c r="C22" s="506">
        <v>8825578.1050192658</v>
      </c>
      <c r="D22" s="1288">
        <f>+C22/$G$15</f>
        <v>2.7318306017562331E-2</v>
      </c>
      <c r="E22" s="507">
        <v>513.1190234577175</v>
      </c>
      <c r="F22" s="1290">
        <f>+E22/$G$15</f>
        <v>1.5882860408066232E-6</v>
      </c>
      <c r="G22" s="506">
        <f>+C22+E22</f>
        <v>8826091.224042723</v>
      </c>
      <c r="H22" s="1288">
        <f>+F22+D22</f>
        <v>2.7319894303603137E-2</v>
      </c>
    </row>
    <row r="23" spans="2:8" ht="14.5">
      <c r="B23" s="222"/>
      <c r="C23" s="220"/>
      <c r="D23" s="1285"/>
      <c r="E23" s="221"/>
      <c r="F23" s="1286"/>
      <c r="G23" s="220"/>
      <c r="H23" s="1285"/>
    </row>
    <row r="24" spans="2:8" s="413" customFormat="1" ht="14.5">
      <c r="B24" s="500" t="s">
        <v>151</v>
      </c>
      <c r="C24" s="501">
        <f t="shared" ref="C24:H24" si="3">SUM(C25:C26)</f>
        <v>24452588.62491563</v>
      </c>
      <c r="D24" s="1283">
        <f t="shared" si="3"/>
        <v>7.568946657410501E-2</v>
      </c>
      <c r="E24" s="502">
        <f t="shared" si="3"/>
        <v>62655.684308697404</v>
      </c>
      <c r="F24" s="1284">
        <f t="shared" si="3"/>
        <v>1.939416474838435E-4</v>
      </c>
      <c r="G24" s="501">
        <f t="shared" si="3"/>
        <v>24515244.309224326</v>
      </c>
      <c r="H24" s="1283">
        <f t="shared" si="3"/>
        <v>7.5883408221588858E-2</v>
      </c>
    </row>
    <row r="25" spans="2:8" ht="14.5">
      <c r="B25" s="508" t="s">
        <v>149</v>
      </c>
      <c r="C25" s="506">
        <v>23719446.736563392</v>
      </c>
      <c r="D25" s="1288">
        <f>+C25/$G$15</f>
        <v>7.3420131441383277E-2</v>
      </c>
      <c r="E25" s="507">
        <v>54181.90257422677</v>
      </c>
      <c r="F25" s="1290">
        <f>+E25/$G$15</f>
        <v>1.6771227646772313E-4</v>
      </c>
      <c r="G25" s="506">
        <f>+C25+E25</f>
        <v>23773628.639137618</v>
      </c>
      <c r="H25" s="1288">
        <f>+F25+D25</f>
        <v>7.3587843717851001E-2</v>
      </c>
    </row>
    <row r="26" spans="2:8" ht="14.5">
      <c r="B26" s="508" t="s">
        <v>416</v>
      </c>
      <c r="C26" s="506">
        <v>733141.88835223834</v>
      </c>
      <c r="D26" s="1288">
        <f>+C26/$G$15</f>
        <v>2.269335132721738E-3</v>
      </c>
      <c r="E26" s="507">
        <v>8473.7817344706364</v>
      </c>
      <c r="F26" s="1290">
        <f>+E26/$G$15</f>
        <v>2.6229371016120379E-5</v>
      </c>
      <c r="G26" s="506">
        <f>+C26+E26</f>
        <v>741615.67008670897</v>
      </c>
      <c r="H26" s="1288">
        <f>+F26+D26</f>
        <v>2.2955645037378582E-3</v>
      </c>
    </row>
    <row r="27" spans="2:8" ht="14.5">
      <c r="B27" s="222"/>
      <c r="C27" s="217"/>
      <c r="D27" s="1279"/>
      <c r="E27" s="218"/>
      <c r="F27" s="1282"/>
      <c r="G27" s="217"/>
      <c r="H27" s="1279"/>
    </row>
    <row r="28" spans="2:8" s="413" customFormat="1" ht="14.5">
      <c r="B28" s="500" t="s">
        <v>165</v>
      </c>
      <c r="C28" s="501">
        <f t="shared" ref="C28:H28" si="4">+C30+C37+C47+C50+C44</f>
        <v>249046894.70816419</v>
      </c>
      <c r="D28" s="1283">
        <f t="shared" si="4"/>
        <v>0.77088879633754048</v>
      </c>
      <c r="E28" s="502">
        <f t="shared" si="4"/>
        <v>2372025.6502034883</v>
      </c>
      <c r="F28" s="1284">
        <f t="shared" si="4"/>
        <v>7.3422637953782753E-3</v>
      </c>
      <c r="G28" s="501">
        <f t="shared" si="4"/>
        <v>251418920.35836768</v>
      </c>
      <c r="H28" s="1283">
        <f t="shared" si="4"/>
        <v>0.77823106013291876</v>
      </c>
    </row>
    <row r="29" spans="2:8" ht="14.5">
      <c r="B29" s="219"/>
      <c r="C29" s="220"/>
      <c r="D29" s="1285"/>
      <c r="E29" s="221"/>
      <c r="F29" s="1286"/>
      <c r="G29" s="220"/>
      <c r="H29" s="1285"/>
    </row>
    <row r="30" spans="2:8" s="413" customFormat="1" ht="14.5">
      <c r="B30" s="500" t="s">
        <v>229</v>
      </c>
      <c r="C30" s="501">
        <f t="shared" ref="C30:H30" si="5">SUM(C31:C33)</f>
        <v>182633081.70595801</v>
      </c>
      <c r="D30" s="1283">
        <f t="shared" si="5"/>
        <v>0.56531440270596678</v>
      </c>
      <c r="E30" s="502">
        <f t="shared" si="5"/>
        <v>1467619.5671000001</v>
      </c>
      <c r="F30" s="1284">
        <f t="shared" si="5"/>
        <v>4.5428050122403437E-3</v>
      </c>
      <c r="G30" s="501">
        <f t="shared" si="5"/>
        <v>184100701.273058</v>
      </c>
      <c r="H30" s="1283">
        <f t="shared" si="5"/>
        <v>0.56985720771820714</v>
      </c>
    </row>
    <row r="31" spans="2:8" ht="14.5">
      <c r="B31" s="508" t="s">
        <v>149</v>
      </c>
      <c r="C31" s="506">
        <v>94167631.51655598</v>
      </c>
      <c r="D31" s="1288">
        <f>+C31/$G$15</f>
        <v>0.29148234190520572</v>
      </c>
      <c r="E31" s="507">
        <v>1379688.15157</v>
      </c>
      <c r="F31" s="1290">
        <f>+E31/$G$15</f>
        <v>4.2706259788193104E-3</v>
      </c>
      <c r="G31" s="506">
        <f>+C31+E31</f>
        <v>95547319.668125987</v>
      </c>
      <c r="H31" s="1288">
        <f>+F31+D31</f>
        <v>0.29575296788402505</v>
      </c>
    </row>
    <row r="32" spans="2:8" ht="14.5">
      <c r="B32" s="508" t="s">
        <v>150</v>
      </c>
      <c r="C32" s="1287">
        <v>19561886.843680002</v>
      </c>
      <c r="D32" s="1288">
        <f>+C32/$G$15</f>
        <v>6.0551003539661065E-2</v>
      </c>
      <c r="E32" s="507">
        <v>63</v>
      </c>
      <c r="F32" s="1290">
        <f>+E32/$G$15</f>
        <v>1.9500742712000165E-7</v>
      </c>
      <c r="G32" s="506">
        <f>+C32+E32</f>
        <v>19561949.843680002</v>
      </c>
      <c r="H32" s="1288">
        <f>+F32+D32</f>
        <v>6.0551198547088188E-2</v>
      </c>
    </row>
    <row r="33" spans="2:8" ht="14.5">
      <c r="B33" s="508" t="s">
        <v>152</v>
      </c>
      <c r="C33" s="506">
        <f>+C34+C35</f>
        <v>68903563.345722005</v>
      </c>
      <c r="D33" s="1288">
        <f>+D34+D35</f>
        <v>0.2132810572611</v>
      </c>
      <c r="E33" s="506">
        <f>+E34+E35</f>
        <v>87868.415530000013</v>
      </c>
      <c r="F33" s="1290">
        <f>+F34+F35</f>
        <v>2.7198402599391266E-4</v>
      </c>
      <c r="G33" s="506">
        <f>+C33+E33</f>
        <v>68991431.761252001</v>
      </c>
      <c r="H33" s="1288">
        <f>+H34+H35</f>
        <v>0.2135530412870939</v>
      </c>
    </row>
    <row r="34" spans="2:8" ht="14.5">
      <c r="B34" s="632" t="s">
        <v>365</v>
      </c>
      <c r="C34" s="1291">
        <v>18185903.185622003</v>
      </c>
      <c r="D34" s="1292">
        <f>+C34/$G$15</f>
        <v>5.6291844287009341E-2</v>
      </c>
      <c r="E34" s="633">
        <v>80677.426090000008</v>
      </c>
      <c r="F34" s="631">
        <f>+E34/$G$15</f>
        <v>2.4972535378531741E-4</v>
      </c>
      <c r="G34" s="506">
        <f>+C34+E34</f>
        <v>18266580.611712001</v>
      </c>
      <c r="H34" s="1292">
        <f>+F34+D34</f>
        <v>5.654156964079466E-2</v>
      </c>
    </row>
    <row r="35" spans="2:8" ht="14.5">
      <c r="B35" s="632" t="s">
        <v>153</v>
      </c>
      <c r="C35" s="1291">
        <v>50717660.160099998</v>
      </c>
      <c r="D35" s="1292">
        <f>+C35/$G$15</f>
        <v>0.15698921297409066</v>
      </c>
      <c r="E35" s="633">
        <v>7190.9894400000003</v>
      </c>
      <c r="F35" s="631">
        <f>+E35/$G$15</f>
        <v>2.2258672208595264E-5</v>
      </c>
      <c r="G35" s="506">
        <f>+C35+E35</f>
        <v>50724851.14954</v>
      </c>
      <c r="H35" s="1292">
        <f>+F35+D35</f>
        <v>0.15701147164629925</v>
      </c>
    </row>
    <row r="36" spans="2:8" ht="14.5">
      <c r="B36" s="223"/>
      <c r="C36" s="217"/>
      <c r="D36" s="1279"/>
      <c r="E36" s="218"/>
      <c r="F36" s="1282"/>
      <c r="G36" s="217"/>
      <c r="H36" s="1279"/>
    </row>
    <row r="37" spans="2:8" s="413" customFormat="1" ht="14.5">
      <c r="B37" s="500" t="s">
        <v>230</v>
      </c>
      <c r="C37" s="501">
        <f t="shared" ref="C37:H37" si="6">SUM(C38:C40)</f>
        <v>20923262.624851469</v>
      </c>
      <c r="D37" s="1283">
        <f t="shared" si="6"/>
        <v>6.476494621314885E-2</v>
      </c>
      <c r="E37" s="502">
        <f t="shared" si="6"/>
        <v>856021.6004607107</v>
      </c>
      <c r="F37" s="1284">
        <f t="shared" si="6"/>
        <v>2.6496915851585592E-3</v>
      </c>
      <c r="G37" s="501">
        <f t="shared" si="6"/>
        <v>21779284.225312177</v>
      </c>
      <c r="H37" s="1283">
        <f t="shared" si="6"/>
        <v>6.7414637798307406E-2</v>
      </c>
    </row>
    <row r="38" spans="2:8" ht="14.5">
      <c r="B38" s="508" t="s">
        <v>149</v>
      </c>
      <c r="C38" s="506">
        <v>20613223.424548812</v>
      </c>
      <c r="D38" s="1288">
        <f>+C38/$G$15</f>
        <v>6.3805264518587521E-2</v>
      </c>
      <c r="E38" s="507">
        <v>840951.34269812808</v>
      </c>
      <c r="F38" s="1290">
        <f>+E38/$G$15</f>
        <v>2.603043772582107E-3</v>
      </c>
      <c r="G38" s="506">
        <f>+C38+E38</f>
        <v>21454174.767246939</v>
      </c>
      <c r="H38" s="1288">
        <f>+F38+D38</f>
        <v>6.6408308291169629E-2</v>
      </c>
    </row>
    <row r="39" spans="2:8" ht="14.5">
      <c r="B39" s="1238" t="s">
        <v>150</v>
      </c>
      <c r="C39" s="1287">
        <v>16814.258491200537</v>
      </c>
      <c r="D39" s="1288">
        <f>+C39/$G$15</f>
        <v>5.204611567142314E-5</v>
      </c>
      <c r="E39" s="1289">
        <v>0</v>
      </c>
      <c r="F39" s="1290">
        <f>+E39/$G$15</f>
        <v>0</v>
      </c>
      <c r="G39" s="1287">
        <f>+C39+E39</f>
        <v>16814.258491200537</v>
      </c>
      <c r="H39" s="1288">
        <f>+F39+D39</f>
        <v>5.204611567142314E-5</v>
      </c>
    </row>
    <row r="40" spans="2:8" ht="14.5">
      <c r="B40" s="508" t="s">
        <v>152</v>
      </c>
      <c r="C40" s="507">
        <f>SUM(C41:C42)</f>
        <v>293224.94181145617</v>
      </c>
      <c r="D40" s="1290">
        <f>+D41+D42</f>
        <v>9.0763557888990894E-4</v>
      </c>
      <c r="E40" s="507">
        <f>+E41+E42</f>
        <v>15070.257762582671</v>
      </c>
      <c r="F40" s="1290">
        <f>+F41+F42</f>
        <v>4.664781257645205E-5</v>
      </c>
      <c r="G40" s="506">
        <f>+C40+E40</f>
        <v>308295.19957403885</v>
      </c>
      <c r="H40" s="1288">
        <f>+H41+H42</f>
        <v>9.5428339146636095E-4</v>
      </c>
    </row>
    <row r="41" spans="2:8">
      <c r="B41" s="632" t="s">
        <v>365</v>
      </c>
      <c r="C41" s="630">
        <v>283373.17811904498</v>
      </c>
      <c r="D41" s="1292">
        <f>+C41/$G$15</f>
        <v>8.7714086317163356E-4</v>
      </c>
      <c r="E41" s="633">
        <v>7516.1817733437956</v>
      </c>
      <c r="F41" s="631">
        <f>+E41/$G$15</f>
        <v>2.3265258244222618E-5</v>
      </c>
      <c r="G41" s="630">
        <f>+C41+E41</f>
        <v>290889.35989238881</v>
      </c>
      <c r="H41" s="1292">
        <f>+F41+D41</f>
        <v>9.0040612141585618E-4</v>
      </c>
    </row>
    <row r="42" spans="2:8">
      <c r="B42" s="632" t="s">
        <v>153</v>
      </c>
      <c r="C42" s="630">
        <v>9851.7636924111648</v>
      </c>
      <c r="D42" s="810">
        <f>+C42/$G$15</f>
        <v>3.0494715718275376E-5</v>
      </c>
      <c r="E42" s="633">
        <v>7554.0759892388751</v>
      </c>
      <c r="F42" s="631">
        <f>+E42/$G$15</f>
        <v>2.3382554332229435E-5</v>
      </c>
      <c r="G42" s="630">
        <f>+C42+E42</f>
        <v>17405.839681650039</v>
      </c>
      <c r="H42" s="1292">
        <f>+F42+D42</f>
        <v>5.3877270050504812E-5</v>
      </c>
    </row>
    <row r="43" spans="2:8" ht="14.5">
      <c r="B43" s="222"/>
      <c r="C43" s="217"/>
      <c r="D43" s="1279"/>
      <c r="E43" s="218"/>
      <c r="F43" s="1282"/>
      <c r="G43" s="217"/>
      <c r="H43" s="1279"/>
    </row>
    <row r="44" spans="2:8" ht="14.5">
      <c r="B44" s="500" t="s">
        <v>738</v>
      </c>
      <c r="C44" s="501">
        <f>+C45</f>
        <v>44141598.381415933</v>
      </c>
      <c r="D44" s="1283">
        <f>+SUM(D45:D46)</f>
        <v>0.13663396078292619</v>
      </c>
      <c r="E44" s="502">
        <f>+SUM(E45:E46)</f>
        <v>0</v>
      </c>
      <c r="F44" s="1284">
        <f>+SUM(F45:F46)</f>
        <v>0</v>
      </c>
      <c r="G44" s="501">
        <f>+SUM(G45:G46)</f>
        <v>44141598.381415933</v>
      </c>
      <c r="H44" s="1283">
        <f>+SUM(H45:H46)</f>
        <v>0.13663396078292619</v>
      </c>
    </row>
    <row r="45" spans="2:8" ht="14.5">
      <c r="B45" s="508" t="s">
        <v>726</v>
      </c>
      <c r="C45" s="504">
        <v>44141598.381415933</v>
      </c>
      <c r="D45" s="809">
        <f>+C45/$G$15</f>
        <v>0.13663396078292619</v>
      </c>
      <c r="E45" s="505">
        <v>0</v>
      </c>
      <c r="F45" s="1282">
        <f>+E45/$G$15</f>
        <v>0</v>
      </c>
      <c r="G45" s="504">
        <f>+C45+E45</f>
        <v>44141598.381415933</v>
      </c>
      <c r="H45" s="1279">
        <f>+F45+D45</f>
        <v>0.13663396078292619</v>
      </c>
    </row>
    <row r="46" spans="2:8" ht="14.5">
      <c r="B46" s="1019"/>
      <c r="C46" s="217"/>
      <c r="D46" s="1279"/>
      <c r="E46" s="218"/>
      <c r="F46" s="1282"/>
      <c r="G46" s="217"/>
      <c r="H46" s="1279"/>
    </row>
    <row r="47" spans="2:8" s="413" customFormat="1" ht="14.5">
      <c r="B47" s="500" t="s">
        <v>231</v>
      </c>
      <c r="C47" s="501">
        <f t="shared" ref="C47:H47" si="7">+SUM(C48:C48)</f>
        <v>760001.93048098707</v>
      </c>
      <c r="D47" s="1283">
        <f t="shared" si="7"/>
        <v>2.3524765249100261E-3</v>
      </c>
      <c r="E47" s="502">
        <f t="shared" si="7"/>
        <v>29507.263948991807</v>
      </c>
      <c r="F47" s="1284">
        <f t="shared" si="7"/>
        <v>9.1335486095931308E-5</v>
      </c>
      <c r="G47" s="501">
        <f t="shared" si="7"/>
        <v>789509.19442997884</v>
      </c>
      <c r="H47" s="1283">
        <f t="shared" si="7"/>
        <v>2.4438120110059575E-3</v>
      </c>
    </row>
    <row r="48" spans="2:8" ht="14.5">
      <c r="B48" s="508" t="s">
        <v>149</v>
      </c>
      <c r="C48" s="506">
        <v>760001.93048098707</v>
      </c>
      <c r="D48" s="1288">
        <f>+C48/$G$15</f>
        <v>2.3524765249100261E-3</v>
      </c>
      <c r="E48" s="507">
        <v>29507.263948991807</v>
      </c>
      <c r="F48" s="1290">
        <f>+E48/$G$15</f>
        <v>9.1335486095931308E-5</v>
      </c>
      <c r="G48" s="506">
        <f>+C48+E48</f>
        <v>789509.19442997884</v>
      </c>
      <c r="H48" s="1288">
        <f>+F48+D48</f>
        <v>2.4438120110059575E-3</v>
      </c>
    </row>
    <row r="49" spans="2:8" ht="14.5">
      <c r="B49" s="222"/>
      <c r="C49" s="217"/>
      <c r="D49" s="1279"/>
      <c r="E49" s="218"/>
      <c r="F49" s="1282"/>
      <c r="G49" s="217"/>
      <c r="H49" s="1279"/>
    </row>
    <row r="50" spans="2:8" s="413" customFormat="1" ht="14.5">
      <c r="B50" s="500" t="s">
        <v>417</v>
      </c>
      <c r="C50" s="501">
        <f t="shared" ref="C50:H50" si="8">SUM(C51:C51)</f>
        <v>588950.06545779249</v>
      </c>
      <c r="D50" s="1283">
        <f t="shared" si="8"/>
        <v>1.823010110588582E-3</v>
      </c>
      <c r="E50" s="502">
        <f t="shared" si="8"/>
        <v>18877.218693786024</v>
      </c>
      <c r="F50" s="1284">
        <f t="shared" si="8"/>
        <v>5.8431711883441441E-5</v>
      </c>
      <c r="G50" s="501">
        <f t="shared" si="8"/>
        <v>607827.28415157855</v>
      </c>
      <c r="H50" s="1283">
        <f t="shared" si="8"/>
        <v>1.8814418224720234E-3</v>
      </c>
    </row>
    <row r="51" spans="2:8" ht="14.5">
      <c r="B51" s="503" t="s">
        <v>149</v>
      </c>
      <c r="C51" s="504">
        <v>588950.06545779249</v>
      </c>
      <c r="D51" s="1279">
        <f>+C51/$G$15</f>
        <v>1.823010110588582E-3</v>
      </c>
      <c r="E51" s="505">
        <v>18877.218693786024</v>
      </c>
      <c r="F51" s="1282">
        <f>+E51/$G$15</f>
        <v>5.8431711883441441E-5</v>
      </c>
      <c r="G51" s="504">
        <f>+C51+E51</f>
        <v>607827.28415157855</v>
      </c>
      <c r="H51" s="1279">
        <f>+F51+D51</f>
        <v>1.8814418224720234E-3</v>
      </c>
    </row>
    <row r="52" spans="2:8" ht="15" thickBot="1">
      <c r="B52" s="224"/>
      <c r="C52" s="225"/>
      <c r="D52" s="1293"/>
      <c r="E52" s="225"/>
      <c r="F52" s="1293"/>
      <c r="G52" s="225"/>
      <c r="H52" s="1293"/>
    </row>
    <row r="53" spans="2:8" ht="12.75" customHeight="1" thickTop="1">
      <c r="B53" s="226" t="s">
        <v>289</v>
      </c>
      <c r="C53" s="227"/>
      <c r="D53" s="228"/>
      <c r="E53" s="5"/>
      <c r="F53" s="5"/>
      <c r="G53" s="54"/>
      <c r="H53" s="138"/>
    </row>
    <row r="54" spans="2:8" ht="12.75" customHeight="1">
      <c r="B54" s="1366" t="s">
        <v>418</v>
      </c>
      <c r="C54" s="1366"/>
      <c r="D54" s="1366"/>
      <c r="E54" s="1366"/>
      <c r="F54" s="1366"/>
      <c r="G54" s="1366"/>
      <c r="H54" s="1366"/>
    </row>
    <row r="55" spans="2:8">
      <c r="B55" s="1366" t="s">
        <v>727</v>
      </c>
      <c r="C55" s="1366"/>
      <c r="D55" s="1366"/>
      <c r="E55" s="1366"/>
      <c r="F55" s="1366"/>
      <c r="G55" s="1366"/>
      <c r="H55" s="1366"/>
    </row>
    <row r="56" spans="2:8">
      <c r="B56" s="226"/>
      <c r="C56" s="227"/>
      <c r="D56" s="229"/>
    </row>
    <row r="57" spans="2:8">
      <c r="B57" s="230"/>
      <c r="C57" s="1020"/>
      <c r="D57" s="231"/>
      <c r="E57" s="231"/>
      <c r="F57" s="231"/>
      <c r="G57" s="231"/>
      <c r="H57" s="231"/>
    </row>
    <row r="58" spans="2:8">
      <c r="C58" s="63"/>
      <c r="D58" s="63"/>
      <c r="F58" s="63"/>
      <c r="G58" s="63"/>
      <c r="H58" s="63"/>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8">
    <mergeCell ref="B55:H55"/>
    <mergeCell ref="C10:H10"/>
    <mergeCell ref="C11:D12"/>
    <mergeCell ref="B6:H6"/>
    <mergeCell ref="B7:H7"/>
    <mergeCell ref="E11:F12"/>
    <mergeCell ref="G11:H12"/>
    <mergeCell ref="B54:H54"/>
  </mergeCells>
  <phoneticPr fontId="21"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2"/>
  <headerFooter scaleWithDoc="0">
    <oddFooter>&amp;R&amp;A</oddFooter>
  </headerFooter>
  <ignoredErrors>
    <ignoredError sqref="G23 G27 G36 G43 G49 G29 D33 F33 H33" formula="1"/>
    <ignoredError sqref="G37" formulaRange="1"/>
  </ignoredErrors>
</worksheet>
</file>

<file path=xl/worksheets/sheet6.xml><?xml version="1.0" encoding="utf-8"?>
<worksheet xmlns="http://schemas.openxmlformats.org/spreadsheetml/2006/main" xmlns:r="http://schemas.openxmlformats.org/officeDocument/2006/relationships">
  <sheetPr>
    <tabColor theme="3" tint="0.79998168889431442"/>
    <pageSetUpPr fitToPage="1"/>
  </sheetPr>
  <dimension ref="A1:C63"/>
  <sheetViews>
    <sheetView showGridLines="0" showRuler="0" zoomScaleNormal="100" zoomScaleSheetLayoutView="85" workbookViewId="0"/>
  </sheetViews>
  <sheetFormatPr baseColWidth="10" defaultColWidth="11.453125" defaultRowHeight="13"/>
  <cols>
    <col min="1" max="1" width="9.26953125" style="15" customWidth="1"/>
    <col min="2" max="2" width="58.54296875" style="15" customWidth="1"/>
    <col min="3" max="3" width="15" style="15" customWidth="1"/>
    <col min="4" max="16384" width="11.453125" style="15"/>
  </cols>
  <sheetData>
    <row r="1" spans="1:3" ht="14.5">
      <c r="A1" s="738" t="s">
        <v>219</v>
      </c>
      <c r="B1" s="435"/>
    </row>
    <row r="2" spans="1:3" ht="15" customHeight="1">
      <c r="A2" s="435"/>
      <c r="B2" s="386" t="str">
        <f>+INDICE!B2</f>
        <v>MINISTERIO DE ECONOMÍA</v>
      </c>
      <c r="C2" s="209"/>
    </row>
    <row r="3" spans="1:3" ht="15" customHeight="1">
      <c r="A3" s="435"/>
      <c r="B3" s="634" t="s">
        <v>304</v>
      </c>
      <c r="C3" s="21"/>
    </row>
    <row r="4" spans="1:3">
      <c r="B4" s="210"/>
      <c r="C4" s="210"/>
    </row>
    <row r="5" spans="1:3" ht="14.5">
      <c r="B5" s="211"/>
      <c r="C5" s="211"/>
    </row>
    <row r="6" spans="1:3" ht="17">
      <c r="B6" s="1380" t="s">
        <v>423</v>
      </c>
      <c r="C6" s="1380"/>
    </row>
    <row r="7" spans="1:3" ht="14.5">
      <c r="B7" s="1381" t="s">
        <v>244</v>
      </c>
      <c r="C7" s="1381"/>
    </row>
    <row r="8" spans="1:3">
      <c r="B8" s="5"/>
      <c r="C8" s="5"/>
    </row>
    <row r="9" spans="1:3">
      <c r="B9" s="159"/>
      <c r="C9" s="159"/>
    </row>
    <row r="10" spans="1:3" ht="13.5" thickBot="1">
      <c r="B10" s="14" t="s">
        <v>887</v>
      </c>
      <c r="C10" s="212"/>
    </row>
    <row r="11" spans="1:3" ht="16.5" thickTop="1" thickBot="1">
      <c r="B11" s="396" t="s">
        <v>73</v>
      </c>
      <c r="C11" s="695">
        <v>6.837020015459673E-2</v>
      </c>
    </row>
    <row r="12" spans="1:3" ht="13.5" thickTop="1">
      <c r="B12" s="57"/>
      <c r="C12" s="213"/>
    </row>
    <row r="13" spans="1:3" ht="14.5">
      <c r="B13" s="499" t="s">
        <v>248</v>
      </c>
      <c r="C13" s="697">
        <v>0.22375585622723185</v>
      </c>
    </row>
    <row r="14" spans="1:3">
      <c r="B14" s="148"/>
      <c r="C14" s="1021"/>
    </row>
    <row r="15" spans="1:3">
      <c r="B15" s="279" t="s">
        <v>250</v>
      </c>
      <c r="C15" s="696">
        <v>0.31316823562418838</v>
      </c>
    </row>
    <row r="16" spans="1:3">
      <c r="B16" s="279" t="s">
        <v>42</v>
      </c>
      <c r="C16" s="696">
        <v>0.46124717415039174</v>
      </c>
    </row>
    <row r="17" spans="2:3">
      <c r="B17" s="279" t="s">
        <v>43</v>
      </c>
      <c r="C17" s="696">
        <v>8.8454462410432533E-2</v>
      </c>
    </row>
    <row r="18" spans="2:3">
      <c r="B18" s="286" t="s">
        <v>565</v>
      </c>
      <c r="C18" s="696">
        <v>0</v>
      </c>
    </row>
    <row r="19" spans="2:3">
      <c r="B19" s="146"/>
      <c r="C19" s="694"/>
    </row>
    <row r="20" spans="2:3" ht="14.5">
      <c r="B20" s="499" t="s">
        <v>249</v>
      </c>
      <c r="C20" s="1022">
        <v>3.7025268528198402E-2</v>
      </c>
    </row>
    <row r="21" spans="2:3">
      <c r="B21" s="148"/>
      <c r="C21" s="1021"/>
    </row>
    <row r="22" spans="2:3">
      <c r="B22" s="279" t="s">
        <v>250</v>
      </c>
      <c r="C22" s="696">
        <v>3.503751847613347E-2</v>
      </c>
    </row>
    <row r="23" spans="2:3">
      <c r="B23" s="279" t="s">
        <v>42</v>
      </c>
      <c r="C23" s="696">
        <v>9.272031555941003E-2</v>
      </c>
    </row>
    <row r="24" spans="2:3">
      <c r="B24" s="698" t="s">
        <v>251</v>
      </c>
      <c r="C24" s="696">
        <v>4.9999999999999989E-2</v>
      </c>
    </row>
    <row r="25" spans="2:3">
      <c r="B25" s="279" t="s">
        <v>43</v>
      </c>
      <c r="C25" s="696">
        <v>1.77E-2</v>
      </c>
    </row>
    <row r="26" spans="2:3">
      <c r="B26" s="146"/>
      <c r="C26" s="694"/>
    </row>
    <row r="27" spans="2:3" ht="14.5">
      <c r="B27" s="499" t="s">
        <v>245</v>
      </c>
      <c r="C27" s="1022">
        <v>4.44911302807207E-2</v>
      </c>
    </row>
    <row r="28" spans="2:3">
      <c r="B28" s="148"/>
      <c r="C28" s="1021"/>
    </row>
    <row r="29" spans="2:3">
      <c r="B29" s="279" t="s">
        <v>250</v>
      </c>
      <c r="C29" s="696">
        <v>4.898433425222732E-2</v>
      </c>
    </row>
    <row r="30" spans="2:3">
      <c r="B30" s="279" t="s">
        <v>42</v>
      </c>
      <c r="C30" s="696">
        <v>4.3468609803199727E-2</v>
      </c>
    </row>
    <row r="31" spans="2:3">
      <c r="B31" s="279" t="s">
        <v>626</v>
      </c>
      <c r="C31" s="696">
        <v>0</v>
      </c>
    </row>
    <row r="32" spans="2:3">
      <c r="B32" s="279" t="s">
        <v>246</v>
      </c>
      <c r="C32" s="696">
        <v>3.2724411554312695E-2</v>
      </c>
    </row>
    <row r="33" spans="2:3">
      <c r="B33" s="279" t="s">
        <v>247</v>
      </c>
      <c r="C33" s="696">
        <v>5.7903780895663309E-2</v>
      </c>
    </row>
    <row r="34" spans="2:3">
      <c r="B34" s="279" t="s">
        <v>43</v>
      </c>
      <c r="C34" s="696">
        <v>1.4508491088419014E-2</v>
      </c>
    </row>
    <row r="35" spans="2:3">
      <c r="B35" s="162"/>
      <c r="C35" s="694"/>
    </row>
    <row r="36" spans="2:3" ht="14.5">
      <c r="B36" s="499" t="s">
        <v>252</v>
      </c>
      <c r="C36" s="1022">
        <v>5.3033872720285528E-2</v>
      </c>
    </row>
    <row r="37" spans="2:3">
      <c r="B37" s="148"/>
      <c r="C37" s="1021"/>
    </row>
    <row r="38" spans="2:3">
      <c r="B38" s="279" t="s">
        <v>250</v>
      </c>
      <c r="C38" s="696">
        <v>5.2262206294014804E-2</v>
      </c>
    </row>
    <row r="39" spans="2:3">
      <c r="B39" s="279" t="s">
        <v>247</v>
      </c>
      <c r="C39" s="696">
        <v>8.440636010841665E-2</v>
      </c>
    </row>
    <row r="40" spans="2:3">
      <c r="B40" s="279" t="s">
        <v>246</v>
      </c>
      <c r="C40" s="696">
        <v>6.1235219815119124E-3</v>
      </c>
    </row>
    <row r="41" spans="2:3">
      <c r="B41" s="279" t="s">
        <v>43</v>
      </c>
      <c r="C41" s="696">
        <v>1.12118888990324E-2</v>
      </c>
    </row>
    <row r="42" spans="2:3">
      <c r="B42" s="146"/>
      <c r="C42" s="694"/>
    </row>
    <row r="43" spans="2:3" ht="14.5">
      <c r="B43" s="699" t="s">
        <v>738</v>
      </c>
      <c r="C43" s="1022">
        <v>3.7445494395417084E-2</v>
      </c>
    </row>
    <row r="44" spans="2:3">
      <c r="B44" s="148"/>
      <c r="C44" s="1021"/>
    </row>
    <row r="45" spans="2:3">
      <c r="B45" s="279" t="s">
        <v>246</v>
      </c>
      <c r="C45" s="696">
        <v>3.7445494395417084E-2</v>
      </c>
    </row>
    <row r="46" spans="2:3">
      <c r="B46" s="146"/>
      <c r="C46" s="694"/>
    </row>
    <row r="47" spans="2:3" ht="14.5">
      <c r="B47" s="699" t="s">
        <v>253</v>
      </c>
      <c r="C47" s="1022">
        <v>6.2563674331767252E-2</v>
      </c>
    </row>
    <row r="48" spans="2:3">
      <c r="B48" s="148"/>
      <c r="C48" s="1021"/>
    </row>
    <row r="49" spans="2:3">
      <c r="B49" s="279" t="s">
        <v>250</v>
      </c>
      <c r="C49" s="696">
        <v>1.9568321020237218E-2</v>
      </c>
    </row>
    <row r="50" spans="2:3">
      <c r="B50" s="279" t="s">
        <v>247</v>
      </c>
      <c r="C50" s="696">
        <v>8.4567549814545909E-2</v>
      </c>
    </row>
    <row r="51" spans="2:3">
      <c r="B51" s="146"/>
      <c r="C51" s="694"/>
    </row>
    <row r="52" spans="2:3" ht="14.5">
      <c r="B52" s="499" t="s">
        <v>254</v>
      </c>
      <c r="C52" s="1022">
        <v>4.5919191843890698E-2</v>
      </c>
    </row>
    <row r="53" spans="2:3">
      <c r="B53" s="148"/>
      <c r="C53" s="1021"/>
    </row>
    <row r="54" spans="2:3">
      <c r="B54" s="279" t="s">
        <v>250</v>
      </c>
      <c r="C54" s="696">
        <v>3.3750000000000002E-2</v>
      </c>
    </row>
    <row r="55" spans="2:3">
      <c r="B55" s="279" t="s">
        <v>247</v>
      </c>
      <c r="C55" s="696">
        <v>7.4560754154541581E-2</v>
      </c>
    </row>
    <row r="56" spans="2:3" ht="12.75" customHeight="1">
      <c r="B56" s="279" t="s">
        <v>43</v>
      </c>
      <c r="C56" s="696">
        <v>6.9000000000000006E-2</v>
      </c>
    </row>
    <row r="57" spans="2:3" ht="13.5" thickBot="1">
      <c r="B57" s="13"/>
      <c r="C57" s="1023"/>
    </row>
    <row r="58" spans="2:3" ht="13.5" thickTop="1">
      <c r="B58" s="5"/>
      <c r="C58" s="5"/>
    </row>
    <row r="59" spans="2:3">
      <c r="B59" s="1382" t="s">
        <v>888</v>
      </c>
      <c r="C59" s="1382"/>
    </row>
    <row r="60" spans="2:3" ht="12.75" customHeight="1">
      <c r="B60" s="1382"/>
      <c r="C60" s="1382"/>
    </row>
    <row r="61" spans="2:3">
      <c r="B61" s="1382"/>
      <c r="C61" s="1382"/>
    </row>
    <row r="62" spans="2:3">
      <c r="B62" s="214"/>
      <c r="C62" s="214"/>
    </row>
    <row r="63" spans="2:3">
      <c r="B63" s="214"/>
      <c r="C63" s="214"/>
    </row>
  </sheetData>
  <mergeCells count="3">
    <mergeCell ref="B6:C6"/>
    <mergeCell ref="B7:C7"/>
    <mergeCell ref="B59:C61"/>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sheetPr>
    <tabColor theme="3" tint="0.79998168889431442"/>
    <pageSetUpPr fitToPage="1"/>
  </sheetPr>
  <dimension ref="A1:D38"/>
  <sheetViews>
    <sheetView showGridLines="0" zoomScaleNormal="100" zoomScaleSheetLayoutView="85" workbookViewId="0"/>
  </sheetViews>
  <sheetFormatPr baseColWidth="10" defaultColWidth="11.453125" defaultRowHeight="13"/>
  <cols>
    <col min="1" max="1" width="6.81640625" style="1" customWidth="1"/>
    <col min="2" max="2" width="51" style="198" customWidth="1"/>
    <col min="3" max="3" width="18.81640625" style="198" customWidth="1"/>
    <col min="4" max="16384" width="11.453125" style="198"/>
  </cols>
  <sheetData>
    <row r="1" spans="1:4" ht="14.5">
      <c r="A1" s="738" t="s">
        <v>219</v>
      </c>
      <c r="B1" s="190"/>
    </row>
    <row r="2" spans="1:4" ht="15" customHeight="1">
      <c r="A2" s="190"/>
      <c r="B2" s="386" t="str">
        <f>+INDICE!B2</f>
        <v>MINISTERIO DE ECONOMÍA</v>
      </c>
      <c r="C2" s="35"/>
    </row>
    <row r="3" spans="1:4" ht="15" customHeight="1">
      <c r="A3" s="190"/>
      <c r="B3" s="386" t="str">
        <f>+A.1.5!B3</f>
        <v>SECRETARÍA DE FINANZAS</v>
      </c>
      <c r="C3" s="35"/>
    </row>
    <row r="4" spans="1:4" ht="12">
      <c r="A4" s="198"/>
      <c r="B4" s="35"/>
      <c r="C4" s="35"/>
    </row>
    <row r="5" spans="1:4" ht="12">
      <c r="A5" s="198"/>
      <c r="B5" s="35"/>
      <c r="C5" s="35"/>
    </row>
    <row r="6" spans="1:4" ht="17">
      <c r="B6" s="1358" t="s">
        <v>741</v>
      </c>
      <c r="C6" s="1358"/>
    </row>
    <row r="7" spans="1:4" ht="14.5">
      <c r="B7" s="1381" t="s">
        <v>742</v>
      </c>
      <c r="C7" s="1381"/>
    </row>
    <row r="8" spans="1:4" ht="12">
      <c r="A8" s="198"/>
      <c r="B8" s="415"/>
      <c r="C8" s="415"/>
    </row>
    <row r="9" spans="1:4" ht="12.5" thickBot="1">
      <c r="A9" s="198"/>
      <c r="B9" s="35"/>
      <c r="C9" s="35"/>
    </row>
    <row r="10" spans="1:4" ht="15.5" thickTop="1" thickBot="1">
      <c r="B10" s="457" t="s">
        <v>887</v>
      </c>
      <c r="C10" s="635" t="s">
        <v>47</v>
      </c>
    </row>
    <row r="11" spans="1:4" ht="12.5" thickTop="1">
      <c r="A11" s="198"/>
      <c r="B11" s="778"/>
      <c r="C11" s="515"/>
    </row>
    <row r="12" spans="1:4" ht="17">
      <c r="B12" s="516" t="s">
        <v>55</v>
      </c>
      <c r="C12" s="517">
        <v>6.9359943377982551</v>
      </c>
    </row>
    <row r="13" spans="1:4" ht="13.5" customHeight="1">
      <c r="B13" s="199"/>
      <c r="C13" s="200"/>
    </row>
    <row r="14" spans="1:4" s="190" customFormat="1" ht="15.5">
      <c r="B14" s="518" t="s">
        <v>363</v>
      </c>
      <c r="C14" s="514">
        <v>8.6644495438941664</v>
      </c>
      <c r="D14" s="198"/>
    </row>
    <row r="15" spans="1:4" ht="14.5">
      <c r="B15" s="201"/>
      <c r="C15" s="202"/>
    </row>
    <row r="16" spans="1:4" s="190" customFormat="1" ht="15.5">
      <c r="B16" s="518" t="s">
        <v>570</v>
      </c>
      <c r="C16" s="514">
        <v>10.828226287453582</v>
      </c>
      <c r="D16" s="198"/>
    </row>
    <row r="17" spans="1:4" ht="14.5">
      <c r="B17" s="201"/>
      <c r="C17" s="202"/>
    </row>
    <row r="18" spans="1:4" s="190" customFormat="1" ht="15.5">
      <c r="B18" s="518" t="s">
        <v>94</v>
      </c>
      <c r="C18" s="514">
        <v>1.0911558724526391</v>
      </c>
      <c r="D18" s="198"/>
    </row>
    <row r="19" spans="1:4" ht="13.5" customHeight="1">
      <c r="B19" s="203"/>
      <c r="C19" s="204"/>
    </row>
    <row r="20" spans="1:4" s="190" customFormat="1" ht="15.5">
      <c r="B20" s="518" t="s">
        <v>48</v>
      </c>
      <c r="C20" s="514">
        <v>5.1452952611293217</v>
      </c>
      <c r="D20" s="198"/>
    </row>
    <row r="21" spans="1:4" ht="13.5" customHeight="1">
      <c r="A21" s="198"/>
      <c r="B21" s="49"/>
      <c r="C21" s="205"/>
    </row>
    <row r="22" spans="1:4" s="1" customFormat="1" ht="14.5">
      <c r="B22" s="513" t="s">
        <v>56</v>
      </c>
      <c r="C22" s="512">
        <v>5.4973515771272492</v>
      </c>
      <c r="D22" s="198"/>
    </row>
    <row r="23" spans="1:4">
      <c r="A23" s="198"/>
      <c r="B23" s="49"/>
      <c r="C23" s="205"/>
    </row>
    <row r="24" spans="1:4" s="1" customFormat="1" ht="14.5">
      <c r="B24" s="513" t="s">
        <v>57</v>
      </c>
      <c r="C24" s="512">
        <v>4.1665155190468912</v>
      </c>
      <c r="D24" s="198"/>
    </row>
    <row r="25" spans="1:4">
      <c r="A25" s="198"/>
      <c r="B25" s="49"/>
      <c r="C25" s="205"/>
    </row>
    <row r="26" spans="1:4" s="1" customFormat="1" ht="14.5">
      <c r="B26" s="513" t="s">
        <v>58</v>
      </c>
      <c r="C26" s="512">
        <v>10.868861648138706</v>
      </c>
      <c r="D26" s="198"/>
    </row>
    <row r="27" spans="1:4">
      <c r="A27" s="198"/>
      <c r="B27" s="49"/>
      <c r="C27" s="205"/>
    </row>
    <row r="28" spans="1:4" s="1" customFormat="1" ht="14.5">
      <c r="B28" s="513" t="s">
        <v>375</v>
      </c>
      <c r="C28" s="512">
        <v>3.702754285002074</v>
      </c>
      <c r="D28" s="198"/>
    </row>
    <row r="29" spans="1:4">
      <c r="A29" s="198"/>
      <c r="B29" s="49"/>
      <c r="C29" s="205"/>
    </row>
    <row r="30" spans="1:4" s="1" customFormat="1" ht="14.5">
      <c r="B30" s="513" t="s">
        <v>59</v>
      </c>
      <c r="C30" s="512">
        <v>1.3549628812434096</v>
      </c>
      <c r="D30" s="198"/>
    </row>
    <row r="31" spans="1:4">
      <c r="A31" s="198"/>
      <c r="B31" s="206"/>
      <c r="C31" s="207"/>
    </row>
    <row r="32" spans="1:4" s="1" customFormat="1" ht="14.5">
      <c r="B32" s="513" t="s">
        <v>827</v>
      </c>
      <c r="C32" s="512">
        <v>1.2133014036759457</v>
      </c>
      <c r="D32" s="198"/>
    </row>
    <row r="33" spans="1:4">
      <c r="A33" s="198"/>
      <c r="B33" s="206"/>
      <c r="C33" s="205"/>
    </row>
    <row r="34" spans="1:4" s="190" customFormat="1" ht="15.5">
      <c r="B34" s="518" t="s">
        <v>93</v>
      </c>
      <c r="C34" s="514">
        <v>1.3400842001571425</v>
      </c>
      <c r="D34" s="198"/>
    </row>
    <row r="35" spans="1:4" ht="13.5" thickBot="1">
      <c r="A35" s="198"/>
      <c r="B35" s="62"/>
      <c r="C35" s="208"/>
    </row>
    <row r="36" spans="1:4" ht="12.5" thickTop="1">
      <c r="A36" s="198"/>
      <c r="B36" s="35"/>
      <c r="C36" s="35"/>
    </row>
    <row r="37" spans="1:4">
      <c r="A37" s="198"/>
      <c r="B37" s="1383" t="s">
        <v>743</v>
      </c>
      <c r="C37" s="1383"/>
    </row>
    <row r="38" spans="1:4" ht="14.5">
      <c r="A38" s="198"/>
      <c r="B38" s="6"/>
      <c r="C38" s="35"/>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sheetPr>
    <tabColor theme="3" tint="0.79998168889431442"/>
    <pageSetUpPr fitToPage="1"/>
  </sheetPr>
  <dimension ref="A1:N86"/>
  <sheetViews>
    <sheetView showGridLines="0" showRuler="0" zoomScaleNormal="100" zoomScaleSheetLayoutView="85" workbookViewId="0"/>
  </sheetViews>
  <sheetFormatPr baseColWidth="10" defaultColWidth="32.7265625" defaultRowHeight="14.5"/>
  <cols>
    <col min="1" max="1" width="6.81640625" style="15" customWidth="1"/>
    <col min="2" max="2" width="14.26953125" style="54" customWidth="1"/>
    <col min="3" max="3" width="33.453125" style="54" bestFit="1" customWidth="1"/>
    <col min="4" max="4" width="24.90625" style="54" bestFit="1" customWidth="1"/>
    <col min="5" max="5" width="13" style="436" bestFit="1" customWidth="1"/>
    <col min="6" max="6" width="22.7265625" style="54" customWidth="1"/>
    <col min="7" max="7" width="22.26953125" style="54" customWidth="1"/>
    <col min="8" max="8" width="21.54296875" style="54" customWidth="1"/>
    <col min="9" max="9" width="17" style="63" customWidth="1"/>
    <col min="10" max="10" width="18.453125" style="63" bestFit="1" customWidth="1"/>
    <col min="11" max="16384" width="32.7265625" style="54"/>
  </cols>
  <sheetData>
    <row r="1" spans="1:14">
      <c r="A1" s="738" t="s">
        <v>219</v>
      </c>
      <c r="B1" s="436"/>
    </row>
    <row r="2" spans="1:14" ht="15" customHeight="1">
      <c r="A2" s="435"/>
      <c r="B2" s="386" t="str">
        <f>+INDICE!B2</f>
        <v>MINISTERIO DE ECONOMÍA</v>
      </c>
      <c r="C2" s="3"/>
      <c r="D2" s="3"/>
      <c r="E2" s="42"/>
      <c r="F2" s="5"/>
      <c r="G2" s="5"/>
      <c r="H2" s="196"/>
    </row>
    <row r="3" spans="1:14" ht="15" customHeight="1">
      <c r="A3" s="435"/>
      <c r="B3" s="270" t="s">
        <v>304</v>
      </c>
      <c r="C3" s="3"/>
      <c r="D3" s="3"/>
      <c r="E3" s="42"/>
      <c r="F3" s="5"/>
      <c r="G3" s="5"/>
      <c r="H3" s="5"/>
    </row>
    <row r="4" spans="1:14" s="430" customFormat="1">
      <c r="A4" s="421"/>
      <c r="B4" s="35"/>
      <c r="C4" s="35"/>
      <c r="D4" s="35"/>
      <c r="E4" s="3"/>
      <c r="F4" s="424"/>
      <c r="G4" s="424"/>
      <c r="H4" s="35"/>
      <c r="I4" s="63"/>
      <c r="J4" s="63"/>
      <c r="K4" s="54"/>
      <c r="L4" s="54"/>
      <c r="M4" s="54"/>
      <c r="N4" s="54"/>
    </row>
    <row r="5" spans="1:14" s="430" customFormat="1">
      <c r="A5" s="421"/>
      <c r="B5" s="35"/>
      <c r="C5" s="35"/>
      <c r="D5" s="35"/>
      <c r="E5" s="3"/>
      <c r="F5" s="424"/>
      <c r="G5" s="424"/>
      <c r="H5" s="35"/>
      <c r="I5" s="63"/>
      <c r="J5" s="63"/>
      <c r="K5" s="54"/>
      <c r="L5" s="54"/>
      <c r="M5" s="54"/>
      <c r="N5" s="54"/>
    </row>
    <row r="6" spans="1:14" ht="17">
      <c r="B6" s="1358" t="s">
        <v>307</v>
      </c>
      <c r="C6" s="1358"/>
      <c r="D6" s="1358"/>
      <c r="E6" s="1358"/>
      <c r="F6" s="1358"/>
      <c r="G6" s="1358"/>
      <c r="H6" s="1358"/>
    </row>
    <row r="7" spans="1:14" ht="17">
      <c r="B7" s="1358" t="s">
        <v>293</v>
      </c>
      <c r="C7" s="1358"/>
      <c r="D7" s="1358"/>
      <c r="E7" s="1358"/>
      <c r="F7" s="1358"/>
      <c r="G7" s="1358"/>
      <c r="H7" s="1358"/>
    </row>
    <row r="8" spans="1:14" ht="13.5" customHeight="1">
      <c r="B8" s="1387" t="s">
        <v>918</v>
      </c>
      <c r="C8" s="1387"/>
      <c r="D8" s="1387"/>
      <c r="E8" s="1387"/>
      <c r="F8" s="1387"/>
      <c r="G8" s="1387"/>
      <c r="H8" s="1387"/>
    </row>
    <row r="9" spans="1:14" s="430" customFormat="1">
      <c r="A9" s="421"/>
      <c r="B9" s="35"/>
      <c r="C9" s="431"/>
      <c r="D9" s="431"/>
      <c r="E9" s="3"/>
      <c r="F9" s="431"/>
      <c r="G9" s="431"/>
      <c r="H9" s="432"/>
      <c r="I9" s="63"/>
      <c r="J9" s="63"/>
      <c r="K9" s="54"/>
      <c r="L9" s="54"/>
      <c r="M9" s="54"/>
      <c r="N9" s="54"/>
    </row>
    <row r="10" spans="1:14" s="430" customFormat="1">
      <c r="A10" s="421"/>
      <c r="B10" s="35"/>
      <c r="C10" s="431"/>
      <c r="D10" s="431"/>
      <c r="E10" s="3"/>
      <c r="F10" s="431"/>
      <c r="G10" s="431"/>
      <c r="H10" s="432"/>
      <c r="I10" s="63"/>
      <c r="J10" s="63"/>
      <c r="K10" s="54"/>
      <c r="L10" s="54"/>
      <c r="M10" s="54"/>
      <c r="N10" s="54"/>
    </row>
    <row r="11" spans="1:14" ht="15" thickBot="1">
      <c r="B11" s="5"/>
      <c r="C11" s="197"/>
      <c r="D11" s="197"/>
      <c r="E11" s="42"/>
      <c r="F11" s="197"/>
      <c r="G11" s="197"/>
      <c r="H11" s="196" t="s">
        <v>294</v>
      </c>
    </row>
    <row r="12" spans="1:14" ht="13.5" customHeight="1" thickTop="1">
      <c r="B12" s="1388" t="s">
        <v>295</v>
      </c>
      <c r="C12" s="1391" t="s">
        <v>290</v>
      </c>
      <c r="D12" s="1391" t="s">
        <v>232</v>
      </c>
      <c r="E12" s="1394" t="s">
        <v>291</v>
      </c>
      <c r="F12" s="1397" t="s">
        <v>296</v>
      </c>
      <c r="G12" s="1397" t="s">
        <v>331</v>
      </c>
      <c r="H12" s="1397" t="s">
        <v>332</v>
      </c>
    </row>
    <row r="13" spans="1:14" ht="13">
      <c r="B13" s="1389"/>
      <c r="C13" s="1392"/>
      <c r="D13" s="1392"/>
      <c r="E13" s="1395"/>
      <c r="F13" s="1398"/>
      <c r="G13" s="1398"/>
      <c r="H13" s="1398"/>
    </row>
    <row r="14" spans="1:14" ht="13">
      <c r="B14" s="1389"/>
      <c r="C14" s="1392"/>
      <c r="D14" s="1392"/>
      <c r="E14" s="1395"/>
      <c r="F14" s="1398"/>
      <c r="G14" s="1398"/>
      <c r="H14" s="1398"/>
      <c r="L14" s="1026">
        <f>+K14-J14</f>
        <v>0</v>
      </c>
    </row>
    <row r="15" spans="1:14" ht="13">
      <c r="B15" s="1389"/>
      <c r="C15" s="1392"/>
      <c r="D15" s="1392"/>
      <c r="E15" s="1395"/>
      <c r="F15" s="1398"/>
      <c r="G15" s="1398"/>
      <c r="H15" s="1398"/>
    </row>
    <row r="16" spans="1:14" ht="13">
      <c r="B16" s="1390"/>
      <c r="C16" s="1393"/>
      <c r="D16" s="1393"/>
      <c r="E16" s="1396"/>
      <c r="F16" s="1399"/>
      <c r="G16" s="1399"/>
      <c r="H16" s="1399"/>
    </row>
    <row r="17" spans="1:14">
      <c r="B17" s="924"/>
      <c r="C17" s="1027"/>
      <c r="D17" s="1027"/>
      <c r="E17" s="865"/>
      <c r="F17" s="866"/>
      <c r="G17" s="866"/>
      <c r="H17" s="866"/>
    </row>
    <row r="18" spans="1:14">
      <c r="B18" s="1028"/>
      <c r="C18" s="1029" t="s">
        <v>305</v>
      </c>
      <c r="D18" s="1029"/>
      <c r="E18" s="868"/>
      <c r="F18" s="869">
        <f>+F20+F23+F39</f>
        <v>16203519.276863178</v>
      </c>
      <c r="G18" s="869">
        <f>+G20+G23+G39</f>
        <v>15483557.782686906</v>
      </c>
      <c r="H18" s="869">
        <f>+H20+H23+H39</f>
        <v>15960048.194889899</v>
      </c>
    </row>
    <row r="19" spans="1:14">
      <c r="B19" s="1028"/>
      <c r="C19" s="1029"/>
      <c r="D19" s="1029"/>
      <c r="E19" s="868"/>
      <c r="F19" s="870"/>
      <c r="G19" s="870"/>
      <c r="H19" s="870"/>
    </row>
    <row r="20" spans="1:14" s="436" customFormat="1">
      <c r="A20" s="435"/>
      <c r="B20" s="1028"/>
      <c r="C20" s="1030" t="s">
        <v>384</v>
      </c>
      <c r="D20" s="1030"/>
      <c r="E20" s="871"/>
      <c r="F20" s="872">
        <f>+F21</f>
        <v>90051.552784038722</v>
      </c>
      <c r="G20" s="872">
        <f>+G21</f>
        <v>81046.397505634857</v>
      </c>
      <c r="H20" s="872">
        <f>+H21</f>
        <v>142211.46533495284</v>
      </c>
      <c r="I20" s="63"/>
      <c r="J20" s="63"/>
      <c r="K20" s="54"/>
      <c r="L20" s="54"/>
      <c r="M20" s="54"/>
      <c r="N20" s="54"/>
    </row>
    <row r="21" spans="1:14">
      <c r="B21" s="1028">
        <v>40182</v>
      </c>
      <c r="C21" s="919" t="s">
        <v>632</v>
      </c>
      <c r="D21" s="1031" t="s">
        <v>233</v>
      </c>
      <c r="E21" s="1045">
        <v>2022</v>
      </c>
      <c r="F21" s="920">
        <v>90051.552784038722</v>
      </c>
      <c r="G21" s="920">
        <v>81046.397505634857</v>
      </c>
      <c r="H21" s="920">
        <v>142211.46533495284</v>
      </c>
    </row>
    <row r="22" spans="1:14">
      <c r="B22" s="1028"/>
      <c r="C22" s="919"/>
      <c r="D22" s="1031"/>
      <c r="E22" s="1045"/>
      <c r="F22" s="873"/>
      <c r="G22" s="870"/>
      <c r="H22" s="870"/>
    </row>
    <row r="23" spans="1:14" s="434" customFormat="1">
      <c r="A23" s="433"/>
      <c r="B23" s="1032"/>
      <c r="C23" s="1030" t="s">
        <v>822</v>
      </c>
      <c r="D23" s="1033"/>
      <c r="E23" s="1045"/>
      <c r="F23" s="874">
        <f>SUM(F24:F37)</f>
        <v>16113467.72407914</v>
      </c>
      <c r="G23" s="874">
        <f>SUM(G24:G37)</f>
        <v>15402511.385181271</v>
      </c>
      <c r="H23" s="874">
        <f>SUM(H24:H37)</f>
        <v>15817834.21390586</v>
      </c>
      <c r="I23" s="63"/>
      <c r="J23" s="63"/>
      <c r="K23" s="54"/>
      <c r="L23" s="54"/>
      <c r="M23" s="54"/>
      <c r="N23" s="54"/>
    </row>
    <row r="24" spans="1:14">
      <c r="B24" s="1028">
        <v>43294</v>
      </c>
      <c r="C24" s="919" t="s">
        <v>825</v>
      </c>
      <c r="D24" s="922">
        <v>4.4999999999999998E-2</v>
      </c>
      <c r="E24" s="1045">
        <v>2020</v>
      </c>
      <c r="F24" s="920">
        <v>1637771.4939999999</v>
      </c>
      <c r="G24" s="920">
        <v>1637771.4939999999</v>
      </c>
      <c r="H24" s="920">
        <v>1637771.4939999999</v>
      </c>
    </row>
    <row r="25" spans="1:14">
      <c r="B25" s="1028">
        <v>43193</v>
      </c>
      <c r="C25" s="919" t="s">
        <v>688</v>
      </c>
      <c r="D25" s="922">
        <v>6.7276394391951197E-2</v>
      </c>
      <c r="E25" s="1045">
        <v>2028</v>
      </c>
      <c r="F25" s="920">
        <v>782776.56973036146</v>
      </c>
      <c r="G25" s="920">
        <v>705558.05977098364</v>
      </c>
      <c r="H25" s="920">
        <v>705558.05977143336</v>
      </c>
      <c r="J25" s="1068"/>
    </row>
    <row r="26" spans="1:14">
      <c r="B26" s="1028">
        <v>42828</v>
      </c>
      <c r="C26" s="919" t="s">
        <v>627</v>
      </c>
      <c r="D26" s="921" t="s">
        <v>535</v>
      </c>
      <c r="E26" s="1045">
        <v>2022</v>
      </c>
      <c r="F26" s="920">
        <v>895319.18878036563</v>
      </c>
      <c r="G26" s="920">
        <v>895319.18878036563</v>
      </c>
      <c r="H26" s="920">
        <v>895319.18878036563</v>
      </c>
      <c r="J26" s="1068"/>
    </row>
    <row r="27" spans="1:14">
      <c r="B27" s="1028">
        <v>41631</v>
      </c>
      <c r="C27" s="919" t="s">
        <v>628</v>
      </c>
      <c r="D27" s="923" t="s">
        <v>227</v>
      </c>
      <c r="E27" s="1045">
        <v>2020</v>
      </c>
      <c r="F27" s="920">
        <v>591447.27917188406</v>
      </c>
      <c r="G27" s="920">
        <v>591447.27917188406</v>
      </c>
      <c r="H27" s="920">
        <v>591447.27917188406</v>
      </c>
      <c r="J27" s="1068"/>
    </row>
    <row r="28" spans="1:14">
      <c r="B28" s="1028">
        <v>42430</v>
      </c>
      <c r="C28" s="919" t="s">
        <v>629</v>
      </c>
      <c r="D28" s="1034" t="s">
        <v>533</v>
      </c>
      <c r="E28" s="1045">
        <v>2020</v>
      </c>
      <c r="F28" s="920">
        <v>279281.88102512731</v>
      </c>
      <c r="G28" s="920">
        <v>279281.88102512731</v>
      </c>
      <c r="H28" s="920">
        <v>279281.88102512731</v>
      </c>
      <c r="J28" s="1068"/>
    </row>
    <row r="29" spans="1:14">
      <c r="B29" s="1028">
        <v>32875</v>
      </c>
      <c r="C29" s="919" t="s">
        <v>711</v>
      </c>
      <c r="D29" s="1035" t="s">
        <v>50</v>
      </c>
      <c r="E29" s="1045">
        <v>2089</v>
      </c>
      <c r="F29" s="920">
        <v>14716.815848902244</v>
      </c>
      <c r="G29" s="920">
        <v>13245.134264012018</v>
      </c>
      <c r="H29" s="920">
        <v>13245.134264462808</v>
      </c>
      <c r="J29" s="1068"/>
    </row>
    <row r="30" spans="1:14">
      <c r="A30" s="54"/>
      <c r="B30" s="1028">
        <v>43272</v>
      </c>
      <c r="C30" s="919" t="s">
        <v>677</v>
      </c>
      <c r="D30" s="1035">
        <v>0.26</v>
      </c>
      <c r="E30" s="1045">
        <v>2020</v>
      </c>
      <c r="F30" s="920">
        <v>2083791.0106352782</v>
      </c>
      <c r="G30" s="920">
        <v>2083791.0106352782</v>
      </c>
      <c r="H30" s="920">
        <v>2083791.0106352782</v>
      </c>
      <c r="J30" s="1068"/>
    </row>
    <row r="31" spans="1:14">
      <c r="A31" s="54"/>
      <c r="B31" s="1028">
        <v>42660</v>
      </c>
      <c r="C31" s="919" t="s">
        <v>507</v>
      </c>
      <c r="D31" s="1036">
        <v>0.155</v>
      </c>
      <c r="E31" s="1045">
        <v>2026</v>
      </c>
      <c r="F31" s="920">
        <v>1612316.783370899</v>
      </c>
      <c r="G31" s="920">
        <v>1612316.783370899</v>
      </c>
      <c r="H31" s="920">
        <v>1612316.783370899</v>
      </c>
      <c r="J31" s="1068"/>
    </row>
    <row r="32" spans="1:14">
      <c r="A32" s="54"/>
      <c r="B32" s="1028">
        <v>42660</v>
      </c>
      <c r="C32" s="919" t="s">
        <v>508</v>
      </c>
      <c r="D32" s="1037">
        <v>0.16</v>
      </c>
      <c r="E32" s="1045">
        <v>2023</v>
      </c>
      <c r="F32" s="920">
        <v>1071046.8829785457</v>
      </c>
      <c r="G32" s="920">
        <v>1071046.8829785457</v>
      </c>
      <c r="H32" s="920">
        <v>1071046.8829785457</v>
      </c>
      <c r="J32" s="1068"/>
    </row>
    <row r="33" spans="1:14">
      <c r="A33" s="54"/>
      <c r="B33" s="1028">
        <v>43172</v>
      </c>
      <c r="C33" s="919" t="s">
        <v>620</v>
      </c>
      <c r="D33" s="1038">
        <v>0.17249999999999999</v>
      </c>
      <c r="E33" s="1045">
        <v>2021</v>
      </c>
      <c r="F33" s="920">
        <v>1474292.1063861756</v>
      </c>
      <c r="G33" s="920">
        <v>1474292.1063861756</v>
      </c>
      <c r="H33" s="920">
        <v>1889614.9356762667</v>
      </c>
      <c r="J33" s="1068"/>
    </row>
    <row r="34" spans="1:14">
      <c r="A34" s="54"/>
      <c r="B34" s="1028">
        <v>42646</v>
      </c>
      <c r="C34" s="919" t="s">
        <v>509</v>
      </c>
      <c r="D34" s="1039">
        <v>0.182</v>
      </c>
      <c r="E34" s="1045">
        <v>2021</v>
      </c>
      <c r="F34" s="920">
        <v>1043492.7788797062</v>
      </c>
      <c r="G34" s="920">
        <v>1043492.7788797062</v>
      </c>
      <c r="H34" s="920">
        <v>1043492.7788797062</v>
      </c>
      <c r="J34" s="1068"/>
    </row>
    <row r="35" spans="1:14">
      <c r="A35" s="54"/>
      <c r="B35" s="1028">
        <v>42907</v>
      </c>
      <c r="C35" s="919" t="s">
        <v>536</v>
      </c>
      <c r="D35" s="1039" t="s">
        <v>537</v>
      </c>
      <c r="E35" s="1045">
        <v>2020</v>
      </c>
      <c r="F35" s="920">
        <v>2377131.9386927122</v>
      </c>
      <c r="G35" s="920">
        <v>2377131.9386927122</v>
      </c>
      <c r="H35" s="920">
        <v>2377131.9386927122</v>
      </c>
      <c r="J35" s="1068"/>
    </row>
    <row r="36" spans="1:14">
      <c r="A36" s="54"/>
      <c r="B36" s="1028">
        <v>43504</v>
      </c>
      <c r="C36" s="919" t="s">
        <v>714</v>
      </c>
      <c r="D36" s="1039" t="s">
        <v>535</v>
      </c>
      <c r="E36" s="1045">
        <v>2021</v>
      </c>
      <c r="F36" s="920">
        <v>667835.37857918022</v>
      </c>
      <c r="G36" s="920">
        <v>667835.37857918022</v>
      </c>
      <c r="H36" s="920">
        <v>667835.37857918022</v>
      </c>
      <c r="I36" s="1068"/>
      <c r="J36" s="1068"/>
    </row>
    <row r="37" spans="1:14">
      <c r="A37" s="54"/>
      <c r="B37" s="1028">
        <v>43523</v>
      </c>
      <c r="C37" s="919" t="s">
        <v>810</v>
      </c>
      <c r="D37" s="1039" t="s">
        <v>50</v>
      </c>
      <c r="E37" s="1045">
        <v>2021</v>
      </c>
      <c r="F37" s="920">
        <v>1582247.6159999999</v>
      </c>
      <c r="G37" s="920">
        <v>949981.46864640014</v>
      </c>
      <c r="H37" s="920">
        <v>949981.46808000002</v>
      </c>
      <c r="J37" s="1068"/>
    </row>
    <row r="38" spans="1:14">
      <c r="A38" s="54"/>
      <c r="B38" s="1028"/>
      <c r="C38" s="919"/>
      <c r="D38" s="924"/>
      <c r="E38" s="1045"/>
      <c r="F38" s="920"/>
      <c r="G38" s="920"/>
      <c r="H38" s="920"/>
    </row>
    <row r="39" spans="1:14" s="436" customFormat="1">
      <c r="B39" s="1028"/>
      <c r="C39" s="1041" t="s">
        <v>297</v>
      </c>
      <c r="D39" s="1042"/>
      <c r="E39" s="1045"/>
      <c r="F39" s="873"/>
      <c r="G39" s="920"/>
      <c r="H39" s="981">
        <v>2.5156490859003253</v>
      </c>
      <c r="I39" s="63"/>
      <c r="J39" s="63"/>
      <c r="K39" s="54"/>
      <c r="L39" s="54"/>
      <c r="M39" s="54"/>
      <c r="N39" s="54"/>
    </row>
    <row r="40" spans="1:14">
      <c r="A40" s="54"/>
      <c r="B40" s="1028"/>
      <c r="C40" s="1040"/>
      <c r="D40" s="1031"/>
      <c r="E40" s="1045"/>
      <c r="F40" s="873"/>
      <c r="G40" s="870"/>
      <c r="H40" s="870"/>
    </row>
    <row r="41" spans="1:14" s="436" customFormat="1">
      <c r="B41" s="1028"/>
      <c r="C41" s="1029" t="s">
        <v>220</v>
      </c>
      <c r="D41" s="1033"/>
      <c r="E41" s="1045"/>
      <c r="F41" s="869">
        <f>+SUM(F43:F71)</f>
        <v>11988754.524047982</v>
      </c>
      <c r="G41" s="869">
        <f t="shared" ref="G41:H41" si="0">+SUM(G43:G71)</f>
        <v>10388789.368876321</v>
      </c>
      <c r="H41" s="869">
        <f t="shared" si="0"/>
        <v>12363889.140674192</v>
      </c>
      <c r="I41" s="63"/>
      <c r="J41" s="63"/>
      <c r="K41" s="54"/>
      <c r="L41" s="54"/>
      <c r="M41" s="54"/>
      <c r="N41" s="54"/>
    </row>
    <row r="42" spans="1:14" s="436" customFormat="1">
      <c r="B42" s="1028"/>
      <c r="C42" s="1029"/>
      <c r="D42" s="1033"/>
      <c r="E42" s="1045"/>
      <c r="F42" s="874"/>
      <c r="G42" s="874"/>
      <c r="H42" s="874"/>
      <c r="I42" s="63"/>
      <c r="J42" s="63"/>
      <c r="K42" s="54"/>
      <c r="L42" s="54"/>
      <c r="M42" s="54"/>
      <c r="N42" s="54"/>
    </row>
    <row r="43" spans="1:14">
      <c r="A43" s="54"/>
      <c r="B43" s="1028">
        <v>43362</v>
      </c>
      <c r="C43" s="919" t="s">
        <v>708</v>
      </c>
      <c r="D43" s="922" t="s">
        <v>50</v>
      </c>
      <c r="E43" s="1045">
        <v>2020</v>
      </c>
      <c r="F43" s="920">
        <v>185335.30013999998</v>
      </c>
      <c r="G43" s="920">
        <v>185335.30013999998</v>
      </c>
      <c r="H43" s="920">
        <v>185335.30013999998</v>
      </c>
    </row>
    <row r="44" spans="1:14">
      <c r="A44" s="54"/>
      <c r="B44" s="1028">
        <v>43668</v>
      </c>
      <c r="C44" s="919" t="s">
        <v>836</v>
      </c>
      <c r="D44" s="922" t="s">
        <v>630</v>
      </c>
      <c r="E44" s="1045">
        <v>2020</v>
      </c>
      <c r="F44" s="920">
        <v>16695.884464479503</v>
      </c>
      <c r="G44" s="920">
        <v>16695.884464479503</v>
      </c>
      <c r="H44" s="920">
        <v>16695.884464479503</v>
      </c>
    </row>
    <row r="45" spans="1:14">
      <c r="A45" s="54"/>
      <c r="B45" s="1028">
        <v>43691</v>
      </c>
      <c r="C45" s="919" t="s">
        <v>837</v>
      </c>
      <c r="D45" s="922" t="s">
        <v>630</v>
      </c>
      <c r="E45" s="1045">
        <v>2020</v>
      </c>
      <c r="F45" s="920">
        <v>20869.855580599382</v>
      </c>
      <c r="G45" s="920">
        <v>20869.855580599382</v>
      </c>
      <c r="H45" s="920">
        <v>20869.855580599382</v>
      </c>
    </row>
    <row r="46" spans="1:14">
      <c r="A46" s="54"/>
      <c r="B46" s="1028">
        <v>43724</v>
      </c>
      <c r="C46" s="919" t="s">
        <v>838</v>
      </c>
      <c r="D46" s="922" t="s">
        <v>630</v>
      </c>
      <c r="E46" s="1045">
        <v>2020</v>
      </c>
      <c r="F46" s="920">
        <v>68620.08514901076</v>
      </c>
      <c r="G46" s="920">
        <v>68620.08514901076</v>
      </c>
      <c r="H46" s="920">
        <v>68620.08514901076</v>
      </c>
    </row>
    <row r="47" spans="1:14">
      <c r="A47" s="54"/>
      <c r="B47" s="1028">
        <v>43822</v>
      </c>
      <c r="C47" s="919" t="s">
        <v>919</v>
      </c>
      <c r="D47" s="922" t="s">
        <v>227</v>
      </c>
      <c r="E47" s="1045">
        <v>2020</v>
      </c>
      <c r="F47" s="920">
        <v>410862.96031388256</v>
      </c>
      <c r="G47" s="920">
        <v>410862.96031388256</v>
      </c>
      <c r="H47" s="920">
        <v>410862.96031388256</v>
      </c>
    </row>
    <row r="48" spans="1:14">
      <c r="A48" s="54"/>
      <c r="B48" s="1028">
        <v>43829</v>
      </c>
      <c r="C48" s="919" t="s">
        <v>920</v>
      </c>
      <c r="D48" s="922" t="s">
        <v>535</v>
      </c>
      <c r="E48" s="1045">
        <v>2020</v>
      </c>
      <c r="F48" s="920">
        <v>207145.78712747304</v>
      </c>
      <c r="G48" s="920">
        <v>207145.78712747304</v>
      </c>
      <c r="H48" s="920">
        <v>207145.78712747304</v>
      </c>
      <c r="I48" s="1068"/>
      <c r="J48" s="1068"/>
    </row>
    <row r="49" spans="1:10">
      <c r="A49" s="54"/>
      <c r="B49" s="1028">
        <v>43721</v>
      </c>
      <c r="C49" s="919" t="s">
        <v>839</v>
      </c>
      <c r="D49" s="922" t="s">
        <v>958</v>
      </c>
      <c r="E49" s="1045">
        <v>2020</v>
      </c>
      <c r="F49" s="920">
        <v>584355.95625678264</v>
      </c>
      <c r="G49" s="920">
        <v>584355.95625678264</v>
      </c>
      <c r="H49" s="920">
        <v>584355.95625678264</v>
      </c>
      <c r="I49" s="1068"/>
      <c r="J49" s="1068"/>
    </row>
    <row r="50" spans="1:10">
      <c r="A50" s="54"/>
      <c r="B50" s="1028">
        <v>43745</v>
      </c>
      <c r="C50" s="919" t="s">
        <v>921</v>
      </c>
      <c r="D50" s="922" t="s">
        <v>958</v>
      </c>
      <c r="E50" s="1045">
        <v>2020</v>
      </c>
      <c r="F50" s="920">
        <v>200350.61357375406</v>
      </c>
      <c r="G50" s="920">
        <v>200350.61357375406</v>
      </c>
      <c r="H50" s="920">
        <v>200350.61357375406</v>
      </c>
      <c r="I50" s="1068"/>
      <c r="J50" s="1068"/>
    </row>
    <row r="51" spans="1:10">
      <c r="A51" s="54"/>
      <c r="B51" s="1028">
        <v>43760</v>
      </c>
      <c r="C51" s="919" t="s">
        <v>959</v>
      </c>
      <c r="D51" s="922" t="s">
        <v>958</v>
      </c>
      <c r="E51" s="1045">
        <v>2020</v>
      </c>
      <c r="F51" s="920">
        <v>33391.768928959005</v>
      </c>
      <c r="G51" s="920">
        <v>33391.768928959005</v>
      </c>
      <c r="H51" s="920">
        <v>33391.768928959005</v>
      </c>
      <c r="I51" s="1068"/>
      <c r="J51" s="1068"/>
    </row>
    <row r="52" spans="1:10">
      <c r="A52" s="54"/>
      <c r="B52" s="1028">
        <v>43773</v>
      </c>
      <c r="C52" s="919" t="s">
        <v>922</v>
      </c>
      <c r="D52" s="922" t="s">
        <v>958</v>
      </c>
      <c r="E52" s="1045">
        <v>2020</v>
      </c>
      <c r="F52" s="920">
        <v>66783.537857918011</v>
      </c>
      <c r="G52" s="920">
        <v>66783.537857918011</v>
      </c>
      <c r="H52" s="920">
        <v>66783.537857918011</v>
      </c>
    </row>
    <row r="53" spans="1:10">
      <c r="A53" s="54"/>
      <c r="B53" s="1028">
        <v>43798</v>
      </c>
      <c r="C53" s="919" t="s">
        <v>923</v>
      </c>
      <c r="D53" s="922" t="s">
        <v>958</v>
      </c>
      <c r="E53" s="1045">
        <v>2020</v>
      </c>
      <c r="F53" s="920">
        <v>83479.422322397528</v>
      </c>
      <c r="G53" s="920">
        <v>83479.422322397528</v>
      </c>
      <c r="H53" s="920">
        <v>83479.422322397528</v>
      </c>
    </row>
    <row r="54" spans="1:10">
      <c r="A54" s="54"/>
      <c r="B54" s="1028">
        <v>43825</v>
      </c>
      <c r="C54" s="919" t="s">
        <v>924</v>
      </c>
      <c r="D54" s="922" t="s">
        <v>227</v>
      </c>
      <c r="E54" s="1045">
        <v>2020</v>
      </c>
      <c r="F54" s="920">
        <v>1274288.8743634694</v>
      </c>
      <c r="G54" s="920">
        <v>1274288.8743634694</v>
      </c>
      <c r="H54" s="920">
        <v>1274288.8743634694</v>
      </c>
    </row>
    <row r="55" spans="1:10">
      <c r="A55" s="54"/>
      <c r="B55" s="1028">
        <v>43703</v>
      </c>
      <c r="C55" s="919" t="s">
        <v>840</v>
      </c>
      <c r="D55" s="922" t="s">
        <v>630</v>
      </c>
      <c r="E55" s="1045">
        <v>2020</v>
      </c>
      <c r="F55" s="920">
        <v>1388.9644711578596</v>
      </c>
      <c r="G55" s="920">
        <v>1388.9644711578596</v>
      </c>
      <c r="H55" s="920">
        <v>1388.9644711578596</v>
      </c>
    </row>
    <row r="56" spans="1:10">
      <c r="A56" s="54"/>
      <c r="B56" s="1028">
        <v>43608</v>
      </c>
      <c r="C56" s="919" t="s">
        <v>960</v>
      </c>
      <c r="D56" s="922">
        <v>4.2500000000000003E-2</v>
      </c>
      <c r="E56" s="1045">
        <v>2020</v>
      </c>
      <c r="F56" s="920">
        <v>322337.62099999998</v>
      </c>
      <c r="G56" s="920">
        <v>193402.57259999998</v>
      </c>
      <c r="H56" s="920">
        <v>193402.57259999998</v>
      </c>
      <c r="I56" s="1068"/>
      <c r="J56" s="1068"/>
    </row>
    <row r="57" spans="1:10">
      <c r="A57" s="54"/>
      <c r="B57" s="1028">
        <v>43608</v>
      </c>
      <c r="C57" s="919" t="s">
        <v>961</v>
      </c>
      <c r="D57" s="922">
        <v>4.2500000000000003E-2</v>
      </c>
      <c r="E57" s="1045">
        <v>2020</v>
      </c>
      <c r="F57" s="920">
        <v>435680.24800000002</v>
      </c>
      <c r="G57" s="920">
        <v>370328.2108</v>
      </c>
      <c r="H57" s="920">
        <v>370328.2108</v>
      </c>
      <c r="I57" s="1068"/>
      <c r="J57" s="1068"/>
    </row>
    <row r="58" spans="1:10">
      <c r="A58" s="54"/>
      <c r="B58" s="1028">
        <v>43608</v>
      </c>
      <c r="C58" s="919" t="s">
        <v>962</v>
      </c>
      <c r="D58" s="922">
        <v>4.2500000000000003E-2</v>
      </c>
      <c r="E58" s="1045">
        <v>2020</v>
      </c>
      <c r="F58" s="920">
        <v>240776.095</v>
      </c>
      <c r="G58" s="920">
        <v>204659.68075</v>
      </c>
      <c r="H58" s="920">
        <v>204659.68075</v>
      </c>
      <c r="I58" s="1068"/>
      <c r="J58" s="1068"/>
    </row>
    <row r="59" spans="1:10">
      <c r="A59" s="54"/>
      <c r="B59" s="1028">
        <v>43608</v>
      </c>
      <c r="C59" s="919" t="s">
        <v>963</v>
      </c>
      <c r="D59" s="922">
        <v>4.2500000000000003E-2</v>
      </c>
      <c r="E59" s="1045">
        <v>2020</v>
      </c>
      <c r="F59" s="920">
        <v>424015.255</v>
      </c>
      <c r="G59" s="920">
        <v>360412.96675000002</v>
      </c>
      <c r="H59" s="920">
        <v>360412.96675000002</v>
      </c>
      <c r="I59" s="1068"/>
      <c r="J59" s="1068"/>
    </row>
    <row r="60" spans="1:10">
      <c r="A60" s="54"/>
      <c r="B60" s="1028">
        <v>43364</v>
      </c>
      <c r="C60" s="919" t="s">
        <v>687</v>
      </c>
      <c r="D60" s="922">
        <v>0.41399999999999998</v>
      </c>
      <c r="E60" s="1045">
        <v>2020</v>
      </c>
      <c r="F60" s="920">
        <v>733228.33202999993</v>
      </c>
      <c r="G60" s="920">
        <v>439936.99922000006</v>
      </c>
      <c r="H60" s="920">
        <v>739208.54231004266</v>
      </c>
      <c r="I60" s="1068"/>
      <c r="J60" s="1068"/>
    </row>
    <row r="61" spans="1:10">
      <c r="A61" s="54"/>
      <c r="B61" s="1028">
        <v>43392</v>
      </c>
      <c r="C61" s="919" t="s">
        <v>925</v>
      </c>
      <c r="D61" s="922">
        <v>0.40200000000000002</v>
      </c>
      <c r="E61" s="1045">
        <v>2020</v>
      </c>
      <c r="F61" s="920">
        <v>663880.81764999998</v>
      </c>
      <c r="G61" s="920">
        <v>564298.69499999995</v>
      </c>
      <c r="H61" s="920">
        <v>906940.86260021699</v>
      </c>
      <c r="I61" s="1068"/>
      <c r="J61" s="1068"/>
    </row>
    <row r="62" spans="1:10">
      <c r="A62" s="54"/>
      <c r="B62" s="1028">
        <v>43403</v>
      </c>
      <c r="C62" s="919" t="s">
        <v>707</v>
      </c>
      <c r="D62" s="922">
        <v>0.36</v>
      </c>
      <c r="E62" s="1045">
        <v>2020</v>
      </c>
      <c r="F62" s="920">
        <v>457971.68269471574</v>
      </c>
      <c r="G62" s="920">
        <v>457971.68268999999</v>
      </c>
      <c r="H62" s="920">
        <v>692723.38752717257</v>
      </c>
    </row>
    <row r="63" spans="1:10">
      <c r="A63" s="54"/>
      <c r="B63" s="1028">
        <v>43496</v>
      </c>
      <c r="C63" s="919" t="s">
        <v>715</v>
      </c>
      <c r="D63" s="922">
        <v>0.318</v>
      </c>
      <c r="E63" s="1045">
        <v>2020</v>
      </c>
      <c r="F63" s="920">
        <v>820068.29850571835</v>
      </c>
      <c r="G63" s="920">
        <v>820068.29850999999</v>
      </c>
      <c r="H63" s="920">
        <v>1093446.2664955338</v>
      </c>
    </row>
    <row r="64" spans="1:10">
      <c r="A64" s="54"/>
      <c r="B64" s="1028">
        <v>43518</v>
      </c>
      <c r="C64" s="919" t="s">
        <v>716</v>
      </c>
      <c r="D64" s="922">
        <v>0.318</v>
      </c>
      <c r="E64" s="1045">
        <v>2020</v>
      </c>
      <c r="F64" s="920">
        <v>396584.41280574334</v>
      </c>
      <c r="G64" s="920">
        <v>396584.41281000001</v>
      </c>
      <c r="H64" s="920">
        <v>515139.35716988059</v>
      </c>
      <c r="I64" s="1068"/>
      <c r="J64" s="1068"/>
    </row>
    <row r="65" spans="1:14">
      <c r="A65" s="54"/>
      <c r="B65" s="1028">
        <v>43665</v>
      </c>
      <c r="C65" s="919" t="s">
        <v>926</v>
      </c>
      <c r="D65" s="922">
        <v>3.7499999999999999E-2</v>
      </c>
      <c r="E65" s="1045">
        <v>2020</v>
      </c>
      <c r="F65" s="920">
        <v>757727.34408548288</v>
      </c>
      <c r="G65" s="920">
        <v>757727.34409000003</v>
      </c>
      <c r="H65" s="920">
        <v>910864.04032523569</v>
      </c>
      <c r="I65" s="1068"/>
      <c r="J65" s="1068"/>
    </row>
    <row r="66" spans="1:14">
      <c r="A66" s="54"/>
      <c r="B66" s="1028">
        <v>43616</v>
      </c>
      <c r="C66" s="919" t="s">
        <v>927</v>
      </c>
      <c r="D66" s="922">
        <v>0.51</v>
      </c>
      <c r="E66" s="1045">
        <v>2020</v>
      </c>
      <c r="F66" s="920">
        <v>753900.62113999994</v>
      </c>
      <c r="G66" s="920">
        <v>452340.37268000003</v>
      </c>
      <c r="H66" s="920">
        <v>603661.79755989648</v>
      </c>
      <c r="I66" s="1068"/>
      <c r="J66" s="1068"/>
    </row>
    <row r="67" spans="1:14">
      <c r="A67" s="54"/>
      <c r="B67" s="1028">
        <v>43644</v>
      </c>
      <c r="C67" s="919" t="s">
        <v>928</v>
      </c>
      <c r="D67" s="922">
        <v>0.51</v>
      </c>
      <c r="E67" s="1045">
        <v>2020</v>
      </c>
      <c r="F67" s="920">
        <v>990027.64526000002</v>
      </c>
      <c r="G67" s="920">
        <v>594016.58716</v>
      </c>
      <c r="H67" s="920">
        <v>745787.82517989818</v>
      </c>
      <c r="I67" s="1068"/>
      <c r="J67" s="1068"/>
    </row>
    <row r="68" spans="1:14">
      <c r="A68" s="54"/>
      <c r="B68" s="1028">
        <v>43665</v>
      </c>
      <c r="C68" s="919" t="s">
        <v>929</v>
      </c>
      <c r="D68" s="922">
        <v>0.48</v>
      </c>
      <c r="E68" s="1045">
        <v>2020</v>
      </c>
      <c r="F68" s="920">
        <v>760638.25269000011</v>
      </c>
      <c r="G68" s="920">
        <v>646542.51478999993</v>
      </c>
      <c r="H68" s="920">
        <v>778430.72238016524</v>
      </c>
      <c r="I68" s="1068"/>
      <c r="J68" s="1068"/>
    </row>
    <row r="69" spans="1:14">
      <c r="A69" s="54"/>
      <c r="B69" s="1028">
        <v>43677</v>
      </c>
      <c r="C69" s="919" t="s">
        <v>930</v>
      </c>
      <c r="D69" s="922">
        <v>0.51</v>
      </c>
      <c r="E69" s="1045">
        <v>2020</v>
      </c>
      <c r="F69" s="920">
        <v>676125.78110000002</v>
      </c>
      <c r="G69" s="920">
        <v>574706.91394000011</v>
      </c>
      <c r="H69" s="920">
        <v>693090.79113982792</v>
      </c>
      <c r="I69" s="1068"/>
      <c r="J69" s="1068"/>
    </row>
    <row r="70" spans="1:14">
      <c r="A70" s="54"/>
      <c r="B70" s="1028">
        <v>43756</v>
      </c>
      <c r="C70" s="919" t="s">
        <v>931</v>
      </c>
      <c r="D70" s="922" t="s">
        <v>630</v>
      </c>
      <c r="E70" s="1045">
        <v>2020</v>
      </c>
      <c r="F70" s="920">
        <v>165125.80166958846</v>
      </c>
      <c r="G70" s="920">
        <v>165125.80166958846</v>
      </c>
      <c r="H70" s="920">
        <v>165125.80166958843</v>
      </c>
      <c r="I70" s="1068"/>
      <c r="J70" s="1068"/>
    </row>
    <row r="71" spans="1:14">
      <c r="A71" s="54"/>
      <c r="B71" s="1028">
        <v>43776</v>
      </c>
      <c r="C71" s="919" t="s">
        <v>964</v>
      </c>
      <c r="D71" s="922" t="s">
        <v>630</v>
      </c>
      <c r="E71" s="1045">
        <v>2020</v>
      </c>
      <c r="F71" s="920">
        <v>237097.30486685032</v>
      </c>
      <c r="G71" s="920">
        <v>237097.30486685032</v>
      </c>
      <c r="H71" s="920">
        <v>237097.30486685035</v>
      </c>
      <c r="I71" s="1068"/>
      <c r="J71" s="1068"/>
    </row>
    <row r="72" spans="1:14">
      <c r="A72" s="54"/>
      <c r="B72" s="1028"/>
      <c r="C72" s="919"/>
      <c r="D72" s="922"/>
      <c r="E72" s="1045"/>
      <c r="F72" s="920"/>
      <c r="G72" s="920"/>
      <c r="H72" s="920"/>
      <c r="I72" s="1068"/>
      <c r="J72" s="1068"/>
    </row>
    <row r="73" spans="1:14">
      <c r="A73" s="54"/>
      <c r="B73" s="1028"/>
      <c r="C73" s="1029" t="s">
        <v>348</v>
      </c>
      <c r="D73" s="922"/>
      <c r="E73" s="1045"/>
      <c r="F73" s="869">
        <f>+SUM(F75:F77)</f>
        <v>1290591.8691042659</v>
      </c>
      <c r="G73" s="869">
        <f t="shared" ref="G73:H73" si="1">+SUM(G75:G77)</f>
        <v>1290591.8691042659</v>
      </c>
      <c r="H73" s="869">
        <f t="shared" si="1"/>
        <v>1290591.8691042659</v>
      </c>
      <c r="I73" s="1068"/>
      <c r="J73" s="1068"/>
    </row>
    <row r="74" spans="1:14">
      <c r="A74" s="54"/>
      <c r="B74" s="1028"/>
      <c r="C74" s="919"/>
      <c r="D74" s="922"/>
      <c r="E74" s="1045"/>
      <c r="F74" s="920"/>
      <c r="G74" s="920"/>
      <c r="H74" s="920"/>
      <c r="I74" s="1068"/>
      <c r="J74" s="1068"/>
    </row>
    <row r="75" spans="1:14">
      <c r="A75" s="54"/>
      <c r="B75" s="1028">
        <v>43766</v>
      </c>
      <c r="C75" s="919" t="s">
        <v>932</v>
      </c>
      <c r="D75" s="922"/>
      <c r="E75" s="1045">
        <v>2020</v>
      </c>
      <c r="F75" s="920">
        <v>1085232.4901911679</v>
      </c>
      <c r="G75" s="920">
        <v>1085232.4901911679</v>
      </c>
      <c r="H75" s="920">
        <v>1085232.4901911679</v>
      </c>
      <c r="I75" s="1068"/>
      <c r="J75" s="1068"/>
    </row>
    <row r="76" spans="1:14">
      <c r="A76" s="54"/>
      <c r="B76" s="1028">
        <v>43766</v>
      </c>
      <c r="C76" s="919" t="s">
        <v>933</v>
      </c>
      <c r="D76" s="922"/>
      <c r="E76" s="1045">
        <v>2020</v>
      </c>
      <c r="F76" s="920">
        <v>135236.664162284</v>
      </c>
      <c r="G76" s="920">
        <v>135236.664162284</v>
      </c>
      <c r="H76" s="920">
        <v>135236.664162284</v>
      </c>
      <c r="I76" s="1068"/>
      <c r="J76" s="1068"/>
    </row>
    <row r="77" spans="1:14">
      <c r="A77" s="54"/>
      <c r="B77" s="1028">
        <v>43766</v>
      </c>
      <c r="C77" s="919" t="s">
        <v>934</v>
      </c>
      <c r="D77" s="922"/>
      <c r="E77" s="1045">
        <v>2020</v>
      </c>
      <c r="F77" s="920">
        <v>70122.714750813917</v>
      </c>
      <c r="G77" s="920">
        <v>70122.714750813917</v>
      </c>
      <c r="H77" s="920">
        <v>70122.714750813917</v>
      </c>
      <c r="I77" s="1068"/>
      <c r="J77" s="1068"/>
    </row>
    <row r="78" spans="1:14">
      <c r="A78" s="54"/>
      <c r="B78" s="1028"/>
      <c r="C78" s="919"/>
      <c r="D78" s="922"/>
      <c r="E78" s="1045"/>
      <c r="F78" s="920"/>
      <c r="G78" s="920"/>
      <c r="H78" s="920"/>
      <c r="I78" s="1068"/>
      <c r="J78" s="1068"/>
    </row>
    <row r="79" spans="1:14" s="519" customFormat="1" ht="15.5">
      <c r="B79" s="1028"/>
      <c r="C79" s="1040"/>
      <c r="D79" s="1043"/>
      <c r="E79" s="1045"/>
      <c r="F79" s="873"/>
      <c r="G79" s="870"/>
      <c r="H79" s="870"/>
      <c r="I79" s="63"/>
      <c r="J79" s="63"/>
      <c r="K79" s="54"/>
      <c r="L79" s="54"/>
      <c r="M79" s="54"/>
      <c r="N79" s="54"/>
    </row>
    <row r="80" spans="1:14" ht="15.5">
      <c r="A80" s="54"/>
      <c r="B80" s="1384" t="s">
        <v>280</v>
      </c>
      <c r="C80" s="1385"/>
      <c r="D80" s="1385"/>
      <c r="E80" s="1386"/>
      <c r="F80" s="882">
        <f>+F41+F18+F73</f>
        <v>29482865.670015424</v>
      </c>
      <c r="G80" s="882">
        <f t="shared" ref="G80:H80" si="2">+G41+G18+G73</f>
        <v>27162939.020667493</v>
      </c>
      <c r="H80" s="882">
        <f t="shared" si="2"/>
        <v>29614529.204668358</v>
      </c>
    </row>
    <row r="81" spans="1:8">
      <c r="B81" s="1044"/>
      <c r="C81" s="1"/>
      <c r="D81" s="1"/>
      <c r="E81" s="190"/>
      <c r="F81" s="876"/>
      <c r="G81" s="876"/>
      <c r="H81" s="876"/>
    </row>
    <row r="82" spans="1:8">
      <c r="A82" s="54"/>
      <c r="B82" s="877" t="s">
        <v>965</v>
      </c>
      <c r="C82" s="1"/>
      <c r="D82" s="1"/>
      <c r="E82" s="190"/>
      <c r="F82" s="878"/>
      <c r="G82" s="878"/>
      <c r="H82" s="878"/>
    </row>
    <row r="83" spans="1:8">
      <c r="A83" s="54"/>
      <c r="B83" s="877" t="s">
        <v>966</v>
      </c>
      <c r="C83" s="1"/>
      <c r="D83" s="1"/>
      <c r="E83" s="190"/>
      <c r="F83" s="1"/>
      <c r="G83" s="781"/>
      <c r="H83" s="879"/>
    </row>
    <row r="84" spans="1:8">
      <c r="B84" s="877" t="s">
        <v>795</v>
      </c>
      <c r="C84" s="190"/>
      <c r="D84" s="190"/>
      <c r="E84" s="190"/>
      <c r="F84" s="880"/>
      <c r="G84" s="880"/>
      <c r="H84" s="880"/>
    </row>
    <row r="85" spans="1:8">
      <c r="H85" s="1122"/>
    </row>
    <row r="86" spans="1:8">
      <c r="H86" s="1122"/>
    </row>
  </sheetData>
  <sortState ref="B47:H67">
    <sortCondition ref="B47:B67"/>
  </sortState>
  <mergeCells count="11">
    <mergeCell ref="B80:E8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sheetPr>
    <tabColor theme="3" tint="0.79998168889431442"/>
    <pageSetUpPr fitToPage="1"/>
  </sheetPr>
  <dimension ref="A1:N73"/>
  <sheetViews>
    <sheetView showGridLines="0" showRuler="0" zoomScaleNormal="100" zoomScaleSheetLayoutView="85" workbookViewId="0"/>
  </sheetViews>
  <sheetFormatPr baseColWidth="10" defaultColWidth="11.453125" defaultRowHeight="13"/>
  <cols>
    <col min="1" max="1" width="6.81640625" style="1" customWidth="1"/>
    <col min="2" max="2" width="10.54296875" style="1" customWidth="1"/>
    <col min="3" max="3" width="66.1796875" style="1" customWidth="1"/>
    <col min="4" max="4" width="27" style="1" bestFit="1" customWidth="1"/>
    <col min="5" max="5" width="13.453125" style="1" customWidth="1"/>
    <col min="6" max="6" width="19.81640625" style="1" customWidth="1"/>
    <col min="7" max="7" width="20.54296875" style="1" customWidth="1"/>
    <col min="8" max="8" width="21.26953125" style="1" customWidth="1"/>
    <col min="9" max="9" width="11.453125" style="1"/>
    <col min="10" max="11" width="13.81640625" style="1" bestFit="1" customWidth="1"/>
    <col min="12" max="16384" width="11.453125" style="1"/>
  </cols>
  <sheetData>
    <row r="1" spans="1:14" ht="14.5">
      <c r="A1" s="738" t="s">
        <v>219</v>
      </c>
      <c r="B1" s="190"/>
    </row>
    <row r="2" spans="1:14" ht="15" customHeight="1">
      <c r="A2" s="738"/>
      <c r="B2" s="386" t="str">
        <f>+INDICE!B2</f>
        <v>MINISTERIO DE ECONOMÍA</v>
      </c>
      <c r="C2" s="3"/>
      <c r="D2" s="3"/>
      <c r="E2" s="4"/>
      <c r="F2" s="4"/>
      <c r="G2" s="4"/>
      <c r="H2" s="5"/>
    </row>
    <row r="3" spans="1:14" ht="15" customHeight="1">
      <c r="A3" s="190"/>
      <c r="B3" s="270" t="s">
        <v>304</v>
      </c>
      <c r="C3" s="3"/>
      <c r="D3" s="3"/>
      <c r="E3" s="4"/>
      <c r="F3" s="4"/>
      <c r="G3" s="4"/>
      <c r="H3" s="5"/>
    </row>
    <row r="4" spans="1:14" s="198" customFormat="1">
      <c r="B4" s="35"/>
      <c r="C4" s="35"/>
      <c r="D4" s="35"/>
      <c r="E4" s="437"/>
      <c r="F4" s="438"/>
      <c r="G4" s="438"/>
      <c r="H4" s="35"/>
      <c r="I4" s="1"/>
      <c r="J4" s="1"/>
      <c r="K4" s="1"/>
      <c r="L4" s="1"/>
      <c r="M4" s="1"/>
      <c r="N4" s="1"/>
    </row>
    <row r="5" spans="1:14" s="198" customFormat="1">
      <c r="B5" s="35"/>
      <c r="C5" s="35"/>
      <c r="D5" s="35"/>
      <c r="E5" s="437"/>
      <c r="F5" s="438"/>
      <c r="G5" s="438"/>
      <c r="H5" s="35"/>
      <c r="I5" s="1"/>
      <c r="J5" s="1"/>
      <c r="K5" s="1"/>
      <c r="L5" s="1"/>
      <c r="M5" s="1"/>
      <c r="N5" s="1"/>
    </row>
    <row r="6" spans="1:14" ht="17">
      <c r="B6" s="1358" t="s">
        <v>361</v>
      </c>
      <c r="C6" s="1358"/>
      <c r="D6" s="1358"/>
      <c r="E6" s="1358"/>
      <c r="F6" s="1358"/>
      <c r="G6" s="1358"/>
      <c r="H6" s="1358"/>
    </row>
    <row r="7" spans="1:14" ht="17">
      <c r="B7" s="1402" t="s">
        <v>228</v>
      </c>
      <c r="C7" s="1402"/>
      <c r="D7" s="1402"/>
      <c r="E7" s="1402"/>
      <c r="F7" s="1402"/>
      <c r="G7" s="1402"/>
      <c r="H7" s="1402"/>
    </row>
    <row r="8" spans="1:14" ht="14.5">
      <c r="B8" s="1387" t="s">
        <v>918</v>
      </c>
      <c r="C8" s="1387"/>
      <c r="D8" s="1387"/>
      <c r="E8" s="1387"/>
      <c r="F8" s="1387"/>
      <c r="G8" s="1387"/>
      <c r="H8" s="1387"/>
    </row>
    <row r="9" spans="1:14" s="198" customFormat="1">
      <c r="B9" s="439"/>
      <c r="C9" s="439"/>
      <c r="D9" s="439"/>
      <c r="E9" s="439"/>
      <c r="F9" s="439"/>
      <c r="G9" s="439"/>
      <c r="H9" s="439"/>
      <c r="I9" s="1"/>
      <c r="J9" s="1"/>
      <c r="K9" s="1"/>
      <c r="L9" s="1"/>
      <c r="M9" s="1"/>
      <c r="N9" s="1"/>
    </row>
    <row r="10" spans="1:14" s="198" customFormat="1">
      <c r="B10" s="439"/>
      <c r="C10" s="439"/>
      <c r="D10" s="439"/>
      <c r="E10" s="439"/>
      <c r="F10" s="439"/>
      <c r="G10" s="439"/>
      <c r="H10" s="439"/>
      <c r="I10" s="1"/>
      <c r="J10" s="1"/>
      <c r="K10" s="1"/>
      <c r="L10" s="1"/>
      <c r="M10" s="1"/>
      <c r="N10" s="1"/>
    </row>
    <row r="11" spans="1:14" ht="13.5" thickBot="1">
      <c r="B11" s="5"/>
      <c r="C11" s="5"/>
      <c r="D11" s="7"/>
      <c r="E11" s="7"/>
      <c r="F11" s="8"/>
      <c r="G11" s="8"/>
      <c r="H11" s="636" t="s">
        <v>294</v>
      </c>
    </row>
    <row r="12" spans="1:14" ht="13.5" thickTop="1">
      <c r="B12" s="1403" t="s">
        <v>295</v>
      </c>
      <c r="C12" s="1406" t="s">
        <v>290</v>
      </c>
      <c r="D12" s="1406" t="s">
        <v>234</v>
      </c>
      <c r="E12" s="1394" t="s">
        <v>291</v>
      </c>
      <c r="F12" s="1397" t="s">
        <v>333</v>
      </c>
      <c r="G12" s="1397" t="s">
        <v>334</v>
      </c>
      <c r="H12" s="1397" t="s">
        <v>335</v>
      </c>
    </row>
    <row r="13" spans="1:14" ht="17.25" customHeight="1">
      <c r="B13" s="1404"/>
      <c r="C13" s="1407"/>
      <c r="D13" s="1407"/>
      <c r="E13" s="1395"/>
      <c r="F13" s="1398"/>
      <c r="G13" s="1398"/>
      <c r="H13" s="1398"/>
    </row>
    <row r="14" spans="1:14">
      <c r="B14" s="1404"/>
      <c r="C14" s="1407"/>
      <c r="D14" s="1407"/>
      <c r="E14" s="1395"/>
      <c r="F14" s="1398"/>
      <c r="G14" s="1398"/>
      <c r="H14" s="1398"/>
    </row>
    <row r="15" spans="1:14">
      <c r="B15" s="1405"/>
      <c r="C15" s="1408"/>
      <c r="D15" s="1408"/>
      <c r="E15" s="1396"/>
      <c r="F15" s="1399"/>
      <c r="G15" s="1399"/>
      <c r="H15" s="1399"/>
    </row>
    <row r="16" spans="1:14" ht="13.5" customHeight="1">
      <c r="B16" s="925"/>
      <c r="C16" s="926"/>
      <c r="D16" s="927"/>
      <c r="E16" s="928"/>
      <c r="F16" s="929"/>
      <c r="G16" s="930"/>
      <c r="H16" s="931"/>
    </row>
    <row r="17" spans="2:14" s="129" customFormat="1" ht="15.5">
      <c r="B17" s="925"/>
      <c r="C17" s="867" t="s">
        <v>305</v>
      </c>
      <c r="D17" s="927"/>
      <c r="E17" s="928"/>
      <c r="F17" s="869">
        <f>+F22+F19+F30+F37</f>
        <v>5474876.9478159398</v>
      </c>
      <c r="G17" s="869">
        <f>+G22+G19+G30+G37</f>
        <v>5456394.7882557493</v>
      </c>
      <c r="H17" s="869">
        <f>+H22+H19+H30+H37</f>
        <v>22763419.206493489</v>
      </c>
      <c r="I17" s="781"/>
      <c r="J17" s="781"/>
      <c r="K17" s="1"/>
      <c r="L17" s="1"/>
      <c r="M17" s="1"/>
      <c r="N17" s="1"/>
    </row>
    <row r="18" spans="2:14" ht="13.5" customHeight="1">
      <c r="B18" s="925"/>
      <c r="C18" s="926"/>
      <c r="D18" s="927"/>
      <c r="E18" s="928"/>
      <c r="F18" s="929"/>
      <c r="G18" s="930"/>
      <c r="H18" s="931"/>
      <c r="I18" s="781"/>
    </row>
    <row r="19" spans="2:14" s="10" customFormat="1" ht="14.5">
      <c r="B19" s="932"/>
      <c r="C19" s="864" t="s">
        <v>384</v>
      </c>
      <c r="D19" s="933"/>
      <c r="E19" s="934"/>
      <c r="F19" s="935">
        <f>+F20</f>
        <v>32271.97408798731</v>
      </c>
      <c r="G19" s="935">
        <f>+G20</f>
        <v>13789.814527797036</v>
      </c>
      <c r="H19" s="935">
        <f>+H20</f>
        <v>214651.46433090931</v>
      </c>
      <c r="I19" s="781"/>
      <c r="J19" s="781"/>
      <c r="K19" s="1"/>
      <c r="L19" s="1"/>
      <c r="M19" s="1"/>
      <c r="N19" s="1"/>
    </row>
    <row r="20" spans="2:14" ht="14.5">
      <c r="B20" s="936">
        <v>38061</v>
      </c>
      <c r="C20" s="937" t="s">
        <v>717</v>
      </c>
      <c r="D20" s="938">
        <v>0.02</v>
      </c>
      <c r="E20" s="939">
        <v>2024</v>
      </c>
      <c r="F20" s="873">
        <v>32271.97408798731</v>
      </c>
      <c r="G20" s="873">
        <v>13789.814527797036</v>
      </c>
      <c r="H20" s="940">
        <v>214651.46433090931</v>
      </c>
      <c r="I20" s="781"/>
    </row>
    <row r="21" spans="2:14" ht="13.5" customHeight="1">
      <c r="B21" s="925"/>
      <c r="C21" s="926"/>
      <c r="D21" s="927"/>
      <c r="E21" s="928"/>
      <c r="F21" s="929"/>
      <c r="G21" s="930"/>
      <c r="H21" s="931"/>
      <c r="I21" s="781"/>
    </row>
    <row r="22" spans="2:14" s="2" customFormat="1" ht="13.5" customHeight="1">
      <c r="B22" s="932"/>
      <c r="C22" s="864" t="s">
        <v>822</v>
      </c>
      <c r="D22" s="933"/>
      <c r="E22" s="934"/>
      <c r="F22" s="935">
        <f>SUM(F23:F28)</f>
        <v>4827535.2396600004</v>
      </c>
      <c r="G22" s="935">
        <f>SUM(G23:G28)</f>
        <v>4827535.2396600004</v>
      </c>
      <c r="H22" s="935">
        <f>SUM(H23:H28)</f>
        <v>12089128.067182634</v>
      </c>
      <c r="I22" s="781"/>
      <c r="J22" s="781"/>
      <c r="K22" s="1"/>
      <c r="L22" s="1"/>
      <c r="M22" s="1"/>
      <c r="N22" s="1"/>
    </row>
    <row r="23" spans="2:14" ht="13.5" customHeight="1">
      <c r="B23" s="936">
        <v>42573</v>
      </c>
      <c r="C23" s="937" t="s">
        <v>633</v>
      </c>
      <c r="D23" s="938">
        <v>2.5000000000000001E-2</v>
      </c>
      <c r="E23" s="939">
        <v>2021</v>
      </c>
      <c r="F23" s="873">
        <v>958168.97829999996</v>
      </c>
      <c r="G23" s="873">
        <v>958168.97829999996</v>
      </c>
      <c r="H23" s="940">
        <v>2860617.574231443</v>
      </c>
      <c r="I23" s="781"/>
      <c r="J23" s="781"/>
    </row>
    <row r="24" spans="2:14" ht="13.5" customHeight="1">
      <c r="B24" s="936">
        <v>42671</v>
      </c>
      <c r="C24" s="937" t="s">
        <v>634</v>
      </c>
      <c r="D24" s="938">
        <v>2.2499999999999999E-2</v>
      </c>
      <c r="E24" s="939">
        <v>2020</v>
      </c>
      <c r="F24" s="873">
        <v>1843244.6261800001</v>
      </c>
      <c r="G24" s="873">
        <v>1843244.6261800001</v>
      </c>
      <c r="H24" s="940">
        <v>5238971.0271491669</v>
      </c>
      <c r="I24" s="781"/>
      <c r="J24" s="781"/>
    </row>
    <row r="25" spans="2:14" ht="13.5" customHeight="1">
      <c r="B25" s="936">
        <v>43165</v>
      </c>
      <c r="C25" s="937" t="s">
        <v>678</v>
      </c>
      <c r="D25" s="938">
        <v>0.04</v>
      </c>
      <c r="E25" s="939">
        <v>2023</v>
      </c>
      <c r="F25" s="873">
        <v>472368.10162999999</v>
      </c>
      <c r="G25" s="873">
        <v>472368.10162999999</v>
      </c>
      <c r="H25" s="940">
        <v>1002486.2932658339</v>
      </c>
      <c r="I25" s="781"/>
      <c r="J25" s="781"/>
    </row>
    <row r="26" spans="2:14" ht="13.5" customHeight="1">
      <c r="B26" s="936">
        <v>43217</v>
      </c>
      <c r="C26" s="937" t="s">
        <v>679</v>
      </c>
      <c r="D26" s="938">
        <v>0.04</v>
      </c>
      <c r="E26" s="939">
        <v>2025</v>
      </c>
      <c r="F26" s="873">
        <v>485813.47079000005</v>
      </c>
      <c r="G26" s="873">
        <v>485813.47079000005</v>
      </c>
      <c r="H26" s="940">
        <v>991947.63843490067</v>
      </c>
      <c r="I26" s="781"/>
      <c r="J26" s="781"/>
    </row>
    <row r="27" spans="2:14" ht="13.5" customHeight="1">
      <c r="B27" s="936">
        <v>43433</v>
      </c>
      <c r="C27" s="937" t="s">
        <v>709</v>
      </c>
      <c r="D27" s="938">
        <v>8.5000000000000006E-2</v>
      </c>
      <c r="E27" s="939">
        <v>2022</v>
      </c>
      <c r="F27" s="873">
        <v>567063.52919000003</v>
      </c>
      <c r="G27" s="873">
        <v>567063.52919000003</v>
      </c>
      <c r="H27" s="940">
        <v>898390.24549556372</v>
      </c>
      <c r="I27" s="781"/>
      <c r="J27" s="781"/>
    </row>
    <row r="28" spans="2:14" s="190" customFormat="1" ht="14.5">
      <c r="B28" s="936">
        <v>43165</v>
      </c>
      <c r="C28" s="937" t="s">
        <v>826</v>
      </c>
      <c r="D28" s="938">
        <v>0.04</v>
      </c>
      <c r="E28" s="939">
        <v>2020</v>
      </c>
      <c r="F28" s="873">
        <v>500876.53357000003</v>
      </c>
      <c r="G28" s="873">
        <v>500876.53357000003</v>
      </c>
      <c r="H28" s="940">
        <v>1096715.2886057268</v>
      </c>
      <c r="I28" s="781"/>
      <c r="J28" s="781"/>
      <c r="K28" s="1"/>
      <c r="L28" s="1"/>
      <c r="M28" s="1"/>
      <c r="N28" s="1"/>
    </row>
    <row r="29" spans="2:14" s="190" customFormat="1" ht="14.5">
      <c r="B29" s="936"/>
      <c r="C29" s="937"/>
      <c r="D29" s="938"/>
      <c r="E29" s="939"/>
      <c r="F29" s="895"/>
      <c r="G29" s="902"/>
      <c r="H29" s="941"/>
      <c r="I29" s="781"/>
      <c r="J29" s="781"/>
      <c r="K29" s="1"/>
      <c r="L29" s="1"/>
      <c r="M29" s="1"/>
      <c r="N29" s="1"/>
    </row>
    <row r="30" spans="2:14" ht="14.5">
      <c r="B30" s="932"/>
      <c r="C30" s="864" t="s">
        <v>385</v>
      </c>
      <c r="D30" s="933"/>
      <c r="E30" s="934"/>
      <c r="F30" s="935">
        <f>SUM(F31:F35)</f>
        <v>615069.73406795226</v>
      </c>
      <c r="G30" s="935">
        <f>SUM(G31:G35)</f>
        <v>615069.73406795226</v>
      </c>
      <c r="H30" s="935">
        <f>SUM(H31:H35)</f>
        <v>10458655.301217347</v>
      </c>
      <c r="I30" s="781"/>
      <c r="J30" s="781"/>
    </row>
    <row r="31" spans="2:14" s="10" customFormat="1" ht="14.5">
      <c r="B31" s="936">
        <v>37986</v>
      </c>
      <c r="C31" s="937" t="s">
        <v>635</v>
      </c>
      <c r="D31" s="938">
        <v>1.18E-2</v>
      </c>
      <c r="E31" s="939">
        <v>2038</v>
      </c>
      <c r="F31" s="873">
        <v>47209.898238584181</v>
      </c>
      <c r="G31" s="873">
        <v>47209.898238584181</v>
      </c>
      <c r="H31" s="940">
        <v>606032.12155850523</v>
      </c>
      <c r="I31" s="781"/>
      <c r="J31" s="781"/>
      <c r="K31" s="1"/>
      <c r="L31" s="1"/>
      <c r="M31" s="1"/>
      <c r="N31" s="1"/>
    </row>
    <row r="32" spans="2:14" ht="14.5">
      <c r="B32" s="936">
        <v>37986</v>
      </c>
      <c r="C32" s="937" t="s">
        <v>636</v>
      </c>
      <c r="D32" s="938">
        <v>1.18E-2</v>
      </c>
      <c r="E32" s="939">
        <v>2038</v>
      </c>
      <c r="F32" s="873">
        <v>187.75386927122463</v>
      </c>
      <c r="G32" s="873">
        <v>187.75386927122463</v>
      </c>
      <c r="H32" s="940">
        <v>2410.1910835781459</v>
      </c>
      <c r="I32" s="781"/>
      <c r="J32" s="781"/>
    </row>
    <row r="33" spans="2:14" ht="14.5">
      <c r="B33" s="936">
        <v>37986</v>
      </c>
      <c r="C33" s="937" t="s">
        <v>637</v>
      </c>
      <c r="D33" s="938">
        <v>5.8299999999999998E-2</v>
      </c>
      <c r="E33" s="939">
        <v>2033</v>
      </c>
      <c r="F33" s="873">
        <v>174324.37016445445</v>
      </c>
      <c r="G33" s="873">
        <v>174324.37016445445</v>
      </c>
      <c r="H33" s="940">
        <v>2841859.5792476991</v>
      </c>
      <c r="I33" s="781"/>
      <c r="J33" s="781"/>
    </row>
    <row r="34" spans="2:14" ht="14.5">
      <c r="B34" s="936">
        <v>37986</v>
      </c>
      <c r="C34" s="937" t="s">
        <v>638</v>
      </c>
      <c r="D34" s="938">
        <v>5.8299999999999998E-2</v>
      </c>
      <c r="E34" s="939">
        <v>2033</v>
      </c>
      <c r="F34" s="873">
        <v>2095.509024125553</v>
      </c>
      <c r="G34" s="873">
        <v>2095.509024125553</v>
      </c>
      <c r="H34" s="940">
        <v>34161.257339311043</v>
      </c>
      <c r="I34" s="781"/>
      <c r="J34" s="781"/>
    </row>
    <row r="35" spans="2:14" ht="14.5">
      <c r="B35" s="936">
        <v>37986</v>
      </c>
      <c r="C35" s="937" t="s">
        <v>639</v>
      </c>
      <c r="D35" s="938">
        <v>3.3099999999999997E-2</v>
      </c>
      <c r="E35" s="939">
        <v>2045</v>
      </c>
      <c r="F35" s="873">
        <v>391252.20277151681</v>
      </c>
      <c r="G35" s="873">
        <v>391252.20277151681</v>
      </c>
      <c r="H35" s="940">
        <v>6974192.151988253</v>
      </c>
      <c r="I35" s="781"/>
    </row>
    <row r="36" spans="2:14" s="190" customFormat="1" ht="14.5">
      <c r="B36" s="943"/>
      <c r="C36" s="937"/>
      <c r="D36" s="938"/>
      <c r="E36" s="939"/>
      <c r="F36" s="895"/>
      <c r="G36" s="902"/>
      <c r="H36" s="941"/>
      <c r="I36" s="781"/>
      <c r="J36" s="781"/>
      <c r="K36" s="1"/>
      <c r="L36" s="1"/>
      <c r="M36" s="1"/>
      <c r="N36" s="1"/>
    </row>
    <row r="37" spans="2:14" ht="14.5">
      <c r="B37" s="944"/>
      <c r="C37" s="864" t="s">
        <v>297</v>
      </c>
      <c r="D37" s="933"/>
      <c r="E37" s="934"/>
      <c r="F37" s="935"/>
      <c r="G37" s="935"/>
      <c r="H37" s="942">
        <v>984.37376260113456</v>
      </c>
      <c r="I37" s="781"/>
    </row>
    <row r="38" spans="2:14" s="129" customFormat="1" ht="15.5">
      <c r="B38" s="943"/>
      <c r="C38" s="937"/>
      <c r="D38" s="938"/>
      <c r="E38" s="939"/>
      <c r="F38" s="895"/>
      <c r="G38" s="902"/>
      <c r="H38" s="941"/>
      <c r="I38" s="781"/>
      <c r="J38" s="781"/>
      <c r="K38" s="1"/>
      <c r="L38" s="1"/>
      <c r="M38" s="1"/>
      <c r="N38" s="1"/>
    </row>
    <row r="39" spans="2:14" s="10" customFormat="1" ht="14.5">
      <c r="B39" s="943"/>
      <c r="C39" s="867" t="s">
        <v>220</v>
      </c>
      <c r="D39" s="938"/>
      <c r="E39" s="939"/>
      <c r="F39" s="945">
        <f>SUM(F41:F42)</f>
        <v>874651.24046999996</v>
      </c>
      <c r="G39" s="945">
        <f>SUM(G41:G42)</f>
        <v>524790.74427999998</v>
      </c>
      <c r="H39" s="945">
        <f>SUM(H41:H42)</f>
        <v>733141.88835223822</v>
      </c>
      <c r="I39" s="781"/>
      <c r="J39" s="1"/>
      <c r="K39" s="1"/>
      <c r="L39" s="1"/>
      <c r="M39" s="1"/>
      <c r="N39" s="1"/>
    </row>
    <row r="40" spans="2:14" s="190" customFormat="1" ht="14.5">
      <c r="B40" s="943"/>
      <c r="C40" s="937"/>
      <c r="D40" s="938"/>
      <c r="E40" s="939"/>
      <c r="F40" s="895"/>
      <c r="G40" s="902"/>
      <c r="H40" s="941"/>
      <c r="I40" s="781"/>
      <c r="J40" s="1"/>
      <c r="K40" s="1"/>
      <c r="L40" s="1"/>
      <c r="M40" s="1"/>
      <c r="N40" s="1"/>
    </row>
    <row r="41" spans="2:14" s="10" customFormat="1" ht="14.5">
      <c r="B41" s="936">
        <v>43524</v>
      </c>
      <c r="C41" s="937" t="s">
        <v>718</v>
      </c>
      <c r="D41" s="938" t="s">
        <v>50</v>
      </c>
      <c r="E41" s="939">
        <v>2019</v>
      </c>
      <c r="F41" s="895">
        <v>130146.91470000001</v>
      </c>
      <c r="G41" s="902">
        <v>78088.148819999988</v>
      </c>
      <c r="H41" s="941">
        <v>112110.57190815374</v>
      </c>
      <c r="I41" s="781"/>
      <c r="J41" s="1"/>
      <c r="K41" s="1"/>
      <c r="L41" s="1024"/>
      <c r="M41" s="1024"/>
      <c r="N41" s="1024"/>
    </row>
    <row r="42" spans="2:14" s="10" customFormat="1" ht="14.5">
      <c r="B42" s="936">
        <v>43553</v>
      </c>
      <c r="C42" s="937" t="s">
        <v>719</v>
      </c>
      <c r="D42" s="938" t="s">
        <v>50</v>
      </c>
      <c r="E42" s="939">
        <v>2019</v>
      </c>
      <c r="F42" s="895">
        <v>744504.32577</v>
      </c>
      <c r="G42" s="902">
        <v>446702.59545999998</v>
      </c>
      <c r="H42" s="941">
        <v>621031.31644408451</v>
      </c>
      <c r="I42" s="781"/>
      <c r="J42" s="1"/>
      <c r="K42" s="1"/>
      <c r="L42" s="1024"/>
      <c r="M42" s="1024"/>
      <c r="N42" s="1024"/>
    </row>
    <row r="43" spans="2:14" ht="14.5">
      <c r="B43" s="943"/>
      <c r="C43" s="937"/>
      <c r="D43" s="938"/>
      <c r="E43" s="939"/>
      <c r="F43" s="895"/>
      <c r="G43" s="902"/>
      <c r="H43" s="941"/>
      <c r="I43" s="781"/>
    </row>
    <row r="44" spans="2:14" s="10" customFormat="1" ht="14.5">
      <c r="B44" s="944"/>
      <c r="C44" s="867" t="s">
        <v>383</v>
      </c>
      <c r="D44" s="946"/>
      <c r="E44" s="934"/>
      <c r="F44" s="869">
        <f>+F46</f>
        <v>28907.880611069373</v>
      </c>
      <c r="G44" s="869">
        <f>+G46</f>
        <v>28907.880611069373</v>
      </c>
      <c r="H44" s="869">
        <f>+H46</f>
        <v>640325.04701061931</v>
      </c>
      <c r="I44" s="781"/>
      <c r="J44" s="781"/>
      <c r="K44" s="1"/>
      <c r="L44" s="1"/>
      <c r="M44" s="1"/>
      <c r="N44" s="1"/>
    </row>
    <row r="45" spans="2:14" ht="14.5">
      <c r="B45" s="943"/>
      <c r="C45" s="937"/>
      <c r="D45" s="883"/>
      <c r="E45" s="939"/>
      <c r="F45" s="902"/>
      <c r="G45" s="902"/>
      <c r="H45" s="941"/>
      <c r="I45" s="781"/>
      <c r="J45" s="781"/>
    </row>
    <row r="46" spans="2:14" ht="14.5">
      <c r="B46" s="932"/>
      <c r="C46" s="947" t="s">
        <v>386</v>
      </c>
      <c r="D46" s="948"/>
      <c r="E46" s="934"/>
      <c r="F46" s="935">
        <f>SUM(F47:F56)</f>
        <v>28907.880611069373</v>
      </c>
      <c r="G46" s="935">
        <f>SUM(G47:G56)</f>
        <v>28907.880611069373</v>
      </c>
      <c r="H46" s="935">
        <f>SUM(H47:H56)</f>
        <v>640325.04701061931</v>
      </c>
      <c r="I46" s="90"/>
      <c r="J46" s="781"/>
    </row>
    <row r="47" spans="2:14" ht="14.5">
      <c r="B47" s="936">
        <v>37201</v>
      </c>
      <c r="C47" s="937" t="s">
        <v>313</v>
      </c>
      <c r="D47" s="897">
        <v>0.05</v>
      </c>
      <c r="E47" s="939">
        <v>2027</v>
      </c>
      <c r="F47" s="895">
        <v>977.74440938308692</v>
      </c>
      <c r="G47" s="895">
        <v>977.74440938308692</v>
      </c>
      <c r="H47" s="940">
        <v>18741.841989492277</v>
      </c>
      <c r="I47" s="781"/>
      <c r="J47" s="781"/>
    </row>
    <row r="48" spans="2:14" ht="14.5">
      <c r="B48" s="936">
        <v>37201</v>
      </c>
      <c r="C48" s="937" t="s">
        <v>311</v>
      </c>
      <c r="D48" s="897">
        <v>0.05</v>
      </c>
      <c r="E48" s="939">
        <v>2020</v>
      </c>
      <c r="F48" s="895">
        <v>600.81081225477908</v>
      </c>
      <c r="G48" s="895">
        <v>600.81081225477908</v>
      </c>
      <c r="H48" s="940">
        <v>11517.814178713728</v>
      </c>
      <c r="I48" s="781"/>
      <c r="J48" s="781"/>
    </row>
    <row r="49" spans="2:14" ht="14.5">
      <c r="B49" s="936">
        <v>37201</v>
      </c>
      <c r="C49" s="937" t="s">
        <v>314</v>
      </c>
      <c r="D49" s="897">
        <v>0.05</v>
      </c>
      <c r="E49" s="939">
        <v>2027</v>
      </c>
      <c r="F49" s="895">
        <v>2778.1902462642952</v>
      </c>
      <c r="G49" s="895">
        <v>2778.1902462642952</v>
      </c>
      <c r="H49" s="940">
        <v>53237.009164206051</v>
      </c>
      <c r="I49" s="781"/>
      <c r="J49" s="781"/>
    </row>
    <row r="50" spans="2:14" ht="14.5">
      <c r="B50" s="936">
        <v>37201</v>
      </c>
      <c r="C50" s="937" t="s">
        <v>317</v>
      </c>
      <c r="D50" s="897">
        <v>0.05</v>
      </c>
      <c r="E50" s="939">
        <v>2030</v>
      </c>
      <c r="F50" s="895">
        <v>210.63900492528589</v>
      </c>
      <c r="G50" s="895">
        <v>210.63900492528589</v>
      </c>
      <c r="H50" s="940">
        <v>4038.0448590555666</v>
      </c>
      <c r="I50" s="781"/>
      <c r="J50" s="781"/>
    </row>
    <row r="51" spans="2:14" ht="14.5">
      <c r="B51" s="936">
        <v>37201</v>
      </c>
      <c r="C51" s="937" t="s">
        <v>318</v>
      </c>
      <c r="D51" s="897">
        <v>0.05</v>
      </c>
      <c r="E51" s="939">
        <v>2031</v>
      </c>
      <c r="F51" s="895">
        <v>48.244427748559971</v>
      </c>
      <c r="G51" s="895">
        <v>48.244427748559971</v>
      </c>
      <c r="H51" s="940">
        <v>924.86747011274872</v>
      </c>
      <c r="I51" s="781"/>
      <c r="J51" s="781"/>
    </row>
    <row r="52" spans="2:14" ht="14.5">
      <c r="B52" s="936">
        <v>37201</v>
      </c>
      <c r="C52" s="937" t="s">
        <v>319</v>
      </c>
      <c r="D52" s="897">
        <v>0.05</v>
      </c>
      <c r="E52" s="939">
        <v>2031</v>
      </c>
      <c r="F52" s="895">
        <v>15759.473041155354</v>
      </c>
      <c r="G52" s="895">
        <v>15759.473041155354</v>
      </c>
      <c r="H52" s="940">
        <v>372055.18468758621</v>
      </c>
      <c r="I52" s="781"/>
      <c r="J52" s="781"/>
    </row>
    <row r="53" spans="2:14" ht="14.5">
      <c r="B53" s="936">
        <v>37201</v>
      </c>
      <c r="C53" s="937" t="s">
        <v>312</v>
      </c>
      <c r="D53" s="897">
        <v>0.05</v>
      </c>
      <c r="E53" s="939">
        <v>2020</v>
      </c>
      <c r="F53" s="895">
        <v>277.31584272476834</v>
      </c>
      <c r="G53" s="895">
        <v>277.31584272476834</v>
      </c>
      <c r="H53" s="940">
        <v>5294.5221739691087</v>
      </c>
      <c r="I53" s="781"/>
      <c r="J53" s="781"/>
    </row>
    <row r="54" spans="2:14" ht="14.5">
      <c r="B54" s="936">
        <v>37201</v>
      </c>
      <c r="C54" s="937" t="s">
        <v>315</v>
      </c>
      <c r="D54" s="897">
        <v>0.05</v>
      </c>
      <c r="E54" s="939">
        <v>2027</v>
      </c>
      <c r="F54" s="895">
        <v>2844.9681776442103</v>
      </c>
      <c r="G54" s="895">
        <v>2844.9681776442103</v>
      </c>
      <c r="H54" s="940">
        <v>54299.111417649692</v>
      </c>
      <c r="I54" s="781"/>
    </row>
    <row r="55" spans="2:14" s="190" customFormat="1" ht="14.5">
      <c r="B55" s="936">
        <v>37201</v>
      </c>
      <c r="C55" s="937" t="s">
        <v>316</v>
      </c>
      <c r="D55" s="897">
        <v>0.05</v>
      </c>
      <c r="E55" s="939">
        <v>2030</v>
      </c>
      <c r="F55" s="895">
        <v>1582.3683779948242</v>
      </c>
      <c r="G55" s="895">
        <v>1582.3683779948242</v>
      </c>
      <c r="H55" s="940">
        <v>30210.623307138441</v>
      </c>
      <c r="I55" s="781"/>
      <c r="J55" s="781"/>
      <c r="K55" s="1"/>
      <c r="L55" s="1"/>
      <c r="M55" s="1"/>
      <c r="N55" s="1"/>
    </row>
    <row r="56" spans="2:14" ht="14.5">
      <c r="B56" s="936">
        <v>37201</v>
      </c>
      <c r="C56" s="937" t="s">
        <v>320</v>
      </c>
      <c r="D56" s="897">
        <v>0.05</v>
      </c>
      <c r="E56" s="939">
        <v>2031</v>
      </c>
      <c r="F56" s="895">
        <v>3828.126270974205</v>
      </c>
      <c r="G56" s="895">
        <v>3828.126270974205</v>
      </c>
      <c r="H56" s="940">
        <v>90006.027762695434</v>
      </c>
      <c r="I56" s="781"/>
      <c r="J56" s="781"/>
    </row>
    <row r="57" spans="2:14" s="520" customFormat="1" ht="15.5">
      <c r="B57" s="936"/>
      <c r="C57" s="937"/>
      <c r="D57" s="897"/>
      <c r="E57" s="939"/>
      <c r="F57" s="895"/>
      <c r="G57" s="902"/>
      <c r="H57" s="941"/>
      <c r="I57" s="781"/>
      <c r="J57" s="781"/>
      <c r="K57" s="1"/>
      <c r="L57" s="1"/>
      <c r="M57" s="1"/>
      <c r="N57" s="1"/>
    </row>
    <row r="58" spans="2:14" ht="14.5">
      <c r="B58" s="932"/>
      <c r="C58" s="949" t="s">
        <v>348</v>
      </c>
      <c r="D58" s="948"/>
      <c r="E58" s="934"/>
      <c r="F58" s="869">
        <f>+F60</f>
        <v>24485.783636029719</v>
      </c>
      <c r="G58" s="869">
        <f>+G60</f>
        <v>24485.783636029719</v>
      </c>
      <c r="H58" s="869">
        <f>+H60</f>
        <v>314323.30843106337</v>
      </c>
      <c r="I58" s="781"/>
      <c r="J58" s="781"/>
    </row>
    <row r="59" spans="2:14" s="10" customFormat="1" ht="14.5">
      <c r="B59" s="936"/>
      <c r="C59" s="937"/>
      <c r="D59" s="897"/>
      <c r="E59" s="939"/>
      <c r="F59" s="895"/>
      <c r="G59" s="902"/>
      <c r="H59" s="941"/>
      <c r="I59" s="781"/>
      <c r="J59" s="1"/>
      <c r="K59" s="1"/>
      <c r="L59" s="1"/>
      <c r="M59" s="1"/>
      <c r="N59" s="1"/>
    </row>
    <row r="60" spans="2:14" s="129" customFormat="1" ht="15.5">
      <c r="B60" s="936">
        <v>38930</v>
      </c>
      <c r="C60" s="937" t="s">
        <v>557</v>
      </c>
      <c r="D60" s="897">
        <v>1.18E-2</v>
      </c>
      <c r="E60" s="939">
        <v>2038</v>
      </c>
      <c r="F60" s="895">
        <v>24485.783636029719</v>
      </c>
      <c r="G60" s="873">
        <v>24485.783636029719</v>
      </c>
      <c r="H60" s="940">
        <v>314323.30843106337</v>
      </c>
      <c r="I60" s="781"/>
      <c r="J60" s="781"/>
      <c r="K60" s="1"/>
      <c r="L60" s="1"/>
      <c r="M60" s="1"/>
      <c r="N60" s="1"/>
    </row>
    <row r="61" spans="2:14" ht="14.5">
      <c r="B61" s="936"/>
      <c r="C61" s="950"/>
      <c r="D61" s="897"/>
      <c r="E61" s="939"/>
      <c r="F61" s="951"/>
      <c r="G61" s="930"/>
      <c r="H61" s="931"/>
      <c r="I61" s="781"/>
    </row>
    <row r="62" spans="2:14" ht="15.5">
      <c r="B62" s="1400" t="s">
        <v>280</v>
      </c>
      <c r="C62" s="1401"/>
      <c r="D62" s="1401"/>
      <c r="E62" s="1401"/>
      <c r="F62" s="952">
        <f>+F58+F44+F39+F17</f>
        <v>6402921.8525330387</v>
      </c>
      <c r="G62" s="952">
        <f>+G58+G44+G39+G17</f>
        <v>6034579.1967828479</v>
      </c>
      <c r="H62" s="952">
        <f>+H58+H44+H39+H17</f>
        <v>24451209.450287409</v>
      </c>
      <c r="I62" s="781"/>
    </row>
    <row r="63" spans="2:14" ht="14.5">
      <c r="B63" s="953"/>
      <c r="C63" s="190"/>
      <c r="D63" s="190"/>
      <c r="E63" s="190"/>
      <c r="F63" s="954"/>
      <c r="G63" s="954"/>
      <c r="H63" s="955"/>
      <c r="I63" s="781"/>
    </row>
    <row r="64" spans="2:14">
      <c r="B64" s="877" t="s">
        <v>336</v>
      </c>
      <c r="C64" s="956"/>
      <c r="D64" s="956"/>
      <c r="E64" s="956"/>
      <c r="F64" s="956"/>
      <c r="G64" s="956"/>
      <c r="H64" s="957"/>
      <c r="I64" s="781"/>
    </row>
    <row r="65" spans="2:9">
      <c r="B65" s="877" t="s">
        <v>967</v>
      </c>
      <c r="C65" s="956"/>
      <c r="D65" s="956"/>
      <c r="E65" s="956"/>
      <c r="F65" s="956"/>
      <c r="G65" s="956"/>
      <c r="H65" s="1180"/>
      <c r="I65" s="781"/>
    </row>
    <row r="66" spans="2:9">
      <c r="B66" s="877" t="s">
        <v>968</v>
      </c>
      <c r="C66" s="956"/>
      <c r="D66" s="956"/>
      <c r="E66" s="956"/>
      <c r="F66" s="956"/>
      <c r="G66" s="956"/>
      <c r="H66" s="90"/>
      <c r="I66" s="781"/>
    </row>
    <row r="67" spans="2:9">
      <c r="H67" s="90"/>
      <c r="I67" s="781"/>
    </row>
    <row r="68" spans="2:9">
      <c r="H68" s="90"/>
      <c r="I68" s="781"/>
    </row>
    <row r="69" spans="2:9">
      <c r="H69" s="90"/>
      <c r="I69" s="781"/>
    </row>
    <row r="70" spans="2:9">
      <c r="F70" s="1025"/>
      <c r="G70" s="1025"/>
      <c r="H70" s="1025"/>
      <c r="I70" s="781"/>
    </row>
    <row r="71" spans="2:9">
      <c r="I71" s="781"/>
    </row>
    <row r="72" spans="2:9">
      <c r="I72" s="781"/>
    </row>
    <row r="73" spans="2:9">
      <c r="I73" s="781"/>
    </row>
  </sheetData>
  <sortState ref="B20:H21">
    <sortCondition ref="B20:B21"/>
  </sortState>
  <mergeCells count="11">
    <mergeCell ref="B62:E62"/>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sheetPr>
    <tabColor theme="3" tint="0.79998168889431442"/>
    <pageSetUpPr fitToPage="1"/>
  </sheetPr>
  <dimension ref="A1:N302"/>
  <sheetViews>
    <sheetView showGridLines="0" showRuler="0" zoomScaleNormal="100" zoomScaleSheetLayoutView="85" workbookViewId="0"/>
  </sheetViews>
  <sheetFormatPr baseColWidth="10" defaultColWidth="11.453125" defaultRowHeight="13"/>
  <cols>
    <col min="1" max="1" width="6.81640625" style="1" customWidth="1"/>
    <col min="2" max="2" width="12.7265625" style="1" customWidth="1"/>
    <col min="3" max="3" width="61.26953125" style="1" customWidth="1"/>
    <col min="4" max="4" width="17.54296875" style="1" customWidth="1"/>
    <col min="5" max="5" width="12.7265625" style="1" bestFit="1" customWidth="1"/>
    <col min="6" max="6" width="20.7265625" style="1" bestFit="1" customWidth="1"/>
    <col min="7" max="8" width="19.453125" style="1" bestFit="1" customWidth="1"/>
    <col min="9" max="9" width="11.81640625" style="1" bestFit="1" customWidth="1"/>
    <col min="10" max="14" width="13.1796875" style="1" bestFit="1" customWidth="1"/>
    <col min="15" max="16384" width="11.453125" style="1"/>
  </cols>
  <sheetData>
    <row r="1" spans="1:14" ht="14.5">
      <c r="A1" s="738" t="s">
        <v>219</v>
      </c>
      <c r="B1" s="190"/>
    </row>
    <row r="2" spans="1:14" s="190" customFormat="1" ht="15" customHeight="1">
      <c r="B2" s="386" t="str">
        <f>+INDICE!B2</f>
        <v>MINISTERIO DE ECONOMÍA</v>
      </c>
      <c r="C2" s="5"/>
      <c r="D2" s="5"/>
      <c r="E2" s="5"/>
      <c r="F2" s="5"/>
      <c r="G2" s="5"/>
      <c r="H2" s="189"/>
      <c r="I2" s="1"/>
      <c r="J2" s="1"/>
      <c r="K2" s="1"/>
      <c r="L2" s="1"/>
      <c r="M2" s="1"/>
      <c r="N2" s="1"/>
    </row>
    <row r="3" spans="1:14" s="190" customFormat="1" ht="15" customHeight="1">
      <c r="B3" s="270" t="s">
        <v>304</v>
      </c>
      <c r="C3" s="5"/>
      <c r="D3" s="5"/>
      <c r="E3" s="5"/>
      <c r="F3" s="5"/>
      <c r="G3" s="5"/>
      <c r="H3" s="191"/>
      <c r="I3" s="1"/>
      <c r="J3" s="1"/>
      <c r="K3" s="1"/>
      <c r="L3" s="1"/>
      <c r="M3" s="1"/>
      <c r="N3" s="1"/>
    </row>
    <row r="4" spans="1:14" s="198" customFormat="1">
      <c r="B4" s="35"/>
      <c r="C4" s="35"/>
      <c r="D4" s="35"/>
      <c r="E4" s="35"/>
      <c r="F4" s="35"/>
      <c r="G4" s="35"/>
      <c r="H4" s="441"/>
      <c r="I4" s="1"/>
      <c r="J4" s="1"/>
      <c r="K4" s="1"/>
      <c r="L4" s="1"/>
      <c r="M4" s="1"/>
      <c r="N4" s="1"/>
    </row>
    <row r="5" spans="1:14" s="198" customFormat="1">
      <c r="B5" s="35"/>
      <c r="C5" s="35"/>
      <c r="D5" s="35"/>
      <c r="E5" s="35"/>
      <c r="F5" s="35"/>
      <c r="G5" s="35"/>
      <c r="H5" s="441"/>
      <c r="I5" s="1"/>
      <c r="J5" s="1"/>
      <c r="K5" s="1"/>
      <c r="L5" s="1"/>
      <c r="M5" s="1"/>
      <c r="N5" s="1"/>
    </row>
    <row r="6" spans="1:14" ht="17">
      <c r="B6" s="1412" t="s">
        <v>558</v>
      </c>
      <c r="C6" s="1412"/>
      <c r="D6" s="1412"/>
      <c r="E6" s="1412"/>
      <c r="F6" s="1412"/>
      <c r="G6" s="1412"/>
      <c r="H6" s="1412"/>
    </row>
    <row r="7" spans="1:14" ht="17">
      <c r="B7" s="1412" t="s">
        <v>559</v>
      </c>
      <c r="C7" s="1412"/>
      <c r="D7" s="1412"/>
      <c r="E7" s="1412"/>
      <c r="F7" s="1412"/>
      <c r="G7" s="1412"/>
      <c r="H7" s="1412"/>
    </row>
    <row r="8" spans="1:14" ht="14.5">
      <c r="B8" s="1387" t="s">
        <v>918</v>
      </c>
      <c r="C8" s="1387"/>
      <c r="D8" s="1387"/>
      <c r="E8" s="1387"/>
      <c r="F8" s="1387"/>
      <c r="G8" s="1387"/>
      <c r="H8" s="1387"/>
    </row>
    <row r="9" spans="1:14" s="198" customFormat="1">
      <c r="B9" s="442"/>
      <c r="C9" s="442"/>
      <c r="D9" s="442"/>
      <c r="E9" s="442"/>
      <c r="F9" s="442"/>
      <c r="G9" s="442"/>
      <c r="H9" s="442"/>
      <c r="I9" s="1"/>
      <c r="J9" s="1"/>
      <c r="K9" s="1"/>
      <c r="L9" s="1"/>
      <c r="M9" s="1"/>
      <c r="N9" s="1"/>
    </row>
    <row r="10" spans="1:14" s="198" customFormat="1">
      <c r="B10" s="192"/>
      <c r="C10" s="35"/>
      <c r="D10" s="35"/>
      <c r="E10" s="35"/>
      <c r="F10" s="35"/>
      <c r="G10" s="35"/>
      <c r="H10" s="441"/>
      <c r="I10" s="1"/>
      <c r="J10" s="1"/>
      <c r="K10" s="1"/>
      <c r="L10" s="1"/>
      <c r="M10" s="1"/>
      <c r="N10" s="1"/>
    </row>
    <row r="11" spans="1:14" ht="13.5" thickBot="1">
      <c r="B11" s="5"/>
      <c r="C11" s="5"/>
      <c r="D11" s="193"/>
      <c r="E11" s="5"/>
      <c r="F11" s="5"/>
      <c r="G11" s="5"/>
      <c r="H11" s="637" t="s">
        <v>294</v>
      </c>
    </row>
    <row r="12" spans="1:14" s="124" customFormat="1" ht="13.5" thickTop="1">
      <c r="B12" s="1388" t="s">
        <v>295</v>
      </c>
      <c r="C12" s="1391" t="s">
        <v>290</v>
      </c>
      <c r="D12" s="1406" t="s">
        <v>232</v>
      </c>
      <c r="E12" s="1394" t="s">
        <v>291</v>
      </c>
      <c r="F12" s="1397" t="s">
        <v>296</v>
      </c>
      <c r="G12" s="1397" t="s">
        <v>331</v>
      </c>
      <c r="H12" s="1397" t="s">
        <v>332</v>
      </c>
      <c r="I12" s="1"/>
      <c r="J12" s="1"/>
      <c r="K12" s="1"/>
      <c r="L12" s="1"/>
      <c r="M12" s="1"/>
      <c r="N12" s="1"/>
    </row>
    <row r="13" spans="1:14" s="124" customFormat="1">
      <c r="B13" s="1389"/>
      <c r="C13" s="1392"/>
      <c r="D13" s="1407"/>
      <c r="E13" s="1395"/>
      <c r="F13" s="1398"/>
      <c r="G13" s="1398"/>
      <c r="H13" s="1398"/>
      <c r="I13" s="1"/>
      <c r="J13" s="1"/>
      <c r="K13" s="1"/>
      <c r="L13" s="1"/>
      <c r="M13" s="1"/>
      <c r="N13" s="1"/>
    </row>
    <row r="14" spans="1:14" s="124" customFormat="1">
      <c r="B14" s="1389"/>
      <c r="C14" s="1392"/>
      <c r="D14" s="1407"/>
      <c r="E14" s="1395"/>
      <c r="F14" s="1398"/>
      <c r="G14" s="1398"/>
      <c r="H14" s="1398"/>
      <c r="I14" s="1"/>
      <c r="J14" s="1"/>
      <c r="K14" s="1"/>
      <c r="L14" s="1"/>
      <c r="M14" s="1"/>
      <c r="N14" s="1"/>
    </row>
    <row r="15" spans="1:14" s="124" customFormat="1" ht="13.5" customHeight="1">
      <c r="B15" s="1389"/>
      <c r="C15" s="1392"/>
      <c r="D15" s="1407"/>
      <c r="E15" s="1395"/>
      <c r="F15" s="1398"/>
      <c r="G15" s="1398"/>
      <c r="H15" s="1398"/>
      <c r="I15" s="1"/>
      <c r="J15" s="1"/>
      <c r="K15" s="1"/>
      <c r="L15" s="1"/>
      <c r="M15" s="1"/>
      <c r="N15" s="1"/>
    </row>
    <row r="16" spans="1:14" s="124" customFormat="1">
      <c r="B16" s="1390"/>
      <c r="C16" s="1393"/>
      <c r="D16" s="1408"/>
      <c r="E16" s="1396"/>
      <c r="F16" s="1399"/>
      <c r="G16" s="1399"/>
      <c r="H16" s="1399"/>
      <c r="I16" s="1"/>
      <c r="J16" s="1"/>
      <c r="K16" s="1"/>
      <c r="L16" s="1"/>
      <c r="M16" s="1"/>
      <c r="N16" s="1"/>
    </row>
    <row r="17" spans="2:14" s="124" customFormat="1" ht="14.5">
      <c r="B17" s="883"/>
      <c r="C17" s="884"/>
      <c r="D17" s="885"/>
      <c r="E17" s="886"/>
      <c r="F17" s="887"/>
      <c r="G17" s="887"/>
      <c r="H17" s="887"/>
      <c r="I17" s="1"/>
      <c r="J17" s="1"/>
      <c r="K17" s="1"/>
      <c r="L17" s="1"/>
      <c r="M17" s="1"/>
      <c r="N17" s="1"/>
    </row>
    <row r="18" spans="2:14" s="521" customFormat="1" ht="15.5">
      <c r="B18" s="883"/>
      <c r="C18" s="867" t="s">
        <v>305</v>
      </c>
      <c r="D18" s="885"/>
      <c r="E18" s="886"/>
      <c r="F18" s="869">
        <f>+F20+F48+F66</f>
        <v>101268282.53602402</v>
      </c>
      <c r="G18" s="869">
        <f>+G20+G48+G66</f>
        <v>99942076.81259121</v>
      </c>
      <c r="H18" s="869">
        <f>+H20+H48+H66</f>
        <v>105416175.89512098</v>
      </c>
      <c r="I18" s="781"/>
      <c r="J18" s="781"/>
      <c r="K18" s="1"/>
      <c r="L18" s="1"/>
      <c r="M18" s="1"/>
      <c r="N18" s="1"/>
    </row>
    <row r="19" spans="2:14" s="124" customFormat="1" ht="14.5">
      <c r="B19" s="883"/>
      <c r="C19" s="884"/>
      <c r="D19" s="885"/>
      <c r="E19" s="886"/>
      <c r="F19" s="887"/>
      <c r="G19" s="887"/>
      <c r="H19" s="887"/>
      <c r="I19" s="781"/>
      <c r="J19" s="1"/>
      <c r="K19" s="1"/>
      <c r="L19" s="1"/>
      <c r="M19" s="1"/>
      <c r="N19" s="1"/>
    </row>
    <row r="20" spans="2:14" s="440" customFormat="1" ht="14.5">
      <c r="B20" s="888"/>
      <c r="C20" s="889" t="s">
        <v>822</v>
      </c>
      <c r="D20" s="890"/>
      <c r="E20" s="891"/>
      <c r="F20" s="892">
        <f>SUM(F21:F46)</f>
        <v>73226561.282741427</v>
      </c>
      <c r="G20" s="892">
        <f>SUM(G21:G46)</f>
        <v>71900355.559308618</v>
      </c>
      <c r="H20" s="892">
        <f>SUM(H21:H46)</f>
        <v>71900355.55931142</v>
      </c>
      <c r="I20" s="781"/>
      <c r="J20" s="781"/>
      <c r="K20" s="1"/>
      <c r="L20" s="1"/>
      <c r="M20" s="1"/>
      <c r="N20" s="1"/>
    </row>
    <row r="21" spans="2:14" s="124" customFormat="1" ht="14.5">
      <c r="B21" s="893">
        <v>41766</v>
      </c>
      <c r="C21" s="739" t="s">
        <v>631</v>
      </c>
      <c r="D21" s="894">
        <v>8.7499999999999994E-2</v>
      </c>
      <c r="E21" s="886">
        <v>2024</v>
      </c>
      <c r="F21" s="873">
        <v>7960418.5080000004</v>
      </c>
      <c r="G21" s="873">
        <v>6634212.7845672006</v>
      </c>
      <c r="H21" s="895">
        <v>6634212.7845700001</v>
      </c>
      <c r="I21" s="781"/>
      <c r="J21" s="781"/>
      <c r="K21" s="1"/>
      <c r="L21" s="1"/>
      <c r="M21" s="1"/>
      <c r="N21" s="1"/>
    </row>
    <row r="22" spans="2:14" s="124" customFormat="1" ht="14.5">
      <c r="B22" s="893">
        <v>42285</v>
      </c>
      <c r="C22" s="739" t="s">
        <v>720</v>
      </c>
      <c r="D22" s="894">
        <v>0.08</v>
      </c>
      <c r="E22" s="886">
        <v>2020</v>
      </c>
      <c r="F22" s="873">
        <v>2947560.6669999999</v>
      </c>
      <c r="G22" s="873">
        <v>2947560.6669999999</v>
      </c>
      <c r="H22" s="895">
        <v>2947560.6669999999</v>
      </c>
      <c r="I22" s="781"/>
      <c r="J22" s="781"/>
      <c r="K22" s="1"/>
      <c r="L22" s="1"/>
      <c r="M22" s="1"/>
      <c r="N22" s="1"/>
    </row>
    <row r="23" spans="2:14" s="124" customFormat="1" ht="14.5">
      <c r="B23" s="893">
        <v>42368</v>
      </c>
      <c r="C23" s="739" t="s">
        <v>494</v>
      </c>
      <c r="D23" s="894">
        <v>7.7499999999999999E-2</v>
      </c>
      <c r="E23" s="886">
        <v>2022</v>
      </c>
      <c r="F23" s="873">
        <v>4497753.4110000003</v>
      </c>
      <c r="G23" s="873">
        <v>4497753.4110000003</v>
      </c>
      <c r="H23" s="895">
        <v>4497753.4110000003</v>
      </c>
      <c r="I23" s="781"/>
      <c r="J23" s="781"/>
      <c r="K23" s="1"/>
      <c r="L23" s="1"/>
      <c r="M23" s="1"/>
      <c r="N23" s="1"/>
    </row>
    <row r="24" spans="2:14" s="124" customFormat="1" ht="14.5">
      <c r="B24" s="893">
        <v>42368</v>
      </c>
      <c r="C24" s="739" t="s">
        <v>495</v>
      </c>
      <c r="D24" s="894">
        <v>7.8750000000000001E-2</v>
      </c>
      <c r="E24" s="886">
        <v>2025</v>
      </c>
      <c r="F24" s="873">
        <v>4510462.5750000002</v>
      </c>
      <c r="G24" s="873">
        <v>4510462.5750000002</v>
      </c>
      <c r="H24" s="895">
        <v>4510462.5750000002</v>
      </c>
      <c r="I24" s="781"/>
      <c r="J24" s="781"/>
      <c r="K24" s="1"/>
      <c r="L24" s="1"/>
      <c r="M24" s="1"/>
      <c r="N24" s="1"/>
    </row>
    <row r="25" spans="2:14" s="124" customFormat="1" ht="14.5">
      <c r="B25" s="893">
        <v>42368</v>
      </c>
      <c r="C25" s="739" t="s">
        <v>496</v>
      </c>
      <c r="D25" s="894">
        <v>7.8750000000000001E-2</v>
      </c>
      <c r="E25" s="886">
        <v>2027</v>
      </c>
      <c r="F25" s="873">
        <v>4690499.5630000001</v>
      </c>
      <c r="G25" s="873">
        <v>4690499.5630000001</v>
      </c>
      <c r="H25" s="895">
        <v>4690499.5630000001</v>
      </c>
      <c r="I25" s="781"/>
      <c r="J25" s="781"/>
      <c r="K25" s="1"/>
      <c r="L25" s="1"/>
      <c r="M25" s="1"/>
      <c r="N25" s="1"/>
    </row>
    <row r="26" spans="2:14" s="124" customFormat="1" ht="14.5">
      <c r="B26" s="893">
        <v>42482</v>
      </c>
      <c r="C26" s="739" t="s">
        <v>419</v>
      </c>
      <c r="D26" s="894">
        <v>6.8750000000000006E-2</v>
      </c>
      <c r="E26" s="886">
        <v>2021</v>
      </c>
      <c r="F26" s="873">
        <v>4500000</v>
      </c>
      <c r="G26" s="873">
        <v>4500000</v>
      </c>
      <c r="H26" s="895">
        <v>4500000</v>
      </c>
      <c r="I26" s="781"/>
      <c r="J26" s="781"/>
      <c r="K26" s="1"/>
      <c r="L26" s="1"/>
      <c r="M26" s="1"/>
      <c r="N26" s="1"/>
    </row>
    <row r="27" spans="2:14" s="124" customFormat="1" ht="14.5">
      <c r="B27" s="893">
        <v>42482</v>
      </c>
      <c r="C27" s="896" t="s">
        <v>721</v>
      </c>
      <c r="D27" s="894">
        <v>7.4999999999999997E-2</v>
      </c>
      <c r="E27" s="886">
        <v>2026</v>
      </c>
      <c r="F27" s="873">
        <v>6500000</v>
      </c>
      <c r="G27" s="873">
        <v>6500000</v>
      </c>
      <c r="H27" s="895">
        <v>6500000</v>
      </c>
      <c r="I27" s="781"/>
      <c r="J27" s="781"/>
      <c r="K27" s="1"/>
      <c r="L27" s="1"/>
      <c r="M27" s="1"/>
      <c r="N27" s="1"/>
    </row>
    <row r="28" spans="2:14" s="124" customFormat="1" ht="14.5">
      <c r="B28" s="893">
        <v>42482</v>
      </c>
      <c r="C28" s="739" t="s">
        <v>421</v>
      </c>
      <c r="D28" s="894">
        <v>7.6249999999999998E-2</v>
      </c>
      <c r="E28" s="886">
        <v>2046</v>
      </c>
      <c r="F28" s="873">
        <v>2750000</v>
      </c>
      <c r="G28" s="873">
        <v>2750000</v>
      </c>
      <c r="H28" s="895">
        <v>2750000</v>
      </c>
      <c r="I28" s="781"/>
      <c r="J28" s="781"/>
      <c r="K28" s="1"/>
      <c r="L28" s="1"/>
      <c r="M28" s="1"/>
      <c r="N28" s="1"/>
    </row>
    <row r="29" spans="2:14" s="124" customFormat="1" ht="14.5">
      <c r="B29" s="893">
        <v>42557</v>
      </c>
      <c r="C29" s="739" t="s">
        <v>426</v>
      </c>
      <c r="D29" s="894">
        <v>6.6250000000000003E-2</v>
      </c>
      <c r="E29" s="886">
        <v>2028</v>
      </c>
      <c r="F29" s="873">
        <v>1000000</v>
      </c>
      <c r="G29" s="873">
        <v>1000000</v>
      </c>
      <c r="H29" s="895">
        <v>1000000</v>
      </c>
      <c r="I29" s="781"/>
      <c r="J29" s="781"/>
      <c r="K29" s="1"/>
      <c r="L29" s="1"/>
      <c r="M29" s="1"/>
      <c r="N29" s="1"/>
    </row>
    <row r="30" spans="2:14" s="124" customFormat="1" ht="14.5">
      <c r="B30" s="893">
        <v>42557</v>
      </c>
      <c r="C30" s="739" t="s">
        <v>427</v>
      </c>
      <c r="D30" s="894">
        <v>7.1249999999999994E-2</v>
      </c>
      <c r="E30" s="886">
        <v>2036</v>
      </c>
      <c r="F30" s="873">
        <v>1750000</v>
      </c>
      <c r="G30" s="873">
        <v>1750000</v>
      </c>
      <c r="H30" s="895">
        <v>1750000</v>
      </c>
      <c r="I30" s="781"/>
      <c r="J30" s="781"/>
      <c r="K30" s="1"/>
      <c r="L30" s="1"/>
      <c r="M30" s="1"/>
      <c r="N30" s="1"/>
    </row>
    <row r="31" spans="2:14" s="124" customFormat="1" ht="14.5">
      <c r="B31" s="893">
        <v>42587</v>
      </c>
      <c r="C31" s="739" t="s">
        <v>722</v>
      </c>
      <c r="D31" s="894">
        <v>0.01</v>
      </c>
      <c r="E31" s="886">
        <v>2023</v>
      </c>
      <c r="F31" s="873">
        <v>694687.19400000002</v>
      </c>
      <c r="G31" s="873">
        <v>694687.19400000002</v>
      </c>
      <c r="H31" s="895">
        <v>694687.19400000002</v>
      </c>
      <c r="I31" s="781"/>
      <c r="J31" s="781"/>
      <c r="K31" s="1"/>
      <c r="L31" s="1"/>
      <c r="M31" s="1"/>
      <c r="N31" s="1"/>
    </row>
    <row r="32" spans="2:14" s="124" customFormat="1" ht="14.5">
      <c r="B32" s="893">
        <v>42655</v>
      </c>
      <c r="C32" s="739" t="s">
        <v>511</v>
      </c>
      <c r="D32" s="897">
        <v>3.875E-2</v>
      </c>
      <c r="E32" s="886">
        <v>2022</v>
      </c>
      <c r="F32" s="873">
        <v>1401188.2076000448</v>
      </c>
      <c r="G32" s="873">
        <v>1401188.2076000448</v>
      </c>
      <c r="H32" s="895">
        <v>1401188.2076000448</v>
      </c>
      <c r="I32" s="781"/>
      <c r="J32" s="781"/>
      <c r="K32" s="1"/>
      <c r="L32" s="1"/>
      <c r="M32" s="1"/>
      <c r="N32" s="1"/>
    </row>
    <row r="33" spans="2:14" s="124" customFormat="1" ht="14.5">
      <c r="B33" s="893">
        <v>42655</v>
      </c>
      <c r="C33" s="739" t="s">
        <v>512</v>
      </c>
      <c r="D33" s="894">
        <v>0.05</v>
      </c>
      <c r="E33" s="886">
        <v>2027</v>
      </c>
      <c r="F33" s="873">
        <v>1401188.2076000448</v>
      </c>
      <c r="G33" s="873">
        <v>1401188.2076000448</v>
      </c>
      <c r="H33" s="895">
        <v>1401188.2076000448</v>
      </c>
      <c r="I33" s="781"/>
      <c r="J33" s="781"/>
      <c r="K33" s="1"/>
      <c r="L33" s="1"/>
      <c r="M33" s="1"/>
      <c r="N33" s="1"/>
    </row>
    <row r="34" spans="2:14" s="124" customFormat="1" ht="14.5">
      <c r="B34" s="893">
        <v>42761</v>
      </c>
      <c r="C34" s="739" t="s">
        <v>517</v>
      </c>
      <c r="D34" s="894">
        <v>5.6250000000000001E-2</v>
      </c>
      <c r="E34" s="886">
        <v>2022</v>
      </c>
      <c r="F34" s="873">
        <v>3250000</v>
      </c>
      <c r="G34" s="873">
        <v>3250000</v>
      </c>
      <c r="H34" s="895">
        <v>3250000</v>
      </c>
      <c r="I34" s="781"/>
      <c r="J34" s="781"/>
      <c r="K34" s="1"/>
      <c r="L34" s="1"/>
      <c r="M34" s="1"/>
      <c r="N34" s="1"/>
    </row>
    <row r="35" spans="2:14" s="124" customFormat="1" ht="14.5">
      <c r="B35" s="893">
        <v>42761</v>
      </c>
      <c r="C35" s="739" t="s">
        <v>518</v>
      </c>
      <c r="D35" s="894">
        <v>6.8750000000000006E-2</v>
      </c>
      <c r="E35" s="886">
        <v>2027</v>
      </c>
      <c r="F35" s="873">
        <v>3750000</v>
      </c>
      <c r="G35" s="873">
        <v>3750000</v>
      </c>
      <c r="H35" s="895">
        <v>3750000</v>
      </c>
      <c r="I35" s="781"/>
      <c r="J35" s="781"/>
      <c r="K35" s="1"/>
      <c r="L35" s="1"/>
      <c r="M35" s="1"/>
      <c r="N35" s="1"/>
    </row>
    <row r="36" spans="2:14" s="124" customFormat="1" ht="14.5">
      <c r="B36" s="893">
        <v>42837</v>
      </c>
      <c r="C36" s="896" t="s">
        <v>539</v>
      </c>
      <c r="D36" s="894">
        <v>3.3750000000000002E-2</v>
      </c>
      <c r="E36" s="886">
        <v>2020</v>
      </c>
      <c r="F36" s="873">
        <v>413308.53482124407</v>
      </c>
      <c r="G36" s="873">
        <v>413308.53482124407</v>
      </c>
      <c r="H36" s="895">
        <v>413308.53482124407</v>
      </c>
      <c r="I36" s="781"/>
      <c r="J36" s="781"/>
      <c r="K36" s="1"/>
      <c r="L36" s="1"/>
      <c r="M36" s="1"/>
      <c r="N36" s="1"/>
    </row>
    <row r="37" spans="2:14" s="124" customFormat="1" ht="14.5">
      <c r="B37" s="893">
        <v>42843</v>
      </c>
      <c r="C37" s="739" t="s">
        <v>540</v>
      </c>
      <c r="D37" s="894">
        <v>5.7500000000000002E-2</v>
      </c>
      <c r="E37" s="886">
        <v>2025</v>
      </c>
      <c r="F37" s="873">
        <v>1535813.9939999999</v>
      </c>
      <c r="G37" s="873">
        <v>1535813.9939999999</v>
      </c>
      <c r="H37" s="895">
        <v>1535813.9939999999</v>
      </c>
      <c r="I37" s="781"/>
      <c r="J37" s="781"/>
      <c r="K37" s="1"/>
      <c r="L37" s="1"/>
      <c r="M37" s="1"/>
      <c r="N37" s="1"/>
    </row>
    <row r="38" spans="2:14" s="124" customFormat="1" ht="14.5">
      <c r="B38" s="893">
        <v>42843</v>
      </c>
      <c r="C38" s="739" t="s">
        <v>541</v>
      </c>
      <c r="D38" s="894">
        <v>7.6249999999999998E-2</v>
      </c>
      <c r="E38" s="886">
        <v>2037</v>
      </c>
      <c r="F38" s="873">
        <v>2720781.5150000001</v>
      </c>
      <c r="G38" s="873">
        <v>2720781.5150000001</v>
      </c>
      <c r="H38" s="895">
        <v>2720781.5150000001</v>
      </c>
      <c r="I38" s="781"/>
      <c r="J38" s="781"/>
      <c r="K38" s="1"/>
      <c r="L38" s="1"/>
      <c r="M38" s="1"/>
      <c r="N38" s="1"/>
    </row>
    <row r="39" spans="2:14" s="124" customFormat="1" ht="14.5">
      <c r="B39" s="893">
        <v>42914</v>
      </c>
      <c r="C39" s="739" t="s">
        <v>538</v>
      </c>
      <c r="D39" s="894">
        <v>7.1249999999999994E-2</v>
      </c>
      <c r="E39" s="886">
        <v>2117</v>
      </c>
      <c r="F39" s="873">
        <v>2750000</v>
      </c>
      <c r="G39" s="873">
        <v>2750000</v>
      </c>
      <c r="H39" s="895">
        <v>2750000</v>
      </c>
      <c r="I39" s="781"/>
      <c r="J39" s="781"/>
      <c r="K39" s="1"/>
      <c r="L39" s="1"/>
      <c r="M39" s="1"/>
      <c r="N39" s="1"/>
    </row>
    <row r="40" spans="2:14" s="124" customFormat="1" ht="14.5">
      <c r="B40" s="893">
        <v>43048</v>
      </c>
      <c r="C40" s="739" t="s">
        <v>573</v>
      </c>
      <c r="D40" s="894">
        <v>3.3750000000000002E-2</v>
      </c>
      <c r="E40" s="886">
        <v>2023</v>
      </c>
      <c r="F40" s="873">
        <v>1120950.5660800359</v>
      </c>
      <c r="G40" s="873">
        <v>1120950.5660800359</v>
      </c>
      <c r="H40" s="895">
        <v>1120950.5660800359</v>
      </c>
      <c r="I40" s="781"/>
      <c r="J40" s="781"/>
      <c r="K40" s="1"/>
      <c r="L40" s="1"/>
      <c r="M40" s="1"/>
      <c r="N40" s="1"/>
    </row>
    <row r="41" spans="2:14" s="124" customFormat="1" ht="14.5">
      <c r="B41" s="893">
        <v>43048</v>
      </c>
      <c r="C41" s="739" t="s">
        <v>574</v>
      </c>
      <c r="D41" s="894">
        <v>5.2499999999999998E-2</v>
      </c>
      <c r="E41" s="886">
        <v>2028</v>
      </c>
      <c r="F41" s="873">
        <v>1120950.5660800359</v>
      </c>
      <c r="G41" s="873">
        <v>1120950.5660800359</v>
      </c>
      <c r="H41" s="895">
        <v>1120950.5660800359</v>
      </c>
      <c r="I41" s="781"/>
      <c r="J41" s="781"/>
      <c r="K41" s="1"/>
      <c r="L41" s="1"/>
      <c r="M41" s="1"/>
      <c r="N41" s="1"/>
    </row>
    <row r="42" spans="2:14" s="124" customFormat="1" ht="14.5">
      <c r="B42" s="893">
        <v>43048</v>
      </c>
      <c r="C42" s="739" t="s">
        <v>575</v>
      </c>
      <c r="D42" s="894">
        <v>6.25E-2</v>
      </c>
      <c r="E42" s="886">
        <v>2047</v>
      </c>
      <c r="F42" s="873">
        <v>840712.92456002685</v>
      </c>
      <c r="G42" s="873">
        <v>840712.92456002685</v>
      </c>
      <c r="H42" s="895">
        <v>840712.92456002685</v>
      </c>
      <c r="I42" s="781"/>
      <c r="J42" s="781"/>
      <c r="K42" s="1"/>
      <c r="L42" s="1"/>
      <c r="M42" s="1"/>
      <c r="N42" s="1"/>
    </row>
    <row r="43" spans="2:14" s="124" customFormat="1" ht="14.5">
      <c r="B43" s="893">
        <v>43111</v>
      </c>
      <c r="C43" s="739" t="s">
        <v>621</v>
      </c>
      <c r="D43" s="894">
        <v>4.6249999999999999E-2</v>
      </c>
      <c r="E43" s="886">
        <v>2023</v>
      </c>
      <c r="F43" s="873">
        <v>1750000</v>
      </c>
      <c r="G43" s="873">
        <v>1750000</v>
      </c>
      <c r="H43" s="895">
        <v>1750000</v>
      </c>
      <c r="I43" s="781"/>
      <c r="J43" s="781"/>
      <c r="K43" s="1"/>
      <c r="L43" s="1"/>
      <c r="M43" s="1"/>
      <c r="N43" s="1"/>
    </row>
    <row r="44" spans="2:14" s="124" customFormat="1" ht="14.5">
      <c r="B44" s="893">
        <v>43111</v>
      </c>
      <c r="C44" s="440" t="s">
        <v>622</v>
      </c>
      <c r="D44" s="894">
        <v>5.8749999999999997E-2</v>
      </c>
      <c r="E44" s="886">
        <v>2028</v>
      </c>
      <c r="F44" s="873">
        <v>4250000</v>
      </c>
      <c r="G44" s="873">
        <v>4250000</v>
      </c>
      <c r="H44" s="895">
        <v>4250000</v>
      </c>
      <c r="I44" s="781"/>
      <c r="J44" s="781"/>
      <c r="K44" s="1"/>
      <c r="L44" s="1"/>
      <c r="M44" s="1"/>
      <c r="N44" s="1"/>
    </row>
    <row r="45" spans="2:14" s="124" customFormat="1" ht="14.5">
      <c r="B45" s="893">
        <v>43111</v>
      </c>
      <c r="C45" s="440" t="s">
        <v>623</v>
      </c>
      <c r="D45" s="894">
        <v>6.8750000000000006E-2</v>
      </c>
      <c r="E45" s="886">
        <v>2048</v>
      </c>
      <c r="F45" s="873">
        <v>3000000</v>
      </c>
      <c r="G45" s="873">
        <v>3000000</v>
      </c>
      <c r="H45" s="895">
        <v>3000000</v>
      </c>
      <c r="I45" s="781"/>
      <c r="J45" s="781"/>
      <c r="K45" s="1"/>
      <c r="L45" s="1"/>
      <c r="M45" s="1"/>
      <c r="N45" s="1"/>
    </row>
    <row r="46" spans="2:14" s="124" customFormat="1" ht="14.5">
      <c r="B46" s="893">
        <v>43433</v>
      </c>
      <c r="C46" s="440" t="s">
        <v>710</v>
      </c>
      <c r="D46" s="894">
        <v>0.08</v>
      </c>
      <c r="E46" s="886">
        <v>2020</v>
      </c>
      <c r="F46" s="873">
        <v>2120284.8489999999</v>
      </c>
      <c r="G46" s="873">
        <v>2120284.8489999999</v>
      </c>
      <c r="H46" s="895">
        <v>2120284.8489999999</v>
      </c>
      <c r="I46" s="781"/>
      <c r="J46" s="781"/>
      <c r="K46" s="1"/>
      <c r="L46" s="1"/>
      <c r="M46" s="1"/>
      <c r="N46" s="1"/>
    </row>
    <row r="47" spans="2:14" s="124" customFormat="1" ht="14.5">
      <c r="B47" s="863"/>
      <c r="C47" s="739"/>
      <c r="D47" s="897"/>
      <c r="E47" s="886"/>
      <c r="F47" s="873"/>
      <c r="G47" s="873"/>
      <c r="H47" s="895"/>
      <c r="I47" s="781"/>
      <c r="J47" s="1"/>
      <c r="K47" s="1"/>
      <c r="L47" s="1"/>
      <c r="M47" s="1"/>
      <c r="N47" s="1"/>
    </row>
    <row r="48" spans="2:14" s="385" customFormat="1" ht="14.5">
      <c r="B48" s="888"/>
      <c r="C48" s="898" t="s">
        <v>385</v>
      </c>
      <c r="D48" s="890"/>
      <c r="E48" s="891"/>
      <c r="F48" s="892">
        <f>SUM(F49:F64)</f>
        <v>28041721.253282595</v>
      </c>
      <c r="G48" s="892">
        <f>SUM(G49:G64)</f>
        <v>28041721.253282595</v>
      </c>
      <c r="H48" s="892">
        <f>SUM(H49:H64)</f>
        <v>33502039.594649561</v>
      </c>
      <c r="I48" s="781"/>
      <c r="J48" s="781"/>
      <c r="K48" s="1"/>
      <c r="L48" s="1"/>
      <c r="M48" s="1"/>
      <c r="N48" s="1"/>
    </row>
    <row r="49" spans="2:14" s="124" customFormat="1" ht="14.5">
      <c r="B49" s="863">
        <v>37986</v>
      </c>
      <c r="C49" s="875" t="s">
        <v>640</v>
      </c>
      <c r="D49" s="899">
        <v>2.5000000000000001E-2</v>
      </c>
      <c r="E49" s="886">
        <v>2038</v>
      </c>
      <c r="F49" s="873">
        <v>5296689.1950000003</v>
      </c>
      <c r="G49" s="873">
        <v>5296689.1950000003</v>
      </c>
      <c r="H49" s="895">
        <v>5296689.1950000003</v>
      </c>
      <c r="I49" s="781"/>
      <c r="J49" s="781"/>
      <c r="K49" s="1"/>
      <c r="L49" s="1"/>
      <c r="M49" s="1"/>
      <c r="N49" s="1"/>
    </row>
    <row r="50" spans="2:14" s="124" customFormat="1" ht="14.5">
      <c r="B50" s="863">
        <v>37986</v>
      </c>
      <c r="C50" s="875" t="s">
        <v>641</v>
      </c>
      <c r="D50" s="899">
        <v>2.5000000000000001E-2</v>
      </c>
      <c r="E50" s="886">
        <v>2038</v>
      </c>
      <c r="F50" s="873">
        <v>1229562.8419999999</v>
      </c>
      <c r="G50" s="873">
        <v>1229562.8419999999</v>
      </c>
      <c r="H50" s="895">
        <v>1229562.8419999999</v>
      </c>
      <c r="I50" s="781"/>
      <c r="J50" s="781"/>
      <c r="K50" s="1"/>
      <c r="L50" s="1"/>
      <c r="M50" s="1"/>
      <c r="N50" s="1"/>
    </row>
    <row r="51" spans="2:14" s="124" customFormat="1" ht="14.5">
      <c r="B51" s="863">
        <v>37986</v>
      </c>
      <c r="C51" s="875" t="s">
        <v>642</v>
      </c>
      <c r="D51" s="899">
        <v>2.5000000000000001E-2</v>
      </c>
      <c r="E51" s="886">
        <v>2038</v>
      </c>
      <c r="F51" s="873">
        <v>96939.179000000004</v>
      </c>
      <c r="G51" s="873">
        <v>96939.179000000004</v>
      </c>
      <c r="H51" s="895">
        <v>96939.179000000004</v>
      </c>
      <c r="I51" s="781"/>
      <c r="J51" s="781"/>
      <c r="K51" s="1"/>
      <c r="L51" s="1"/>
      <c r="M51" s="1"/>
      <c r="N51" s="1"/>
    </row>
    <row r="52" spans="2:14" s="124" customFormat="1" ht="14.5">
      <c r="B52" s="863">
        <v>37986</v>
      </c>
      <c r="C52" s="875" t="s">
        <v>643</v>
      </c>
      <c r="D52" s="899">
        <v>2.5000000000000001E-2</v>
      </c>
      <c r="E52" s="886">
        <v>2038</v>
      </c>
      <c r="F52" s="873">
        <v>71439.702000000005</v>
      </c>
      <c r="G52" s="873">
        <v>71439.702000000005</v>
      </c>
      <c r="H52" s="895">
        <v>71439.702000000005</v>
      </c>
      <c r="I52" s="781"/>
      <c r="J52" s="781"/>
      <c r="K52" s="1"/>
      <c r="L52" s="1"/>
      <c r="M52" s="1"/>
      <c r="N52" s="1"/>
    </row>
    <row r="53" spans="2:14" s="124" customFormat="1" ht="14.5">
      <c r="B53" s="863">
        <v>37986</v>
      </c>
      <c r="C53" s="875" t="s">
        <v>644</v>
      </c>
      <c r="D53" s="899">
        <v>2.2599999999999999E-2</v>
      </c>
      <c r="E53" s="886">
        <v>2038</v>
      </c>
      <c r="F53" s="873">
        <v>5643887.6448828606</v>
      </c>
      <c r="G53" s="873">
        <v>5643887.6448828606</v>
      </c>
      <c r="H53" s="895">
        <v>5643887.6448828606</v>
      </c>
      <c r="I53" s="781"/>
      <c r="J53" s="781"/>
      <c r="K53" s="1"/>
      <c r="L53" s="1"/>
      <c r="M53" s="1"/>
      <c r="N53" s="1"/>
    </row>
    <row r="54" spans="2:14" s="124" customFormat="1" ht="14.5">
      <c r="B54" s="863">
        <v>37986</v>
      </c>
      <c r="C54" s="875" t="s">
        <v>645</v>
      </c>
      <c r="D54" s="899">
        <v>2.2599999999999999E-2</v>
      </c>
      <c r="E54" s="886">
        <v>2038</v>
      </c>
      <c r="F54" s="873">
        <v>1612275.4511826027</v>
      </c>
      <c r="G54" s="873">
        <v>1612275.4511826027</v>
      </c>
      <c r="H54" s="895">
        <v>1612275.4511826029</v>
      </c>
      <c r="I54" s="781"/>
      <c r="J54" s="781"/>
      <c r="K54" s="1"/>
      <c r="L54" s="1"/>
      <c r="M54" s="1"/>
      <c r="N54" s="1"/>
    </row>
    <row r="55" spans="2:14" s="124" customFormat="1" ht="14.5">
      <c r="B55" s="863">
        <v>37986</v>
      </c>
      <c r="C55" s="875" t="s">
        <v>646</v>
      </c>
      <c r="D55" s="899">
        <v>4.4999999999999997E-3</v>
      </c>
      <c r="E55" s="886">
        <v>2038</v>
      </c>
      <c r="F55" s="873">
        <v>158959.9760611362</v>
      </c>
      <c r="G55" s="873">
        <v>158959.9760611362</v>
      </c>
      <c r="H55" s="895">
        <v>158959.9760611362</v>
      </c>
      <c r="I55" s="781"/>
      <c r="J55" s="781"/>
      <c r="K55" s="1"/>
      <c r="L55" s="1"/>
      <c r="M55" s="1"/>
      <c r="N55" s="1"/>
    </row>
    <row r="56" spans="2:14" s="124" customFormat="1" ht="14.5">
      <c r="B56" s="863">
        <v>37986</v>
      </c>
      <c r="C56" s="875" t="s">
        <v>647</v>
      </c>
      <c r="D56" s="899">
        <v>4.4999999999999997E-3</v>
      </c>
      <c r="E56" s="886">
        <v>2038</v>
      </c>
      <c r="F56" s="873">
        <v>7861.9187920081031</v>
      </c>
      <c r="G56" s="873">
        <v>7861.9187920081031</v>
      </c>
      <c r="H56" s="895">
        <v>7861.9187920081031</v>
      </c>
      <c r="I56" s="781"/>
      <c r="J56" s="781"/>
      <c r="K56" s="1"/>
      <c r="L56" s="1"/>
      <c r="M56" s="1"/>
      <c r="N56" s="1"/>
    </row>
    <row r="57" spans="2:14" s="124" customFormat="1" ht="14.5">
      <c r="B57" s="863">
        <v>37986</v>
      </c>
      <c r="C57" s="875" t="s">
        <v>801</v>
      </c>
      <c r="D57" s="900">
        <v>8.2799999999999999E-2</v>
      </c>
      <c r="E57" s="886">
        <v>2033</v>
      </c>
      <c r="F57" s="873">
        <v>3039534.1379999998</v>
      </c>
      <c r="G57" s="873">
        <v>3039534.1379999998</v>
      </c>
      <c r="H57" s="895">
        <v>4261542.3640299998</v>
      </c>
      <c r="I57" s="781"/>
      <c r="J57" s="781"/>
      <c r="K57" s="1"/>
      <c r="L57" s="1"/>
      <c r="M57" s="1"/>
      <c r="N57" s="1"/>
    </row>
    <row r="58" spans="2:14" s="124" customFormat="1" ht="14.5">
      <c r="B58" s="863">
        <v>37986</v>
      </c>
      <c r="C58" s="875" t="s">
        <v>802</v>
      </c>
      <c r="D58" s="900">
        <v>8.2799999999999999E-2</v>
      </c>
      <c r="E58" s="886">
        <v>2033</v>
      </c>
      <c r="F58" s="873">
        <v>5042239.2609999999</v>
      </c>
      <c r="G58" s="873">
        <v>5042239.2609999999</v>
      </c>
      <c r="H58" s="895">
        <v>7069411.0490100002</v>
      </c>
      <c r="I58" s="781"/>
      <c r="J58" s="781"/>
      <c r="K58" s="1"/>
      <c r="L58" s="1"/>
      <c r="M58" s="1"/>
      <c r="N58" s="1"/>
    </row>
    <row r="59" spans="2:14" s="124" customFormat="1" ht="14.5">
      <c r="B59" s="863">
        <v>37986</v>
      </c>
      <c r="C59" s="875" t="s">
        <v>803</v>
      </c>
      <c r="D59" s="900">
        <v>8.2799999999999999E-2</v>
      </c>
      <c r="E59" s="886">
        <v>2033</v>
      </c>
      <c r="F59" s="873">
        <v>929895.88899999997</v>
      </c>
      <c r="G59" s="873">
        <v>929895.88899999997</v>
      </c>
      <c r="H59" s="895">
        <v>1303749.3724199999</v>
      </c>
      <c r="I59" s="781"/>
      <c r="J59" s="781"/>
      <c r="K59" s="1"/>
      <c r="L59" s="1"/>
      <c r="M59" s="1"/>
      <c r="N59" s="1"/>
    </row>
    <row r="60" spans="2:14" s="124" customFormat="1" ht="14.5">
      <c r="B60" s="863">
        <v>37986</v>
      </c>
      <c r="C60" s="875" t="s">
        <v>804</v>
      </c>
      <c r="D60" s="900">
        <v>8.2799999999999999E-2</v>
      </c>
      <c r="E60" s="886">
        <v>2033</v>
      </c>
      <c r="F60" s="873">
        <v>131475.87</v>
      </c>
      <c r="G60" s="873">
        <v>131475.87</v>
      </c>
      <c r="H60" s="895">
        <v>184334.16581999999</v>
      </c>
      <c r="I60" s="781"/>
      <c r="J60" s="781"/>
      <c r="K60" s="1"/>
      <c r="L60" s="1"/>
      <c r="M60" s="1"/>
      <c r="N60" s="1"/>
    </row>
    <row r="61" spans="2:14" s="124" customFormat="1" ht="14.5">
      <c r="B61" s="863">
        <v>37986</v>
      </c>
      <c r="C61" s="875" t="s">
        <v>648</v>
      </c>
      <c r="D61" s="900">
        <v>7.8200000000000006E-2</v>
      </c>
      <c r="E61" s="886">
        <v>2033</v>
      </c>
      <c r="F61" s="873">
        <v>2537272.3035534136</v>
      </c>
      <c r="G61" s="873">
        <v>2537272.3035534136</v>
      </c>
      <c r="H61" s="895">
        <v>3491549.8047976685</v>
      </c>
      <c r="I61" s="781"/>
      <c r="J61" s="781"/>
      <c r="K61" s="1"/>
      <c r="L61" s="1"/>
      <c r="M61" s="1"/>
      <c r="N61" s="1"/>
    </row>
    <row r="62" spans="2:14" s="124" customFormat="1" ht="14.5">
      <c r="B62" s="863">
        <v>37986</v>
      </c>
      <c r="C62" s="875" t="s">
        <v>649</v>
      </c>
      <c r="D62" s="900">
        <v>7.8200000000000006E-2</v>
      </c>
      <c r="E62" s="886">
        <v>2033</v>
      </c>
      <c r="F62" s="873">
        <v>2167989.9820647906</v>
      </c>
      <c r="G62" s="873">
        <v>2167989.9820647906</v>
      </c>
      <c r="H62" s="895">
        <v>2983379.0358816269</v>
      </c>
      <c r="I62" s="781"/>
      <c r="J62" s="781"/>
      <c r="K62" s="1"/>
      <c r="L62" s="1"/>
      <c r="M62" s="1"/>
      <c r="N62" s="1"/>
    </row>
    <row r="63" spans="2:14" s="124" customFormat="1" ht="14.5">
      <c r="B63" s="863">
        <v>37986</v>
      </c>
      <c r="C63" s="875" t="s">
        <v>650</v>
      </c>
      <c r="D63" s="900">
        <v>4.3299999999999998E-2</v>
      </c>
      <c r="E63" s="886">
        <v>2033</v>
      </c>
      <c r="F63" s="873">
        <v>52228.975232483201</v>
      </c>
      <c r="G63" s="873">
        <v>52228.975232483201</v>
      </c>
      <c r="H63" s="895">
        <v>62412.868082681154</v>
      </c>
      <c r="I63" s="781"/>
      <c r="J63" s="781"/>
      <c r="K63" s="1"/>
      <c r="L63" s="1"/>
      <c r="M63" s="1"/>
      <c r="N63" s="1"/>
    </row>
    <row r="64" spans="2:14" s="124" customFormat="1" ht="14.5">
      <c r="B64" s="863">
        <v>37986</v>
      </c>
      <c r="C64" s="875" t="s">
        <v>651</v>
      </c>
      <c r="D64" s="900">
        <v>4.3299999999999998E-2</v>
      </c>
      <c r="E64" s="886">
        <v>2033</v>
      </c>
      <c r="F64" s="873">
        <v>23468.925513304483</v>
      </c>
      <c r="G64" s="873">
        <v>23468.925513304483</v>
      </c>
      <c r="H64" s="895">
        <v>28045.025688978913</v>
      </c>
      <c r="I64" s="781"/>
      <c r="J64" s="781"/>
      <c r="K64" s="1"/>
      <c r="L64" s="1"/>
      <c r="M64" s="1"/>
      <c r="N64" s="1"/>
    </row>
    <row r="65" spans="2:14" s="124" customFormat="1" ht="14.5">
      <c r="B65" s="863"/>
      <c r="C65" s="901"/>
      <c r="D65" s="885"/>
      <c r="E65" s="886"/>
      <c r="F65" s="870"/>
      <c r="G65" s="870"/>
      <c r="H65" s="902"/>
      <c r="I65" s="781"/>
      <c r="J65" s="1"/>
      <c r="K65" s="1"/>
      <c r="L65" s="1"/>
      <c r="M65" s="1"/>
      <c r="N65" s="1"/>
    </row>
    <row r="66" spans="2:14" s="440" customFormat="1" ht="14.5">
      <c r="B66" s="888"/>
      <c r="C66" s="898" t="s">
        <v>223</v>
      </c>
      <c r="D66" s="890"/>
      <c r="E66" s="891"/>
      <c r="F66" s="892"/>
      <c r="G66" s="892"/>
      <c r="H66" s="892">
        <v>13780.741159999998</v>
      </c>
      <c r="I66" s="781"/>
      <c r="J66" s="781"/>
      <c r="K66" s="1"/>
      <c r="L66" s="1"/>
      <c r="M66" s="1"/>
      <c r="N66" s="1"/>
    </row>
    <row r="67" spans="2:14" s="124" customFormat="1" ht="14.5">
      <c r="B67" s="888"/>
      <c r="C67" s="898"/>
      <c r="D67" s="890"/>
      <c r="E67" s="891"/>
      <c r="F67" s="892"/>
      <c r="G67" s="892"/>
      <c r="H67" s="892"/>
      <c r="I67" s="781"/>
      <c r="J67" s="1"/>
      <c r="K67" s="1"/>
      <c r="L67" s="1"/>
      <c r="M67" s="1"/>
      <c r="N67" s="1"/>
    </row>
    <row r="68" spans="2:14" s="522" customFormat="1" ht="15.5">
      <c r="B68" s="888"/>
      <c r="C68" s="867" t="s">
        <v>220</v>
      </c>
      <c r="D68" s="885"/>
      <c r="E68" s="886"/>
      <c r="F68" s="869">
        <f>SUM(F70:F90)</f>
        <v>19871844.620000001</v>
      </c>
      <c r="G68" s="869">
        <f>SUM(G70:G90)</f>
        <v>18194683.535750002</v>
      </c>
      <c r="H68" s="869">
        <f>SUM(H70:H90)</f>
        <v>18194683.535599999</v>
      </c>
      <c r="I68" s="781"/>
      <c r="J68" s="781"/>
      <c r="K68" s="1"/>
      <c r="L68" s="1"/>
      <c r="M68" s="1"/>
      <c r="N68" s="1"/>
    </row>
    <row r="69" spans="2:14" s="124" customFormat="1" ht="14.5">
      <c r="B69" s="893"/>
      <c r="C69" s="903"/>
      <c r="D69" s="904"/>
      <c r="E69" s="905"/>
      <c r="F69" s="906"/>
      <c r="G69" s="906"/>
      <c r="H69" s="906"/>
      <c r="I69" s="781"/>
      <c r="J69" s="781"/>
      <c r="K69" s="1"/>
      <c r="L69" s="1"/>
      <c r="M69" s="1"/>
      <c r="N69" s="1"/>
    </row>
    <row r="70" spans="2:14" s="124" customFormat="1" ht="14.5">
      <c r="B70" s="893">
        <v>43693</v>
      </c>
      <c r="C70" s="1064" t="s">
        <v>843</v>
      </c>
      <c r="D70" s="897" t="s">
        <v>50</v>
      </c>
      <c r="E70" s="886">
        <v>2024</v>
      </c>
      <c r="F70" s="873">
        <v>1023362.922</v>
      </c>
      <c r="G70" s="873">
        <v>1016367.137</v>
      </c>
      <c r="H70" s="895">
        <v>1016367.137</v>
      </c>
      <c r="I70" s="781"/>
      <c r="J70" s="781"/>
      <c r="K70" s="1"/>
      <c r="L70" s="1"/>
      <c r="M70" s="1"/>
      <c r="N70" s="1"/>
    </row>
    <row r="71" spans="2:14" s="124" customFormat="1" ht="14.5">
      <c r="B71" s="893">
        <v>43721</v>
      </c>
      <c r="C71" s="875" t="s">
        <v>844</v>
      </c>
      <c r="D71" s="897" t="s">
        <v>50</v>
      </c>
      <c r="E71" s="886">
        <v>2020</v>
      </c>
      <c r="F71" s="873">
        <v>275000</v>
      </c>
      <c r="G71" s="873">
        <v>275000</v>
      </c>
      <c r="H71" s="895">
        <v>275000</v>
      </c>
      <c r="I71" s="781"/>
      <c r="J71" s="781"/>
      <c r="K71" s="1"/>
      <c r="L71" s="1"/>
      <c r="M71" s="1"/>
      <c r="N71" s="1"/>
    </row>
    <row r="72" spans="2:14" s="124" customFormat="1" ht="14.5">
      <c r="B72" s="893">
        <v>43745</v>
      </c>
      <c r="C72" s="875" t="s">
        <v>935</v>
      </c>
      <c r="D72" s="897" t="s">
        <v>50</v>
      </c>
      <c r="E72" s="886">
        <v>2020</v>
      </c>
      <c r="F72" s="873">
        <v>57133.953000000001</v>
      </c>
      <c r="G72" s="873">
        <v>57133.953000000001</v>
      </c>
      <c r="H72" s="895">
        <v>57133.953000000001</v>
      </c>
      <c r="I72" s="781"/>
      <c r="J72" s="781"/>
      <c r="K72" s="1"/>
      <c r="L72" s="1"/>
      <c r="M72" s="1"/>
      <c r="N72" s="1"/>
    </row>
    <row r="73" spans="2:14" s="124" customFormat="1" ht="14.5">
      <c r="B73" s="893">
        <v>43760</v>
      </c>
      <c r="C73" s="875" t="s">
        <v>936</v>
      </c>
      <c r="D73" s="897" t="s">
        <v>50</v>
      </c>
      <c r="E73" s="886">
        <v>2020</v>
      </c>
      <c r="F73" s="873">
        <v>175593.53700000001</v>
      </c>
      <c r="G73" s="873">
        <v>175593.53700000001</v>
      </c>
      <c r="H73" s="895">
        <v>175593.53700000001</v>
      </c>
      <c r="I73" s="781"/>
      <c r="J73" s="781"/>
      <c r="K73" s="1"/>
      <c r="L73" s="1"/>
      <c r="M73" s="1"/>
      <c r="N73" s="1"/>
    </row>
    <row r="74" spans="2:14" s="124" customFormat="1" ht="14.5">
      <c r="B74" s="893">
        <v>43773</v>
      </c>
      <c r="C74" s="440" t="s">
        <v>937</v>
      </c>
      <c r="D74" s="897" t="s">
        <v>50</v>
      </c>
      <c r="E74" s="886">
        <v>2020</v>
      </c>
      <c r="F74" s="873">
        <v>120525.74099999999</v>
      </c>
      <c r="G74" s="873">
        <v>120525.74099999999</v>
      </c>
      <c r="H74" s="895">
        <v>120525.74099999999</v>
      </c>
      <c r="I74" s="781"/>
      <c r="J74" s="781"/>
      <c r="K74" s="1"/>
      <c r="L74" s="1"/>
      <c r="M74" s="1"/>
      <c r="N74" s="1"/>
    </row>
    <row r="75" spans="2:14" s="124" customFormat="1" ht="14.5">
      <c r="B75" s="893">
        <v>43798</v>
      </c>
      <c r="C75" s="440" t="s">
        <v>938</v>
      </c>
      <c r="D75" s="897" t="s">
        <v>50</v>
      </c>
      <c r="E75" s="886">
        <v>2020</v>
      </c>
      <c r="F75" s="873">
        <v>384498.21500000003</v>
      </c>
      <c r="G75" s="873">
        <v>384498.21500000003</v>
      </c>
      <c r="H75" s="895">
        <v>384498.21500000003</v>
      </c>
      <c r="I75" s="781"/>
      <c r="J75" s="781"/>
      <c r="K75" s="1"/>
      <c r="L75" s="1"/>
      <c r="M75" s="1"/>
      <c r="N75" s="1"/>
    </row>
    <row r="76" spans="2:14" s="124" customFormat="1" ht="14.5">
      <c r="B76" s="893">
        <v>43490</v>
      </c>
      <c r="C76" s="440" t="s">
        <v>939</v>
      </c>
      <c r="D76" s="897" t="s">
        <v>50</v>
      </c>
      <c r="E76" s="886">
        <v>2020</v>
      </c>
      <c r="F76" s="873">
        <v>1300446.7239999999</v>
      </c>
      <c r="G76" s="873">
        <v>780268.0344</v>
      </c>
      <c r="H76" s="895">
        <v>780268.03425000003</v>
      </c>
      <c r="I76" s="781"/>
      <c r="J76" s="781"/>
      <c r="K76" s="1"/>
      <c r="L76" s="1"/>
      <c r="M76" s="1"/>
      <c r="N76" s="1"/>
    </row>
    <row r="77" spans="2:14" s="124" customFormat="1" ht="14.5">
      <c r="B77" s="893">
        <v>43504</v>
      </c>
      <c r="C77" s="440" t="s">
        <v>940</v>
      </c>
      <c r="D77" s="897" t="s">
        <v>50</v>
      </c>
      <c r="E77" s="886">
        <v>2020</v>
      </c>
      <c r="F77" s="873">
        <v>781104.97499999998</v>
      </c>
      <c r="G77" s="873">
        <v>468662.98499999999</v>
      </c>
      <c r="H77" s="895">
        <v>468662.98499999999</v>
      </c>
      <c r="I77" s="781"/>
      <c r="J77" s="781"/>
      <c r="K77" s="1"/>
      <c r="L77" s="1"/>
      <c r="M77" s="1"/>
      <c r="N77" s="1"/>
    </row>
    <row r="78" spans="2:14" s="124" customFormat="1" ht="14.5">
      <c r="B78" s="893">
        <v>43518</v>
      </c>
      <c r="C78" s="440" t="s">
        <v>941</v>
      </c>
      <c r="D78" s="897" t="s">
        <v>50</v>
      </c>
      <c r="E78" s="886">
        <v>2020</v>
      </c>
      <c r="F78" s="873">
        <v>1200984.7069999999</v>
      </c>
      <c r="G78" s="873">
        <v>1020837.0009499999</v>
      </c>
      <c r="H78" s="895">
        <v>1020837.00095</v>
      </c>
      <c r="I78" s="781"/>
      <c r="J78" s="781"/>
      <c r="K78" s="1"/>
      <c r="L78" s="1"/>
      <c r="M78" s="1"/>
      <c r="N78" s="1"/>
    </row>
    <row r="79" spans="2:14" s="124" customFormat="1" ht="14.5">
      <c r="B79" s="893">
        <v>43539</v>
      </c>
      <c r="C79" s="440" t="s">
        <v>942</v>
      </c>
      <c r="D79" s="897" t="s">
        <v>50</v>
      </c>
      <c r="E79" s="886">
        <v>2020</v>
      </c>
      <c r="F79" s="873">
        <v>1017673.861</v>
      </c>
      <c r="G79" s="873">
        <v>865022.78185000003</v>
      </c>
      <c r="H79" s="895">
        <v>865022.78185000003</v>
      </c>
      <c r="I79" s="781"/>
      <c r="J79" s="781"/>
      <c r="K79" s="1"/>
      <c r="L79" s="1"/>
      <c r="M79" s="1"/>
      <c r="N79" s="1"/>
    </row>
    <row r="80" spans="2:14" s="124" customFormat="1" ht="14.5">
      <c r="B80" s="893">
        <v>43553</v>
      </c>
      <c r="C80" s="440" t="s">
        <v>943</v>
      </c>
      <c r="D80" s="897" t="s">
        <v>50</v>
      </c>
      <c r="E80" s="886">
        <v>2020</v>
      </c>
      <c r="F80" s="873">
        <v>1135671.7749999999</v>
      </c>
      <c r="G80" s="873">
        <v>965321.00875000004</v>
      </c>
      <c r="H80" s="895">
        <v>965321.00875000004</v>
      </c>
      <c r="I80" s="781"/>
      <c r="J80" s="781"/>
      <c r="K80" s="1"/>
      <c r="L80" s="1"/>
      <c r="M80" s="1"/>
      <c r="N80" s="1"/>
    </row>
    <row r="81" spans="2:14" s="124" customFormat="1" ht="14.5">
      <c r="B81" s="893">
        <v>43567</v>
      </c>
      <c r="C81" s="440" t="s">
        <v>944</v>
      </c>
      <c r="D81" s="897" t="s">
        <v>50</v>
      </c>
      <c r="E81" s="886">
        <v>2020</v>
      </c>
      <c r="F81" s="873">
        <v>933569.46699999995</v>
      </c>
      <c r="G81" s="873">
        <v>793534.04694999987</v>
      </c>
      <c r="H81" s="895">
        <v>793534.04695000011</v>
      </c>
      <c r="I81" s="781"/>
      <c r="J81" s="781"/>
      <c r="K81" s="1"/>
      <c r="L81" s="1"/>
      <c r="M81" s="1"/>
      <c r="N81" s="1"/>
    </row>
    <row r="82" spans="2:14" s="124" customFormat="1" ht="14.5">
      <c r="B82" s="893">
        <v>43581</v>
      </c>
      <c r="C82" s="875" t="s">
        <v>945</v>
      </c>
      <c r="D82" s="897" t="s">
        <v>50</v>
      </c>
      <c r="E82" s="886">
        <v>2020</v>
      </c>
      <c r="F82" s="873">
        <v>971157.321</v>
      </c>
      <c r="G82" s="873">
        <v>825483.72285000002</v>
      </c>
      <c r="H82" s="895">
        <v>825483.72285000002</v>
      </c>
      <c r="I82" s="781"/>
      <c r="J82" s="781"/>
      <c r="K82" s="1"/>
      <c r="L82" s="1"/>
      <c r="M82" s="1"/>
      <c r="N82" s="1"/>
    </row>
    <row r="83" spans="2:14" s="124" customFormat="1" ht="14.5">
      <c r="B83" s="893">
        <v>43609</v>
      </c>
      <c r="C83" s="875" t="s">
        <v>946</v>
      </c>
      <c r="D83" s="897" t="s">
        <v>50</v>
      </c>
      <c r="E83" s="886">
        <v>2020</v>
      </c>
      <c r="F83" s="873">
        <v>275717.44300000003</v>
      </c>
      <c r="G83" s="873">
        <v>275717.44300000003</v>
      </c>
      <c r="H83" s="895">
        <v>275717.44300000003</v>
      </c>
      <c r="I83" s="781"/>
      <c r="J83" s="781"/>
      <c r="K83" s="1"/>
      <c r="L83" s="1"/>
      <c r="M83" s="1"/>
      <c r="N83" s="1"/>
    </row>
    <row r="84" spans="2:14" s="124" customFormat="1" ht="14.5">
      <c r="B84" s="893">
        <v>43630</v>
      </c>
      <c r="C84" s="875" t="s">
        <v>806</v>
      </c>
      <c r="D84" s="897" t="s">
        <v>50</v>
      </c>
      <c r="E84" s="886">
        <v>2020</v>
      </c>
      <c r="F84" s="873">
        <v>766169</v>
      </c>
      <c r="G84" s="873">
        <v>766169</v>
      </c>
      <c r="H84" s="895">
        <v>766169</v>
      </c>
      <c r="I84" s="781"/>
      <c r="J84" s="781"/>
      <c r="K84" s="1"/>
      <c r="L84" s="1"/>
      <c r="M84" s="1"/>
      <c r="N84" s="1"/>
    </row>
    <row r="85" spans="2:14" s="124" customFormat="1" ht="14.5">
      <c r="B85" s="893">
        <v>43644</v>
      </c>
      <c r="C85" s="875" t="s">
        <v>805</v>
      </c>
      <c r="D85" s="897" t="s">
        <v>50</v>
      </c>
      <c r="E85" s="886">
        <v>2020</v>
      </c>
      <c r="F85" s="873">
        <v>667124.299</v>
      </c>
      <c r="G85" s="873">
        <v>667124.299</v>
      </c>
      <c r="H85" s="895">
        <v>667124.299</v>
      </c>
      <c r="I85" s="781"/>
      <c r="J85" s="781"/>
      <c r="K85" s="1"/>
      <c r="L85" s="1"/>
      <c r="M85" s="1"/>
      <c r="N85" s="1"/>
    </row>
    <row r="86" spans="2:14" s="124" customFormat="1" ht="14.5">
      <c r="B86" s="893">
        <v>43665</v>
      </c>
      <c r="C86" s="875" t="s">
        <v>841</v>
      </c>
      <c r="D86" s="897" t="s">
        <v>50</v>
      </c>
      <c r="E86" s="886">
        <v>2020</v>
      </c>
      <c r="F86" s="873">
        <v>277268.15999999997</v>
      </c>
      <c r="G86" s="873">
        <v>277268.15999999997</v>
      </c>
      <c r="H86" s="895">
        <v>277268.15999999997</v>
      </c>
      <c r="I86" s="781"/>
      <c r="J86" s="781"/>
      <c r="K86" s="1"/>
      <c r="L86" s="1"/>
      <c r="M86" s="1"/>
      <c r="N86" s="1"/>
    </row>
    <row r="87" spans="2:14" s="124" customFormat="1" ht="14.5">
      <c r="B87" s="893">
        <v>43672</v>
      </c>
      <c r="C87" s="875" t="s">
        <v>842</v>
      </c>
      <c r="D87" s="897" t="s">
        <v>50</v>
      </c>
      <c r="E87" s="886">
        <v>2020</v>
      </c>
      <c r="F87" s="873">
        <v>998412.36399999994</v>
      </c>
      <c r="G87" s="873">
        <v>998412.36399999994</v>
      </c>
      <c r="H87" s="895">
        <v>998412.36399999994</v>
      </c>
      <c r="I87" s="781"/>
      <c r="J87" s="781"/>
      <c r="K87" s="1"/>
      <c r="L87" s="1"/>
      <c r="M87" s="1"/>
      <c r="N87" s="1"/>
    </row>
    <row r="88" spans="2:14" s="124" customFormat="1" ht="14.5">
      <c r="B88" s="893">
        <v>43756</v>
      </c>
      <c r="C88" s="875" t="s">
        <v>947</v>
      </c>
      <c r="D88" s="897" t="s">
        <v>50</v>
      </c>
      <c r="E88" s="886">
        <v>2020</v>
      </c>
      <c r="F88" s="873">
        <v>93304.656000000003</v>
      </c>
      <c r="G88" s="873">
        <v>93304.656000000003</v>
      </c>
      <c r="H88" s="895">
        <v>93304.656000000003</v>
      </c>
      <c r="I88" s="781"/>
      <c r="J88" s="781"/>
      <c r="K88" s="1"/>
      <c r="L88" s="1"/>
      <c r="M88" s="1"/>
      <c r="N88" s="1"/>
    </row>
    <row r="89" spans="2:14" s="124" customFormat="1" ht="14.5">
      <c r="B89" s="893">
        <v>42978</v>
      </c>
      <c r="C89" s="875" t="s">
        <v>652</v>
      </c>
      <c r="D89" s="897" t="s">
        <v>50</v>
      </c>
      <c r="E89" s="886">
        <v>2042</v>
      </c>
      <c r="F89" s="873">
        <v>4498549</v>
      </c>
      <c r="G89" s="873">
        <v>4451958.75</v>
      </c>
      <c r="H89" s="873">
        <v>4451958.75</v>
      </c>
      <c r="I89" s="781"/>
      <c r="J89" s="781"/>
      <c r="K89" s="1"/>
      <c r="L89" s="1"/>
      <c r="M89" s="1"/>
      <c r="N89" s="1"/>
    </row>
    <row r="90" spans="2:14" s="124" customFormat="1" ht="14.5">
      <c r="B90" s="893">
        <v>43455</v>
      </c>
      <c r="C90" s="875" t="s">
        <v>652</v>
      </c>
      <c r="D90" s="897" t="s">
        <v>50</v>
      </c>
      <c r="E90" s="886">
        <v>2041</v>
      </c>
      <c r="F90" s="873">
        <v>2918576.5</v>
      </c>
      <c r="G90" s="873">
        <v>2916480.7</v>
      </c>
      <c r="H90" s="873">
        <v>2916480.7</v>
      </c>
      <c r="I90" s="781"/>
      <c r="J90" s="781"/>
      <c r="K90" s="1"/>
      <c r="L90" s="1"/>
      <c r="M90" s="1"/>
      <c r="N90" s="1"/>
    </row>
    <row r="91" spans="2:14" s="124" customFormat="1" ht="14.5">
      <c r="B91" s="893"/>
      <c r="C91" s="875"/>
      <c r="D91" s="897"/>
      <c r="E91" s="886"/>
      <c r="F91" s="873"/>
      <c r="G91" s="873"/>
      <c r="H91" s="895"/>
      <c r="I91" s="781"/>
      <c r="J91" s="781"/>
      <c r="K91" s="1"/>
      <c r="L91" s="1"/>
      <c r="M91" s="1"/>
      <c r="N91" s="1"/>
    </row>
    <row r="92" spans="2:14" s="124" customFormat="1" ht="14.5">
      <c r="B92" s="888"/>
      <c r="C92" s="867" t="s">
        <v>111</v>
      </c>
      <c r="D92" s="885"/>
      <c r="E92" s="886"/>
      <c r="F92" s="869">
        <f>SUM(F94:F104)</f>
        <v>50013166.654839993</v>
      </c>
      <c r="G92" s="869">
        <f t="shared" ref="G92:H92" si="0">SUM(G94:G104)</f>
        <v>50013166.654839993</v>
      </c>
      <c r="H92" s="869">
        <f t="shared" si="0"/>
        <v>50013166.654839993</v>
      </c>
      <c r="I92" s="781"/>
      <c r="J92" s="1"/>
      <c r="K92" s="1"/>
      <c r="L92" s="1"/>
      <c r="M92" s="1"/>
      <c r="N92" s="1"/>
    </row>
    <row r="93" spans="2:14" s="522" customFormat="1" ht="15.5">
      <c r="B93" s="893"/>
      <c r="C93" s="903"/>
      <c r="D93" s="904"/>
      <c r="E93" s="905"/>
      <c r="F93" s="906"/>
      <c r="G93" s="906"/>
      <c r="H93" s="906"/>
      <c r="I93" s="781"/>
      <c r="J93" s="781"/>
      <c r="K93" s="1"/>
      <c r="L93" s="1"/>
      <c r="M93" s="1"/>
      <c r="N93" s="1"/>
    </row>
    <row r="94" spans="2:14" s="194" customFormat="1" ht="14.5">
      <c r="B94" s="863">
        <v>40550</v>
      </c>
      <c r="C94" s="875" t="s">
        <v>657</v>
      </c>
      <c r="D94" s="885" t="s">
        <v>654</v>
      </c>
      <c r="E94" s="886">
        <v>2021</v>
      </c>
      <c r="F94" s="873">
        <v>7504000</v>
      </c>
      <c r="G94" s="873">
        <v>7504000</v>
      </c>
      <c r="H94" s="895">
        <v>7504000</v>
      </c>
      <c r="I94" s="781"/>
      <c r="J94" s="781"/>
      <c r="K94" s="1"/>
      <c r="L94" s="1"/>
      <c r="M94" s="1"/>
      <c r="N94" s="1"/>
    </row>
    <row r="95" spans="2:14" s="124" customFormat="1" ht="14.5">
      <c r="B95" s="863">
        <v>41019</v>
      </c>
      <c r="C95" s="875" t="s">
        <v>658</v>
      </c>
      <c r="D95" s="885" t="s">
        <v>654</v>
      </c>
      <c r="E95" s="886">
        <v>2022</v>
      </c>
      <c r="F95" s="873">
        <v>5674000</v>
      </c>
      <c r="G95" s="873">
        <v>5674000</v>
      </c>
      <c r="H95" s="895">
        <v>5674000</v>
      </c>
      <c r="I95" s="781"/>
      <c r="J95" s="781"/>
      <c r="K95" s="1"/>
      <c r="L95" s="1"/>
      <c r="M95" s="1"/>
      <c r="N95" s="1"/>
    </row>
    <row r="96" spans="2:14" s="194" customFormat="1" ht="14.5">
      <c r="B96" s="863">
        <v>41290</v>
      </c>
      <c r="C96" s="875" t="s">
        <v>659</v>
      </c>
      <c r="D96" s="885" t="s">
        <v>654</v>
      </c>
      <c r="E96" s="886">
        <v>2023</v>
      </c>
      <c r="F96" s="873">
        <v>7132655.0123900007</v>
      </c>
      <c r="G96" s="873">
        <v>7132655.0123900007</v>
      </c>
      <c r="H96" s="895">
        <v>7132655.0123900007</v>
      </c>
      <c r="I96" s="781"/>
      <c r="J96" s="781"/>
      <c r="K96" s="1"/>
      <c r="L96" s="1"/>
      <c r="M96" s="1"/>
      <c r="N96" s="1"/>
    </row>
    <row r="97" spans="2:14" s="124" customFormat="1" ht="14.5">
      <c r="B97" s="863">
        <v>41669</v>
      </c>
      <c r="C97" s="875" t="s">
        <v>660</v>
      </c>
      <c r="D97" s="885" t="s">
        <v>654</v>
      </c>
      <c r="E97" s="886">
        <v>2024</v>
      </c>
      <c r="F97" s="873">
        <v>7896764.892</v>
      </c>
      <c r="G97" s="873">
        <v>7896764.892</v>
      </c>
      <c r="H97" s="895">
        <v>7896764.892</v>
      </c>
      <c r="I97" s="781"/>
      <c r="J97" s="781"/>
      <c r="K97" s="1"/>
      <c r="L97" s="1"/>
      <c r="M97" s="1"/>
      <c r="N97" s="1"/>
    </row>
    <row r="98" spans="2:14" s="124" customFormat="1" ht="14.5">
      <c r="B98" s="863">
        <v>42156</v>
      </c>
      <c r="C98" s="875" t="s">
        <v>661</v>
      </c>
      <c r="D98" s="885" t="s">
        <v>654</v>
      </c>
      <c r="E98" s="886">
        <v>2025</v>
      </c>
      <c r="F98" s="873">
        <v>10562539.717</v>
      </c>
      <c r="G98" s="873">
        <v>10562539.717</v>
      </c>
      <c r="H98" s="895">
        <v>10562539.717</v>
      </c>
      <c r="I98" s="781"/>
      <c r="J98" s="781"/>
      <c r="K98" s="1"/>
      <c r="L98" s="1"/>
      <c r="M98" s="1"/>
      <c r="N98" s="1"/>
    </row>
    <row r="99" spans="2:14" s="124" customFormat="1" ht="14.5">
      <c r="B99" s="863">
        <v>40616</v>
      </c>
      <c r="C99" s="875" t="s">
        <v>662</v>
      </c>
      <c r="D99" s="885" t="s">
        <v>654</v>
      </c>
      <c r="E99" s="886">
        <v>2021</v>
      </c>
      <c r="F99" s="873">
        <v>2121386.4849999999</v>
      </c>
      <c r="G99" s="873">
        <v>2121386.4849999999</v>
      </c>
      <c r="H99" s="895">
        <v>2121386.4849999999</v>
      </c>
      <c r="I99" s="781"/>
      <c r="J99" s="781"/>
      <c r="K99" s="1"/>
      <c r="L99" s="1"/>
      <c r="M99" s="1"/>
      <c r="N99" s="1"/>
    </row>
    <row r="100" spans="2:14" s="124" customFormat="1" ht="14.5">
      <c r="B100" s="863">
        <v>41088</v>
      </c>
      <c r="C100" s="875" t="s">
        <v>663</v>
      </c>
      <c r="D100" s="885" t="s">
        <v>654</v>
      </c>
      <c r="E100" s="886">
        <v>2022</v>
      </c>
      <c r="F100" s="873">
        <v>2083648.0260000001</v>
      </c>
      <c r="G100" s="873">
        <v>2083648.0260000001</v>
      </c>
      <c r="H100" s="895">
        <v>2083648.0260000001</v>
      </c>
      <c r="I100" s="781"/>
      <c r="J100" s="781"/>
      <c r="K100" s="1"/>
      <c r="L100" s="1"/>
      <c r="M100" s="1"/>
      <c r="N100" s="1"/>
    </row>
    <row r="101" spans="2:14" s="124" customFormat="1" ht="14.5">
      <c r="B101" s="863">
        <v>41502</v>
      </c>
      <c r="C101" s="875" t="s">
        <v>664</v>
      </c>
      <c r="D101" s="885" t="s">
        <v>654</v>
      </c>
      <c r="E101" s="886">
        <v>2023</v>
      </c>
      <c r="F101" s="873">
        <v>2292296.7674499997</v>
      </c>
      <c r="G101" s="873">
        <v>2292296.7674499997</v>
      </c>
      <c r="H101" s="895">
        <v>2292296.7674499997</v>
      </c>
      <c r="I101" s="781"/>
      <c r="J101" s="781"/>
      <c r="K101" s="1"/>
      <c r="L101" s="1"/>
      <c r="M101" s="1"/>
      <c r="N101" s="1"/>
    </row>
    <row r="102" spans="2:14" s="124" customFormat="1" ht="14.5">
      <c r="B102" s="863">
        <v>41876</v>
      </c>
      <c r="C102" s="875" t="s">
        <v>665</v>
      </c>
      <c r="D102" s="885" t="s">
        <v>654</v>
      </c>
      <c r="E102" s="886">
        <v>2024</v>
      </c>
      <c r="F102" s="873">
        <v>3043000</v>
      </c>
      <c r="G102" s="873">
        <v>3043000</v>
      </c>
      <c r="H102" s="895">
        <v>3043000</v>
      </c>
      <c r="I102" s="781"/>
      <c r="J102" s="781"/>
      <c r="K102" s="1"/>
      <c r="L102" s="1"/>
      <c r="M102" s="1"/>
      <c r="N102" s="1"/>
    </row>
    <row r="103" spans="2:14" s="124" customFormat="1" ht="14.5">
      <c r="B103" s="863">
        <v>42489</v>
      </c>
      <c r="C103" s="875" t="s">
        <v>666</v>
      </c>
      <c r="D103" s="885" t="s">
        <v>654</v>
      </c>
      <c r="E103" s="886">
        <v>2026</v>
      </c>
      <c r="F103" s="873">
        <v>376299.92599999998</v>
      </c>
      <c r="G103" s="873">
        <v>376299.92599999998</v>
      </c>
      <c r="H103" s="895">
        <v>376299.92599999998</v>
      </c>
      <c r="I103" s="781"/>
      <c r="J103" s="781"/>
      <c r="K103" s="1"/>
      <c r="L103" s="1"/>
      <c r="M103" s="1"/>
      <c r="N103" s="1"/>
    </row>
    <row r="104" spans="2:14" s="124" customFormat="1" ht="14.5">
      <c r="B104" s="863">
        <v>43829</v>
      </c>
      <c r="C104" s="875" t="s">
        <v>948</v>
      </c>
      <c r="D104" s="885" t="s">
        <v>654</v>
      </c>
      <c r="E104" s="886">
        <v>2026</v>
      </c>
      <c r="F104" s="873">
        <v>1326575.8289999999</v>
      </c>
      <c r="G104" s="873">
        <v>1326575.8289999999</v>
      </c>
      <c r="H104" s="895">
        <v>1326575.8289999999</v>
      </c>
      <c r="I104" s="781"/>
      <c r="J104" s="781"/>
      <c r="K104" s="1"/>
      <c r="L104" s="1"/>
      <c r="M104" s="1"/>
      <c r="N104" s="1"/>
    </row>
    <row r="105" spans="2:14" s="124" customFormat="1" ht="14.5">
      <c r="B105" s="863"/>
      <c r="C105" s="875"/>
      <c r="D105" s="885"/>
      <c r="E105" s="886"/>
      <c r="F105" s="873"/>
      <c r="G105" s="873"/>
      <c r="H105" s="895"/>
      <c r="I105" s="781"/>
      <c r="J105" s="1"/>
      <c r="K105" s="1"/>
      <c r="L105" s="1"/>
      <c r="M105" s="1"/>
      <c r="N105" s="1"/>
    </row>
    <row r="106" spans="2:14" s="522" customFormat="1" ht="15.5">
      <c r="B106" s="888"/>
      <c r="C106" s="867" t="s">
        <v>348</v>
      </c>
      <c r="D106" s="885"/>
      <c r="E106" s="886"/>
      <c r="F106" s="869">
        <f>+F108</f>
        <v>17870.65006</v>
      </c>
      <c r="G106" s="869">
        <f>+G108</f>
        <v>17870.65006</v>
      </c>
      <c r="H106" s="869">
        <f>+H108</f>
        <v>17870.65006</v>
      </c>
      <c r="I106" s="781"/>
      <c r="J106" s="781"/>
      <c r="K106" s="1"/>
      <c r="L106" s="1"/>
      <c r="M106" s="1"/>
      <c r="N106" s="1"/>
    </row>
    <row r="107" spans="2:14" s="124" customFormat="1" ht="14.5">
      <c r="B107" s="893"/>
      <c r="C107" s="907"/>
      <c r="D107" s="904"/>
      <c r="E107" s="905"/>
      <c r="F107" s="908"/>
      <c r="G107" s="908"/>
      <c r="H107" s="908"/>
      <c r="I107" s="781"/>
      <c r="J107" s="781"/>
      <c r="K107" s="1"/>
      <c r="L107" s="1"/>
      <c r="M107" s="1"/>
      <c r="N107" s="1"/>
    </row>
    <row r="108" spans="2:14" s="194" customFormat="1" ht="14.5">
      <c r="B108" s="893">
        <v>40947</v>
      </c>
      <c r="C108" s="909" t="s">
        <v>653</v>
      </c>
      <c r="D108" s="910" t="s">
        <v>50</v>
      </c>
      <c r="E108" s="886">
        <v>2021</v>
      </c>
      <c r="F108" s="870">
        <v>17870.65006</v>
      </c>
      <c r="G108" s="870">
        <v>17870.65006</v>
      </c>
      <c r="H108" s="895">
        <v>17870.65006</v>
      </c>
      <c r="I108" s="781"/>
      <c r="J108" s="1"/>
      <c r="K108" s="1"/>
      <c r="L108" s="1"/>
      <c r="M108" s="1"/>
      <c r="N108" s="1"/>
    </row>
    <row r="109" spans="2:14" s="522" customFormat="1" ht="15.5">
      <c r="B109" s="893"/>
      <c r="C109" s="907"/>
      <c r="D109" s="904"/>
      <c r="E109" s="905"/>
      <c r="F109" s="908"/>
      <c r="G109" s="908"/>
      <c r="H109" s="908"/>
      <c r="I109" s="781"/>
      <c r="J109" s="781"/>
      <c r="K109" s="1"/>
      <c r="L109" s="1"/>
      <c r="M109" s="1"/>
      <c r="N109" s="1"/>
    </row>
    <row r="110" spans="2:14" s="194" customFormat="1" ht="15.5">
      <c r="B110" s="1409" t="s">
        <v>280</v>
      </c>
      <c r="C110" s="1410"/>
      <c r="D110" s="1410"/>
      <c r="E110" s="1411"/>
      <c r="F110" s="918">
        <f>+F106+F92+F68+F18</f>
        <v>171171164.46092403</v>
      </c>
      <c r="G110" s="918">
        <f>+G106+G92+G68+G18</f>
        <v>168167797.65324122</v>
      </c>
      <c r="H110" s="918">
        <f>+H106+H92+H68+H18</f>
        <v>173641896.73562098</v>
      </c>
      <c r="I110" s="781"/>
      <c r="J110" s="1"/>
      <c r="K110" s="1"/>
      <c r="L110" s="1"/>
      <c r="M110" s="1"/>
      <c r="N110" s="1"/>
    </row>
    <row r="111" spans="2:14" s="124" customFormat="1" ht="14.5">
      <c r="B111" s="739"/>
      <c r="C111" s="190"/>
      <c r="D111" s="911"/>
      <c r="E111" s="912"/>
      <c r="F111" s="876"/>
      <c r="G111" s="876"/>
      <c r="H111" s="876"/>
      <c r="I111" s="1"/>
      <c r="J111" s="1"/>
      <c r="K111" s="1"/>
      <c r="L111" s="1"/>
      <c r="M111" s="1"/>
      <c r="N111" s="1"/>
    </row>
    <row r="112" spans="2:14" s="194" customFormat="1">
      <c r="B112" s="877" t="s">
        <v>969</v>
      </c>
      <c r="C112" s="1"/>
      <c r="D112" s="913"/>
      <c r="E112" s="914"/>
      <c r="F112" s="878"/>
      <c r="G112" s="878"/>
      <c r="H112" s="878"/>
      <c r="I112" s="1"/>
      <c r="J112" s="1"/>
      <c r="K112" s="1"/>
      <c r="L112" s="1"/>
      <c r="M112" s="1"/>
      <c r="N112" s="1"/>
    </row>
    <row r="113" spans="2:14" s="124" customFormat="1">
      <c r="B113" s="877" t="s">
        <v>966</v>
      </c>
      <c r="C113" s="1"/>
      <c r="D113" s="913"/>
      <c r="E113" s="915"/>
      <c r="F113" s="1"/>
      <c r="G113" s="1"/>
      <c r="H113" s="781"/>
      <c r="I113" s="1"/>
      <c r="J113" s="1"/>
      <c r="K113" s="1"/>
      <c r="L113" s="1"/>
      <c r="M113" s="1"/>
      <c r="N113" s="1"/>
    </row>
    <row r="114" spans="2:14" s="124" customFormat="1" ht="14.5">
      <c r="B114" s="190"/>
      <c r="C114" s="190"/>
      <c r="D114" s="190"/>
      <c r="E114" s="916"/>
      <c r="F114" s="876"/>
      <c r="G114" s="876"/>
      <c r="H114" s="876"/>
      <c r="I114" s="1"/>
      <c r="J114" s="1"/>
      <c r="K114" s="1"/>
      <c r="L114" s="1"/>
      <c r="M114" s="1"/>
      <c r="N114" s="1"/>
    </row>
    <row r="115" spans="2:14" s="124" customFormat="1" ht="14.5">
      <c r="B115" s="917"/>
      <c r="C115" s="190"/>
      <c r="D115" s="911"/>
      <c r="E115" s="912"/>
      <c r="F115" s="1127"/>
      <c r="G115" s="1127"/>
      <c r="H115" s="1127"/>
      <c r="I115" s="1"/>
      <c r="J115" s="1"/>
      <c r="K115" s="1"/>
      <c r="L115" s="1"/>
      <c r="M115" s="1"/>
      <c r="N115" s="1"/>
    </row>
    <row r="116" spans="2:14" s="124" customFormat="1" ht="14.5">
      <c r="B116" s="917"/>
      <c r="C116" s="190"/>
      <c r="D116" s="911"/>
      <c r="E116" s="916"/>
      <c r="F116" s="1127"/>
      <c r="G116" s="1127"/>
      <c r="H116" s="1127"/>
      <c r="I116" s="1"/>
      <c r="J116" s="1"/>
      <c r="K116" s="1"/>
      <c r="L116" s="1"/>
      <c r="M116" s="1"/>
      <c r="N116" s="1"/>
    </row>
    <row r="117" spans="2:14" s="124" customFormat="1" ht="14.5">
      <c r="B117" s="190"/>
      <c r="C117" s="190"/>
      <c r="D117" s="190"/>
      <c r="E117" s="916"/>
      <c r="F117" s="1127"/>
      <c r="G117" s="1127"/>
      <c r="H117" s="1127"/>
      <c r="I117" s="1"/>
      <c r="J117" s="1"/>
      <c r="K117" s="1"/>
      <c r="L117" s="1"/>
      <c r="M117" s="1"/>
      <c r="N117" s="1"/>
    </row>
    <row r="118" spans="2:14" s="124" customFormat="1" ht="14.5">
      <c r="B118" s="739"/>
      <c r="C118" s="190"/>
      <c r="D118" s="190"/>
      <c r="E118" s="912"/>
      <c r="F118" s="881"/>
      <c r="G118" s="881"/>
      <c r="H118" s="881"/>
    </row>
    <row r="119" spans="2:14" s="124" customFormat="1" ht="14.5">
      <c r="B119" s="958"/>
      <c r="C119" s="958"/>
      <c r="D119" s="958"/>
      <c r="E119" s="958"/>
      <c r="F119" s="881"/>
      <c r="G119" s="881"/>
      <c r="H119" s="881"/>
    </row>
    <row r="120" spans="2:14" s="124" customFormat="1" ht="14.5">
      <c r="B120" s="958"/>
      <c r="C120" s="958"/>
      <c r="D120" s="958"/>
      <c r="E120" s="958"/>
      <c r="F120" s="881"/>
      <c r="G120" s="881"/>
      <c r="H120" s="881"/>
    </row>
    <row r="121" spans="2:14" s="124" customFormat="1">
      <c r="F121" s="1125"/>
      <c r="G121" s="1125"/>
      <c r="H121" s="1125"/>
    </row>
    <row r="122" spans="2:14" s="124" customFormat="1">
      <c r="F122" s="1126"/>
      <c r="G122" s="1126"/>
      <c r="H122" s="1126"/>
    </row>
    <row r="123" spans="2:14" s="124" customFormat="1">
      <c r="C123" s="5"/>
      <c r="D123" s="5"/>
      <c r="E123" s="195"/>
    </row>
    <row r="124" spans="2:14" s="124" customFormat="1">
      <c r="C124" s="5"/>
      <c r="D124" s="5"/>
      <c r="E124" s="195"/>
    </row>
    <row r="125" spans="2:14" s="124" customFormat="1"/>
    <row r="126" spans="2:14" s="124" customFormat="1"/>
    <row r="127" spans="2:14" s="124" customFormat="1"/>
    <row r="128" spans="2:14" s="124" customFormat="1"/>
    <row r="129" s="124" customFormat="1"/>
    <row r="130" s="124" customFormat="1"/>
    <row r="131" s="124" customFormat="1"/>
    <row r="132" s="124" customFormat="1"/>
    <row r="133" s="124" customFormat="1"/>
    <row r="134" s="124" customFormat="1"/>
    <row r="135" s="124" customFormat="1"/>
    <row r="136" s="124" customFormat="1"/>
    <row r="137" s="124" customFormat="1"/>
    <row r="138" s="124" customFormat="1"/>
    <row r="139" s="124" customFormat="1"/>
    <row r="140" s="124" customFormat="1"/>
    <row r="141" s="124" customFormat="1"/>
    <row r="142" s="124" customFormat="1"/>
    <row r="143" s="124" customFormat="1"/>
    <row r="144" s="124" customFormat="1"/>
    <row r="145" s="124" customFormat="1"/>
    <row r="146" s="124" customFormat="1"/>
    <row r="147" s="124" customFormat="1"/>
    <row r="148" s="124" customFormat="1"/>
    <row r="149" s="124" customFormat="1"/>
    <row r="150" s="124" customFormat="1"/>
    <row r="151" s="124" customFormat="1"/>
    <row r="152" s="124" customFormat="1"/>
    <row r="153" s="124" customFormat="1"/>
    <row r="154" s="124" customFormat="1"/>
    <row r="155" s="124" customFormat="1"/>
    <row r="156" s="124" customFormat="1"/>
    <row r="157" s="124" customFormat="1"/>
    <row r="158" s="124" customFormat="1"/>
    <row r="159" s="124" customFormat="1"/>
    <row r="160" s="124" customFormat="1"/>
    <row r="161" s="124" customFormat="1"/>
    <row r="162" s="124" customFormat="1"/>
    <row r="163" s="124" customFormat="1"/>
    <row r="164" s="124" customFormat="1"/>
    <row r="165" s="124" customFormat="1"/>
    <row r="166" s="124" customFormat="1"/>
    <row r="167" s="124" customFormat="1"/>
    <row r="168" s="124" customFormat="1"/>
    <row r="169" s="124" customFormat="1"/>
    <row r="170" s="124" customFormat="1"/>
    <row r="171" s="124" customFormat="1"/>
    <row r="172" s="124" customFormat="1"/>
    <row r="173" s="124" customFormat="1"/>
    <row r="174" s="124" customFormat="1"/>
    <row r="175" s="124" customFormat="1"/>
    <row r="176" s="124" customFormat="1"/>
    <row r="177" s="124" customFormat="1"/>
    <row r="178" s="124" customFormat="1"/>
    <row r="179" s="124" customFormat="1"/>
    <row r="180" s="124" customFormat="1"/>
    <row r="181" s="124" customFormat="1"/>
    <row r="182" s="124" customFormat="1"/>
    <row r="183" s="124" customFormat="1"/>
    <row r="184" s="124" customFormat="1"/>
    <row r="185" s="124" customFormat="1"/>
    <row r="186" s="124" customFormat="1"/>
    <row r="187" s="124" customFormat="1"/>
    <row r="188" s="124" customFormat="1"/>
    <row r="189" s="124" customFormat="1"/>
    <row r="190" s="124" customFormat="1"/>
    <row r="191" s="124" customFormat="1"/>
    <row r="192" s="124" customFormat="1"/>
    <row r="193" s="124" customFormat="1"/>
    <row r="194" s="124" customFormat="1"/>
    <row r="195" s="124" customFormat="1"/>
    <row r="196" s="124" customFormat="1"/>
    <row r="197" s="124" customFormat="1"/>
    <row r="198" s="124" customFormat="1"/>
    <row r="199" s="124" customFormat="1"/>
    <row r="200" s="124" customFormat="1"/>
    <row r="201" s="124" customFormat="1"/>
    <row r="202" s="124" customFormat="1"/>
    <row r="203" s="124" customFormat="1"/>
    <row r="204" s="124" customFormat="1"/>
    <row r="205" s="124" customFormat="1"/>
    <row r="206" s="124" customFormat="1"/>
    <row r="207" s="124" customFormat="1"/>
    <row r="208" s="124" customFormat="1"/>
    <row r="209" s="124" customFormat="1"/>
    <row r="210" s="124" customFormat="1"/>
    <row r="211" s="124" customFormat="1"/>
    <row r="212" s="124" customFormat="1"/>
    <row r="213" s="124" customFormat="1"/>
    <row r="214" s="124" customFormat="1"/>
    <row r="215" s="124" customFormat="1"/>
    <row r="216" s="124" customFormat="1"/>
    <row r="217" s="124" customFormat="1"/>
    <row r="218" s="124" customFormat="1"/>
    <row r="219" s="124" customFormat="1"/>
    <row r="220" s="124" customFormat="1"/>
    <row r="221" s="124" customFormat="1"/>
    <row r="222" s="124" customFormat="1"/>
    <row r="223" s="124" customFormat="1"/>
    <row r="224" s="124" customFormat="1"/>
    <row r="225" s="124" customFormat="1"/>
    <row r="226" s="124" customFormat="1"/>
    <row r="227" s="124" customFormat="1"/>
    <row r="228" s="124" customFormat="1"/>
    <row r="229" s="124" customFormat="1"/>
    <row r="230" s="124" customFormat="1"/>
    <row r="231" s="124" customFormat="1"/>
    <row r="232" s="124" customFormat="1"/>
    <row r="233" s="124" customFormat="1"/>
    <row r="234" s="124" customFormat="1"/>
    <row r="235" s="124" customFormat="1"/>
    <row r="236" s="124" customFormat="1"/>
    <row r="237" s="124" customFormat="1"/>
    <row r="238" s="124" customFormat="1"/>
    <row r="239" s="124" customFormat="1"/>
    <row r="240" s="124" customFormat="1"/>
    <row r="241" s="124" customFormat="1"/>
    <row r="242" s="124" customFormat="1"/>
    <row r="243" s="124" customFormat="1"/>
    <row r="244" s="124" customFormat="1"/>
    <row r="245" s="124" customFormat="1"/>
    <row r="246" s="124" customFormat="1"/>
    <row r="247" s="124" customFormat="1"/>
    <row r="248" s="124" customFormat="1"/>
    <row r="249" s="124" customFormat="1"/>
    <row r="250" s="124" customFormat="1"/>
    <row r="251" s="124" customFormat="1"/>
    <row r="252" s="124" customFormat="1"/>
    <row r="253" s="124" customFormat="1"/>
    <row r="254" s="124" customFormat="1"/>
    <row r="255" s="124" customFormat="1"/>
    <row r="256" s="124" customFormat="1"/>
    <row r="257" s="124" customFormat="1"/>
    <row r="258" s="124" customFormat="1"/>
    <row r="259" s="124" customFormat="1"/>
    <row r="260" s="124" customFormat="1"/>
    <row r="261" s="124" customFormat="1"/>
    <row r="262" s="124" customFormat="1"/>
    <row r="263" s="124" customFormat="1"/>
    <row r="264" s="124" customFormat="1"/>
    <row r="265" s="124" customFormat="1"/>
    <row r="266" s="124" customFormat="1"/>
    <row r="267" s="124" customFormat="1"/>
    <row r="268" s="124" customFormat="1"/>
    <row r="269" s="124" customFormat="1"/>
    <row r="270" s="124" customFormat="1"/>
    <row r="271" s="124" customFormat="1"/>
    <row r="272" s="124" customFormat="1"/>
    <row r="273" s="124" customFormat="1"/>
    <row r="274" s="124" customFormat="1"/>
    <row r="275" s="124" customFormat="1"/>
    <row r="276" s="124" customFormat="1"/>
    <row r="277" s="124" customFormat="1"/>
    <row r="278" s="124" customFormat="1"/>
    <row r="279" s="124" customFormat="1"/>
    <row r="280" s="124" customFormat="1"/>
    <row r="281" s="124" customFormat="1"/>
    <row r="282" s="124" customFormat="1"/>
    <row r="283" s="124" customFormat="1"/>
    <row r="284" s="124" customFormat="1"/>
    <row r="285" s="124" customFormat="1"/>
    <row r="286" s="124" customFormat="1"/>
    <row r="287" s="124" customFormat="1"/>
    <row r="288" s="124" customFormat="1"/>
    <row r="289" spans="1:8" s="124" customFormat="1"/>
    <row r="290" spans="1:8" s="124" customFormat="1"/>
    <row r="291" spans="1:8" s="124" customFormat="1"/>
    <row r="292" spans="1:8" s="124" customFormat="1"/>
    <row r="293" spans="1:8" s="124" customFormat="1"/>
    <row r="294" spans="1:8" s="124" customFormat="1">
      <c r="B294" s="1"/>
      <c r="C294" s="1"/>
      <c r="D294" s="1"/>
      <c r="E294" s="1"/>
      <c r="F294" s="1"/>
      <c r="G294" s="1"/>
      <c r="H294" s="1"/>
    </row>
    <row r="295" spans="1:8" s="124" customFormat="1">
      <c r="B295" s="1"/>
      <c r="C295" s="1"/>
      <c r="D295" s="1"/>
      <c r="E295" s="1"/>
      <c r="F295" s="1"/>
      <c r="G295" s="1"/>
      <c r="H295" s="1"/>
    </row>
    <row r="296" spans="1:8" s="124" customFormat="1">
      <c r="B296" s="1"/>
      <c r="C296" s="1"/>
      <c r="D296" s="1"/>
      <c r="E296" s="1"/>
      <c r="F296" s="1"/>
      <c r="G296" s="1"/>
      <c r="H296" s="1"/>
    </row>
    <row r="297" spans="1:8" s="124" customFormat="1">
      <c r="B297" s="1"/>
      <c r="C297" s="1"/>
      <c r="D297" s="1"/>
      <c r="E297" s="1"/>
      <c r="F297" s="1"/>
      <c r="G297" s="1"/>
      <c r="H297" s="1"/>
    </row>
    <row r="298" spans="1:8" s="124" customFormat="1">
      <c r="B298" s="1"/>
      <c r="C298" s="1"/>
      <c r="D298" s="1"/>
      <c r="E298" s="1"/>
      <c r="F298" s="1"/>
      <c r="G298" s="1"/>
      <c r="H298" s="1"/>
    </row>
    <row r="299" spans="1:8" s="124" customFormat="1">
      <c r="B299" s="1"/>
      <c r="C299" s="1"/>
      <c r="D299" s="1"/>
      <c r="E299" s="1"/>
      <c r="F299" s="1"/>
      <c r="G299" s="1"/>
      <c r="H299" s="1"/>
    </row>
    <row r="300" spans="1:8" s="124" customFormat="1">
      <c r="B300" s="1"/>
      <c r="C300" s="1"/>
      <c r="D300" s="1"/>
      <c r="E300" s="1"/>
      <c r="F300" s="1"/>
      <c r="G300" s="1"/>
      <c r="H300" s="1"/>
    </row>
    <row r="301" spans="1:8" s="124" customFormat="1">
      <c r="B301" s="1"/>
      <c r="C301" s="1"/>
      <c r="D301" s="1"/>
      <c r="E301" s="1"/>
      <c r="F301" s="1"/>
      <c r="G301" s="1"/>
      <c r="H301" s="1"/>
    </row>
    <row r="302" spans="1:8" s="124" customFormat="1">
      <c r="A302" s="1"/>
      <c r="B302" s="1"/>
      <c r="C302" s="1"/>
      <c r="D302" s="1"/>
      <c r="E302" s="1"/>
      <c r="F302" s="1"/>
      <c r="G302" s="1"/>
      <c r="H302" s="1"/>
    </row>
  </sheetData>
  <sortState ref="B67:H99">
    <sortCondition ref="B67:B99"/>
  </sortState>
  <mergeCells count="11">
    <mergeCell ref="B110:E110"/>
    <mergeCell ref="B6:H6"/>
    <mergeCell ref="B8:H8"/>
    <mergeCell ref="B12:B16"/>
    <mergeCell ref="C12:C16"/>
    <mergeCell ref="D12:D16"/>
    <mergeCell ref="E12:E16"/>
    <mergeCell ref="F12:F16"/>
    <mergeCell ref="G12:G16"/>
    <mergeCell ref="H12:H16"/>
    <mergeCell ref="B7:H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sheetPr>
    <tabColor theme="3" tint="0.79998168889431442"/>
    <pageSetUpPr autoPageBreaks="0"/>
  </sheetPr>
  <dimension ref="A1:G189"/>
  <sheetViews>
    <sheetView showGridLines="0" showRuler="0" zoomScaleNormal="100" zoomScaleSheetLayoutView="85" zoomScalePageLayoutView="70" workbookViewId="0"/>
  </sheetViews>
  <sheetFormatPr baseColWidth="10" defaultColWidth="11.453125" defaultRowHeight="13"/>
  <cols>
    <col min="1" max="1" width="7.1796875" style="29" bestFit="1" customWidth="1"/>
    <col min="2" max="2" width="46" style="54" customWidth="1"/>
    <col min="3" max="3" width="23.54296875" style="54" bestFit="1" customWidth="1"/>
    <col min="4" max="6" width="17.7265625" style="29" customWidth="1"/>
    <col min="7" max="7" width="17.7265625" style="29" bestFit="1" customWidth="1"/>
    <col min="8" max="16384" width="11.453125" style="29"/>
  </cols>
  <sheetData>
    <row r="1" spans="1:7" ht="14.5">
      <c r="A1" s="738" t="s">
        <v>219</v>
      </c>
      <c r="B1" s="134"/>
      <c r="C1" s="122"/>
      <c r="D1" s="138"/>
      <c r="E1" s="138"/>
      <c r="F1" s="138"/>
      <c r="G1" s="138"/>
    </row>
    <row r="2" spans="1:7" ht="15" customHeight="1">
      <c r="A2" s="413"/>
      <c r="B2" s="386" t="str">
        <f>+INDICE!B2</f>
        <v>MINISTERIO DE ECONOMÍA</v>
      </c>
      <c r="C2" s="175"/>
      <c r="D2" s="5"/>
      <c r="E2" s="176"/>
      <c r="F2" s="176"/>
      <c r="G2" s="5"/>
    </row>
    <row r="3" spans="1:7" ht="15" customHeight="1">
      <c r="A3" s="413"/>
      <c r="B3" s="270" t="s">
        <v>304</v>
      </c>
      <c r="C3" s="175"/>
      <c r="D3" s="5"/>
      <c r="E3" s="5"/>
      <c r="F3" s="5"/>
      <c r="G3" s="5"/>
    </row>
    <row r="4" spans="1:7" s="426" customFormat="1" ht="12">
      <c r="B4" s="35"/>
      <c r="C4" s="35"/>
      <c r="D4" s="35"/>
      <c r="E4" s="35"/>
      <c r="F4" s="35"/>
      <c r="G4" s="35"/>
    </row>
    <row r="5" spans="1:7" s="426" customFormat="1" ht="12">
      <c r="B5" s="35"/>
      <c r="C5" s="35"/>
      <c r="D5" s="35"/>
      <c r="E5" s="35"/>
      <c r="F5" s="35"/>
      <c r="G5" s="35"/>
    </row>
    <row r="6" spans="1:7" ht="17">
      <c r="B6" s="1431" t="s">
        <v>771</v>
      </c>
      <c r="C6" s="1431"/>
      <c r="D6" s="1431"/>
      <c r="E6" s="1431"/>
      <c r="F6" s="1431"/>
      <c r="G6" s="1431"/>
    </row>
    <row r="7" spans="1:7" ht="14.5">
      <c r="B7" s="1387" t="s">
        <v>918</v>
      </c>
      <c r="C7" s="1387"/>
      <c r="D7" s="1387"/>
      <c r="E7" s="1387"/>
      <c r="F7" s="1387"/>
      <c r="G7" s="1387"/>
    </row>
    <row r="8" spans="1:7" s="426" customFormat="1" ht="12">
      <c r="B8" s="442"/>
      <c r="C8" s="442"/>
      <c r="D8" s="442"/>
      <c r="E8" s="442"/>
      <c r="F8" s="442"/>
      <c r="G8" s="442"/>
    </row>
    <row r="9" spans="1:7" s="426" customFormat="1" ht="12">
      <c r="B9" s="35"/>
      <c r="C9" s="35"/>
      <c r="D9" s="35"/>
      <c r="E9" s="35"/>
      <c r="F9" s="35"/>
      <c r="G9" s="35"/>
    </row>
    <row r="10" spans="1:7" ht="13.5" thickBot="1">
      <c r="B10" s="5"/>
      <c r="C10" s="5"/>
      <c r="D10" s="5"/>
      <c r="E10" s="5"/>
      <c r="F10" s="5"/>
      <c r="G10" s="639" t="s">
        <v>294</v>
      </c>
    </row>
    <row r="11" spans="1:7" ht="13.5" customHeight="1" thickTop="1">
      <c r="B11" s="1432" t="s">
        <v>290</v>
      </c>
      <c r="C11" s="1435" t="s">
        <v>171</v>
      </c>
      <c r="D11" s="1438" t="s">
        <v>285</v>
      </c>
      <c r="E11" s="1441" t="s">
        <v>337</v>
      </c>
      <c r="F11" s="1444" t="s">
        <v>563</v>
      </c>
      <c r="G11" s="1447" t="s">
        <v>292</v>
      </c>
    </row>
    <row r="12" spans="1:7" ht="12.75" customHeight="1">
      <c r="B12" s="1433"/>
      <c r="C12" s="1436"/>
      <c r="D12" s="1439"/>
      <c r="E12" s="1442"/>
      <c r="F12" s="1445"/>
      <c r="G12" s="1448"/>
    </row>
    <row r="13" spans="1:7" ht="12.75" customHeight="1">
      <c r="B13" s="1433"/>
      <c r="C13" s="1436"/>
      <c r="D13" s="1439"/>
      <c r="E13" s="1442"/>
      <c r="F13" s="1445"/>
      <c r="G13" s="1448"/>
    </row>
    <row r="14" spans="1:7" ht="12.75" customHeight="1">
      <c r="B14" s="1433"/>
      <c r="C14" s="1436"/>
      <c r="D14" s="1439"/>
      <c r="E14" s="1442"/>
      <c r="F14" s="1445"/>
      <c r="G14" s="1448"/>
    </row>
    <row r="15" spans="1:7" ht="13.5" customHeight="1" thickBot="1">
      <c r="B15" s="1434"/>
      <c r="C15" s="1437"/>
      <c r="D15" s="1440"/>
      <c r="E15" s="1443"/>
      <c r="F15" s="1446"/>
      <c r="G15" s="1449"/>
    </row>
    <row r="16" spans="1:7" ht="16" thickTop="1">
      <c r="B16" s="177"/>
      <c r="C16" s="178"/>
      <c r="D16" s="179"/>
      <c r="E16" s="180"/>
      <c r="F16" s="181"/>
      <c r="G16" s="182"/>
    </row>
    <row r="17" spans="1:7" s="412" customFormat="1" ht="15.5">
      <c r="B17" s="640" t="s">
        <v>172</v>
      </c>
      <c r="C17" s="641"/>
      <c r="D17" s="642">
        <f>SUM(D19:D32)</f>
        <v>465.31160781367379</v>
      </c>
      <c r="E17" s="642">
        <f>SUM(E19:E32)</f>
        <v>44.36358767435739</v>
      </c>
      <c r="F17" s="643">
        <f>SUM(F19:F32)</f>
        <v>18.509754674753545</v>
      </c>
      <c r="G17" s="644">
        <f>SUM(G19:G32)</f>
        <v>528.18495016278473</v>
      </c>
    </row>
    <row r="18" spans="1:7">
      <c r="B18" s="645"/>
      <c r="C18" s="646"/>
      <c r="D18" s="647"/>
      <c r="E18" s="647"/>
      <c r="F18" s="648"/>
      <c r="G18" s="649"/>
    </row>
    <row r="19" spans="1:7">
      <c r="A19" s="183"/>
      <c r="B19" s="650" t="s">
        <v>846</v>
      </c>
      <c r="C19" s="651" t="s">
        <v>235</v>
      </c>
      <c r="D19" s="652">
        <v>8.3416876200016681</v>
      </c>
      <c r="E19" s="652">
        <v>7.3085177080709329E-2</v>
      </c>
      <c r="F19" s="653">
        <v>0.83325725550965712</v>
      </c>
      <c r="G19" s="654">
        <v>9.2480300525920356</v>
      </c>
    </row>
    <row r="20" spans="1:7">
      <c r="A20" s="183"/>
      <c r="B20" s="650" t="s">
        <v>847</v>
      </c>
      <c r="C20" s="651" t="s">
        <v>235</v>
      </c>
      <c r="D20" s="652">
        <v>149.05735787628348</v>
      </c>
      <c r="E20" s="652">
        <v>9.8806976921424603</v>
      </c>
      <c r="F20" s="653">
        <v>4.8392153222994789</v>
      </c>
      <c r="G20" s="654">
        <v>163.77727089072542</v>
      </c>
    </row>
    <row r="21" spans="1:7">
      <c r="A21" s="183"/>
      <c r="B21" s="650" t="s">
        <v>848</v>
      </c>
      <c r="C21" s="651" t="s">
        <v>235</v>
      </c>
      <c r="D21" s="652">
        <v>2.38794824275816</v>
      </c>
      <c r="E21" s="652">
        <v>0.24163676089704927</v>
      </c>
      <c r="F21" s="653">
        <v>3.3840824878057139E-2</v>
      </c>
      <c r="G21" s="654">
        <v>2.6634258285332661</v>
      </c>
    </row>
    <row r="22" spans="1:7">
      <c r="A22" s="183"/>
      <c r="B22" s="650" t="s">
        <v>849</v>
      </c>
      <c r="C22" s="651" t="s">
        <v>235</v>
      </c>
      <c r="D22" s="652">
        <v>100.53327907170882</v>
      </c>
      <c r="E22" s="652">
        <v>7.6518142758619812</v>
      </c>
      <c r="F22" s="653">
        <v>3.3670275306327158</v>
      </c>
      <c r="G22" s="654">
        <v>111.55212087820351</v>
      </c>
    </row>
    <row r="23" spans="1:7">
      <c r="A23" s="183"/>
      <c r="B23" s="650" t="s">
        <v>850</v>
      </c>
      <c r="C23" s="651" t="s">
        <v>235</v>
      </c>
      <c r="D23" s="652">
        <v>103.05191819016611</v>
      </c>
      <c r="E23" s="652">
        <v>10.843748609810669</v>
      </c>
      <c r="F23" s="653">
        <v>3.4011232492760644</v>
      </c>
      <c r="G23" s="654">
        <v>117.29679004925285</v>
      </c>
    </row>
    <row r="24" spans="1:7">
      <c r="A24" s="183"/>
      <c r="B24" s="650" t="s">
        <v>174</v>
      </c>
      <c r="C24" s="651" t="s">
        <v>235</v>
      </c>
      <c r="D24" s="652">
        <v>5.3426830286334415</v>
      </c>
      <c r="E24" s="652">
        <v>3.4527088887033783</v>
      </c>
      <c r="F24" s="653">
        <v>5.7719527691979486</v>
      </c>
      <c r="G24" s="654">
        <v>14.567344686534769</v>
      </c>
    </row>
    <row r="25" spans="1:7">
      <c r="A25" s="183"/>
      <c r="B25" s="650" t="s">
        <v>175</v>
      </c>
      <c r="C25" s="651" t="s">
        <v>235</v>
      </c>
      <c r="D25" s="652">
        <v>0.21834877702646296</v>
      </c>
      <c r="E25" s="652">
        <v>1.6895518546345047E-2</v>
      </c>
      <c r="F25" s="653">
        <v>0.26333772295962377</v>
      </c>
      <c r="G25" s="654">
        <v>0.49858201853243178</v>
      </c>
    </row>
    <row r="26" spans="1:7">
      <c r="A26" s="183"/>
      <c r="B26" s="650" t="s">
        <v>176</v>
      </c>
      <c r="C26" s="651" t="s">
        <v>235</v>
      </c>
      <c r="D26" s="652">
        <v>4.1783621337340357E-2</v>
      </c>
      <c r="E26" s="652">
        <v>7.6881208782035209E-3</v>
      </c>
      <c r="F26" s="653">
        <v>0</v>
      </c>
      <c r="G26" s="654">
        <v>4.947174221554388E-2</v>
      </c>
    </row>
    <row r="27" spans="1:7">
      <c r="A27" s="183"/>
      <c r="B27" s="650" t="s">
        <v>177</v>
      </c>
      <c r="C27" s="651" t="s">
        <v>235</v>
      </c>
      <c r="D27" s="652">
        <v>1.8151488438100027</v>
      </c>
      <c r="E27" s="652">
        <v>0.14494164788379663</v>
      </c>
      <c r="F27" s="653">
        <v>0</v>
      </c>
      <c r="G27" s="654">
        <v>1.9600904916937993</v>
      </c>
    </row>
    <row r="28" spans="1:7">
      <c r="A28" s="183"/>
      <c r="B28" s="650" t="s">
        <v>177</v>
      </c>
      <c r="C28" s="651" t="s">
        <v>235</v>
      </c>
      <c r="D28" s="652">
        <v>16.247123466065627</v>
      </c>
      <c r="E28" s="652">
        <v>0.6930187828700225</v>
      </c>
      <c r="F28" s="653">
        <v>0</v>
      </c>
      <c r="G28" s="654">
        <v>16.940142248935651</v>
      </c>
    </row>
    <row r="29" spans="1:7">
      <c r="A29" s="183"/>
      <c r="B29" s="650" t="s">
        <v>54</v>
      </c>
      <c r="C29" s="651" t="s">
        <v>235</v>
      </c>
      <c r="D29" s="652">
        <v>2.5751049336338578</v>
      </c>
      <c r="E29" s="652">
        <v>0.20593722347441354</v>
      </c>
      <c r="F29" s="653">
        <v>0</v>
      </c>
      <c r="G29" s="654">
        <v>2.7810421571082715</v>
      </c>
    </row>
    <row r="30" spans="1:7">
      <c r="A30" s="183"/>
      <c r="B30" s="650" t="s">
        <v>178</v>
      </c>
      <c r="C30" s="651" t="s">
        <v>235</v>
      </c>
      <c r="D30" s="652">
        <v>3.266844644795055</v>
      </c>
      <c r="E30" s="652">
        <v>0.26125686618248595</v>
      </c>
      <c r="F30" s="653">
        <v>0</v>
      </c>
      <c r="G30" s="654">
        <v>3.5281015109775411</v>
      </c>
    </row>
    <row r="31" spans="1:7">
      <c r="A31" s="183"/>
      <c r="B31" s="650" t="s">
        <v>179</v>
      </c>
      <c r="C31" s="651" t="s">
        <v>235</v>
      </c>
      <c r="D31" s="652">
        <v>0.30455914517071514</v>
      </c>
      <c r="E31" s="652">
        <v>2.4357124968695215E-2</v>
      </c>
      <c r="F31" s="653">
        <v>0</v>
      </c>
      <c r="G31" s="654">
        <v>0.32891627013941038</v>
      </c>
    </row>
    <row r="32" spans="1:7">
      <c r="A32" s="183"/>
      <c r="B32" s="650" t="s">
        <v>303</v>
      </c>
      <c r="C32" s="651" t="s">
        <v>235</v>
      </c>
      <c r="D32" s="652">
        <v>72.127820352283052</v>
      </c>
      <c r="E32" s="652">
        <v>10.865800985057183</v>
      </c>
      <c r="F32" s="653">
        <v>0</v>
      </c>
      <c r="G32" s="654">
        <v>82.99362133734023</v>
      </c>
    </row>
    <row r="33" spans="1:7">
      <c r="A33" s="183"/>
      <c r="B33" s="645"/>
      <c r="C33" s="651"/>
      <c r="D33" s="652"/>
      <c r="E33" s="652"/>
      <c r="F33" s="655"/>
      <c r="G33" s="654"/>
    </row>
    <row r="34" spans="1:7" s="412" customFormat="1" ht="15.5">
      <c r="A34" s="523"/>
      <c r="B34" s="640" t="s">
        <v>180</v>
      </c>
      <c r="C34" s="641"/>
      <c r="D34" s="642">
        <f>+SUM(D36:D59)</f>
        <v>50997.461017545029</v>
      </c>
      <c r="E34" s="642">
        <f>+SUM(E36:E59)</f>
        <v>1866.4599829156066</v>
      </c>
      <c r="F34" s="643">
        <f>+SUM(F36:F59)</f>
        <v>9791.76330909018</v>
      </c>
      <c r="G34" s="644">
        <f>+F34+E34+D34</f>
        <v>62655.684309550816</v>
      </c>
    </row>
    <row r="35" spans="1:7">
      <c r="A35" s="122"/>
      <c r="B35" s="645"/>
      <c r="C35" s="646"/>
      <c r="D35" s="652"/>
      <c r="E35" s="652"/>
      <c r="F35" s="655"/>
      <c r="G35" s="654"/>
    </row>
    <row r="36" spans="1:7">
      <c r="A36" s="183"/>
      <c r="B36" s="650" t="s">
        <v>429</v>
      </c>
      <c r="C36" s="651" t="s">
        <v>236</v>
      </c>
      <c r="D36" s="652">
        <v>4548.8710582377162</v>
      </c>
      <c r="E36" s="652">
        <v>0</v>
      </c>
      <c r="F36" s="653">
        <v>0</v>
      </c>
      <c r="G36" s="654">
        <v>4548.8710582377162</v>
      </c>
    </row>
    <row r="37" spans="1:7">
      <c r="A37" s="183"/>
      <c r="B37" s="650" t="s">
        <v>430</v>
      </c>
      <c r="C37" s="651" t="s">
        <v>236</v>
      </c>
      <c r="D37" s="652">
        <v>1580.8115431965973</v>
      </c>
      <c r="E37" s="652">
        <v>0</v>
      </c>
      <c r="F37" s="653">
        <v>0</v>
      </c>
      <c r="G37" s="654">
        <v>1580.8115431965973</v>
      </c>
    </row>
    <row r="38" spans="1:7">
      <c r="A38" s="183"/>
      <c r="B38" s="650" t="s">
        <v>431</v>
      </c>
      <c r="C38" s="651" t="s">
        <v>236</v>
      </c>
      <c r="D38" s="652">
        <v>1601.9283798766512</v>
      </c>
      <c r="E38" s="652">
        <v>0</v>
      </c>
      <c r="F38" s="653">
        <v>0</v>
      </c>
      <c r="G38" s="654">
        <v>1601.9283798766512</v>
      </c>
    </row>
    <row r="39" spans="1:7">
      <c r="A39" s="183"/>
      <c r="B39" s="650" t="s">
        <v>432</v>
      </c>
      <c r="C39" s="651" t="s">
        <v>236</v>
      </c>
      <c r="D39" s="652">
        <v>354.92460472707046</v>
      </c>
      <c r="E39" s="652">
        <v>0</v>
      </c>
      <c r="F39" s="653">
        <v>0</v>
      </c>
      <c r="G39" s="654">
        <v>354.92460472707046</v>
      </c>
    </row>
    <row r="40" spans="1:7">
      <c r="A40" s="183"/>
      <c r="B40" s="650" t="s">
        <v>433</v>
      </c>
      <c r="C40" s="651" t="s">
        <v>236</v>
      </c>
      <c r="D40" s="652">
        <v>387.24614843259951</v>
      </c>
      <c r="E40" s="652">
        <v>0</v>
      </c>
      <c r="F40" s="653">
        <v>0</v>
      </c>
      <c r="G40" s="654">
        <v>387.24614843259951</v>
      </c>
    </row>
    <row r="41" spans="1:7">
      <c r="A41" s="183"/>
      <c r="B41" s="650" t="s">
        <v>434</v>
      </c>
      <c r="C41" s="651" t="s">
        <v>236</v>
      </c>
      <c r="D41" s="652">
        <v>3250.6305758078825</v>
      </c>
      <c r="E41" s="652">
        <v>25.518817709041997</v>
      </c>
      <c r="F41" s="653">
        <v>884.35210720728878</v>
      </c>
      <c r="G41" s="654">
        <v>4160.5015007242137</v>
      </c>
    </row>
    <row r="42" spans="1:7">
      <c r="A42" s="183"/>
      <c r="B42" s="650" t="s">
        <v>435</v>
      </c>
      <c r="C42" s="651" t="s">
        <v>236</v>
      </c>
      <c r="D42" s="652">
        <v>2.8093657180449401</v>
      </c>
      <c r="E42" s="652">
        <v>0.81975167252770786</v>
      </c>
      <c r="F42" s="653">
        <v>0</v>
      </c>
      <c r="G42" s="654">
        <v>3.6291173905726479</v>
      </c>
    </row>
    <row r="43" spans="1:7">
      <c r="A43" s="183"/>
      <c r="B43" s="650" t="s">
        <v>436</v>
      </c>
      <c r="C43" s="651" t="s">
        <v>236</v>
      </c>
      <c r="D43" s="652">
        <v>1220.306052197664</v>
      </c>
      <c r="E43" s="652">
        <v>25.189668860970819</v>
      </c>
      <c r="F43" s="653">
        <v>333.07575746928467</v>
      </c>
      <c r="G43" s="654">
        <v>1578.5714785279197</v>
      </c>
    </row>
    <row r="44" spans="1:7">
      <c r="A44" s="183"/>
      <c r="B44" s="650" t="s">
        <v>437</v>
      </c>
      <c r="C44" s="651" t="s">
        <v>236</v>
      </c>
      <c r="D44" s="652">
        <v>5664.5260455971629</v>
      </c>
      <c r="E44" s="652">
        <v>302.85787086996424</v>
      </c>
      <c r="F44" s="653">
        <v>1026.8526937101969</v>
      </c>
      <c r="G44" s="654">
        <v>6994.2366101773241</v>
      </c>
    </row>
    <row r="45" spans="1:7">
      <c r="A45" s="183"/>
      <c r="B45" s="650" t="s">
        <v>438</v>
      </c>
      <c r="C45" s="651" t="s">
        <v>236</v>
      </c>
      <c r="D45" s="652">
        <v>2075.7872565362609</v>
      </c>
      <c r="E45" s="652">
        <v>210.26711357327221</v>
      </c>
      <c r="F45" s="653">
        <v>220.72537827835578</v>
      </c>
      <c r="G45" s="654">
        <v>2506.779748387889</v>
      </c>
    </row>
    <row r="46" spans="1:7">
      <c r="A46" s="183"/>
      <c r="B46" s="650" t="s">
        <v>439</v>
      </c>
      <c r="C46" s="651" t="s">
        <v>236</v>
      </c>
      <c r="D46" s="652">
        <v>5301.976715903993</v>
      </c>
      <c r="E46" s="652">
        <v>325.07837098509003</v>
      </c>
      <c r="F46" s="653">
        <v>929.90780511716105</v>
      </c>
      <c r="G46" s="654">
        <v>6556.9628920062441</v>
      </c>
    </row>
    <row r="47" spans="1:7">
      <c r="A47" s="183"/>
      <c r="B47" s="650" t="s">
        <v>440</v>
      </c>
      <c r="C47" s="651" t="s">
        <v>236</v>
      </c>
      <c r="D47" s="652">
        <v>101.50555438123109</v>
      </c>
      <c r="E47" s="652">
        <v>10.076234038250645</v>
      </c>
      <c r="F47" s="653">
        <v>0.63159011614988247</v>
      </c>
      <c r="G47" s="654">
        <v>112.21337853563162</v>
      </c>
    </row>
    <row r="48" spans="1:7">
      <c r="A48" s="183"/>
      <c r="B48" s="650" t="s">
        <v>441</v>
      </c>
      <c r="C48" s="651" t="s">
        <v>236</v>
      </c>
      <c r="D48" s="652">
        <v>1628.198060002117</v>
      </c>
      <c r="E48" s="652">
        <v>109.96730624747893</v>
      </c>
      <c r="F48" s="653">
        <v>293.70883893482636</v>
      </c>
      <c r="G48" s="654">
        <v>2031.8742051844224</v>
      </c>
    </row>
    <row r="49" spans="1:7">
      <c r="A49" s="183"/>
      <c r="B49" s="650" t="s">
        <v>442</v>
      </c>
      <c r="C49" s="651" t="s">
        <v>236</v>
      </c>
      <c r="D49" s="652">
        <v>215.60839980929111</v>
      </c>
      <c r="E49" s="652">
        <v>8.8175625346854982</v>
      </c>
      <c r="F49" s="653">
        <v>27.214571353706084</v>
      </c>
      <c r="G49" s="654">
        <v>251.64053369768268</v>
      </c>
    </row>
    <row r="50" spans="1:7">
      <c r="A50" s="183"/>
      <c r="B50" s="650" t="s">
        <v>443</v>
      </c>
      <c r="C50" s="651" t="s">
        <v>236</v>
      </c>
      <c r="D50" s="652">
        <v>226.17983649864948</v>
      </c>
      <c r="E50" s="652">
        <v>25.074308619236241</v>
      </c>
      <c r="F50" s="653">
        <v>44.972091594077973</v>
      </c>
      <c r="G50" s="654">
        <v>296.22623671196368</v>
      </c>
    </row>
    <row r="51" spans="1:7">
      <c r="A51" s="183"/>
      <c r="B51" s="650" t="s">
        <v>444</v>
      </c>
      <c r="C51" s="651" t="s">
        <v>236</v>
      </c>
      <c r="D51" s="652">
        <v>2790.3120095092181</v>
      </c>
      <c r="E51" s="652">
        <v>253.98264188658217</v>
      </c>
      <c r="F51" s="653">
        <v>609.56866202466767</v>
      </c>
      <c r="G51" s="654">
        <v>3653.8633134204683</v>
      </c>
    </row>
    <row r="52" spans="1:7">
      <c r="A52" s="183"/>
      <c r="B52" s="650" t="s">
        <v>445</v>
      </c>
      <c r="C52" s="651" t="s">
        <v>236</v>
      </c>
      <c r="D52" s="652">
        <v>4699.1974708277512</v>
      </c>
      <c r="E52" s="652">
        <v>164.25264588147274</v>
      </c>
      <c r="F52" s="653">
        <v>1214.4814784920809</v>
      </c>
      <c r="G52" s="654">
        <v>6077.9315952013048</v>
      </c>
    </row>
    <row r="53" spans="1:7">
      <c r="A53" s="183"/>
      <c r="B53" s="650" t="s">
        <v>446</v>
      </c>
      <c r="C53" s="651" t="s">
        <v>236</v>
      </c>
      <c r="D53" s="652">
        <v>10447.429707314286</v>
      </c>
      <c r="E53" s="652">
        <v>281.51001826435208</v>
      </c>
      <c r="F53" s="653">
        <v>2915.9937152027819</v>
      </c>
      <c r="G53" s="654">
        <v>13644.93344078142</v>
      </c>
    </row>
    <row r="54" spans="1:7">
      <c r="A54" s="183"/>
      <c r="B54" s="650" t="s">
        <v>447</v>
      </c>
      <c r="C54" s="651" t="s">
        <v>236</v>
      </c>
      <c r="D54" s="652">
        <v>317.5242687072228</v>
      </c>
      <c r="E54" s="652">
        <v>8.429520914128851</v>
      </c>
      <c r="F54" s="653">
        <v>81.157657377777554</v>
      </c>
      <c r="G54" s="654">
        <v>407.11144699912916</v>
      </c>
    </row>
    <row r="55" spans="1:7">
      <c r="A55" s="183"/>
      <c r="B55" s="650" t="s">
        <v>448</v>
      </c>
      <c r="C55" s="651" t="s">
        <v>236</v>
      </c>
      <c r="D55" s="652">
        <v>1468.5881546290777</v>
      </c>
      <c r="E55" s="652">
        <v>105.45217858002979</v>
      </c>
      <c r="F55" s="653">
        <v>349.85033451247375</v>
      </c>
      <c r="G55" s="654">
        <v>1923.8906677215814</v>
      </c>
    </row>
    <row r="56" spans="1:7">
      <c r="A56" s="183"/>
      <c r="B56" s="650" t="s">
        <v>449</v>
      </c>
      <c r="C56" s="651" t="s">
        <v>236</v>
      </c>
      <c r="D56" s="652">
        <v>146.3300556671424</v>
      </c>
      <c r="E56" s="652">
        <v>1.0243110825596771</v>
      </c>
      <c r="F56" s="653">
        <v>40.964397501557848</v>
      </c>
      <c r="G56" s="654">
        <v>188.31876425125992</v>
      </c>
    </row>
    <row r="57" spans="1:7">
      <c r="A57" s="183"/>
      <c r="B57" s="650" t="s">
        <v>450</v>
      </c>
      <c r="C57" s="651" t="s">
        <v>236</v>
      </c>
      <c r="D57" s="652">
        <v>437.11973353207685</v>
      </c>
      <c r="E57" s="652">
        <v>6.125916916427391</v>
      </c>
      <c r="F57" s="653">
        <v>110.75296700560675</v>
      </c>
      <c r="G57" s="654">
        <v>553.99861745411101</v>
      </c>
    </row>
    <row r="58" spans="1:7">
      <c r="A58" s="183"/>
      <c r="B58" s="650" t="s">
        <v>451</v>
      </c>
      <c r="C58" s="651" t="s">
        <v>236</v>
      </c>
      <c r="D58" s="652">
        <v>2485.938090794049</v>
      </c>
      <c r="E58" s="656">
        <v>0</v>
      </c>
      <c r="F58" s="653">
        <v>696.89131145259864</v>
      </c>
      <c r="G58" s="654">
        <v>3182.8294022466475</v>
      </c>
    </row>
    <row r="59" spans="1:7">
      <c r="A59" s="183"/>
      <c r="B59" s="650" t="s">
        <v>452</v>
      </c>
      <c r="C59" s="651" t="s">
        <v>236</v>
      </c>
      <c r="D59" s="652">
        <v>43.711929641278054</v>
      </c>
      <c r="E59" s="652">
        <v>2.0157442795354155</v>
      </c>
      <c r="F59" s="653">
        <v>10.661951739587931</v>
      </c>
      <c r="G59" s="654">
        <v>56.389625660401407</v>
      </c>
    </row>
    <row r="60" spans="1:7" ht="15.5">
      <c r="A60" s="184"/>
      <c r="B60" s="650"/>
      <c r="C60" s="651"/>
      <c r="D60" s="657"/>
      <c r="E60" s="658"/>
      <c r="F60" s="659"/>
      <c r="G60" s="660"/>
    </row>
    <row r="61" spans="1:7" s="412" customFormat="1" ht="15.5">
      <c r="A61" s="524"/>
      <c r="B61" s="661" t="s">
        <v>181</v>
      </c>
      <c r="C61" s="662"/>
      <c r="D61" s="657">
        <f>+SUM(D63:D82)+SUM(D103:D177)</f>
        <v>1006616.9572677003</v>
      </c>
      <c r="E61" s="658">
        <f>+SUM(E63:E82)+SUM(E103:E177)</f>
        <v>861946.75067114213</v>
      </c>
      <c r="F61" s="659">
        <f>+SUM(F63:F82)+SUM(F103:F177)</f>
        <v>503461.94218464609</v>
      </c>
      <c r="G61" s="660">
        <f>+F61+E61+D61</f>
        <v>2372025.6501234886</v>
      </c>
    </row>
    <row r="62" spans="1:7">
      <c r="A62" s="122"/>
      <c r="B62" s="645"/>
      <c r="C62" s="651"/>
      <c r="D62" s="652"/>
      <c r="E62" s="652"/>
      <c r="F62" s="655"/>
      <c r="G62" s="654"/>
    </row>
    <row r="63" spans="1:7">
      <c r="A63" s="183"/>
      <c r="B63" s="650" t="s">
        <v>182</v>
      </c>
      <c r="C63" s="651" t="s">
        <v>29</v>
      </c>
      <c r="D63" s="652">
        <v>7744.3686712130602</v>
      </c>
      <c r="E63" s="652">
        <v>1084.2116139698285</v>
      </c>
      <c r="F63" s="653">
        <v>6717.5944616656334</v>
      </c>
      <c r="G63" s="654">
        <v>15546.174746848523</v>
      </c>
    </row>
    <row r="64" spans="1:7">
      <c r="A64" s="183"/>
      <c r="B64" s="650" t="s">
        <v>453</v>
      </c>
      <c r="C64" s="651" t="s">
        <v>183</v>
      </c>
      <c r="D64" s="652">
        <v>280.83513059074096</v>
      </c>
      <c r="E64" s="652">
        <v>90.792044242380229</v>
      </c>
      <c r="F64" s="653">
        <v>32.209917421110418</v>
      </c>
      <c r="G64" s="654">
        <v>403.83709225423161</v>
      </c>
    </row>
    <row r="65" spans="1:7">
      <c r="A65" s="183"/>
      <c r="B65" s="650" t="s">
        <v>184</v>
      </c>
      <c r="C65" s="651" t="s">
        <v>183</v>
      </c>
      <c r="D65" s="652">
        <v>3765.4833101670215</v>
      </c>
      <c r="E65" s="652">
        <v>2873.4403084146952</v>
      </c>
      <c r="F65" s="653">
        <v>1071.7465316256589</v>
      </c>
      <c r="G65" s="654">
        <v>7710.6701502073756</v>
      </c>
    </row>
    <row r="66" spans="1:7">
      <c r="A66" s="183"/>
      <c r="B66" s="650" t="s">
        <v>185</v>
      </c>
      <c r="C66" s="651" t="s">
        <v>183</v>
      </c>
      <c r="D66" s="652">
        <v>4202.8864477076559</v>
      </c>
      <c r="E66" s="652">
        <v>735.5051309176846</v>
      </c>
      <c r="F66" s="653">
        <v>4860.4630565052512</v>
      </c>
      <c r="G66" s="654">
        <v>9798.8546351305922</v>
      </c>
    </row>
    <row r="67" spans="1:7">
      <c r="A67" s="183"/>
      <c r="B67" s="650" t="s">
        <v>139</v>
      </c>
      <c r="C67" s="651" t="s">
        <v>183</v>
      </c>
      <c r="D67" s="652">
        <v>26794.537305234837</v>
      </c>
      <c r="E67" s="652">
        <v>5626.8528164007103</v>
      </c>
      <c r="F67" s="653">
        <v>22684.553001332726</v>
      </c>
      <c r="G67" s="654">
        <v>55105.943122968274</v>
      </c>
    </row>
    <row r="68" spans="1:7">
      <c r="A68" s="183"/>
      <c r="B68" s="650" t="s">
        <v>140</v>
      </c>
      <c r="C68" s="651" t="s">
        <v>183</v>
      </c>
      <c r="D68" s="652">
        <v>909.75281919067368</v>
      </c>
      <c r="E68" s="652">
        <v>582.24180972748195</v>
      </c>
      <c r="F68" s="653">
        <v>471.65629586606138</v>
      </c>
      <c r="G68" s="654">
        <v>1963.6509247842171</v>
      </c>
    </row>
    <row r="69" spans="1:7">
      <c r="A69" s="183"/>
      <c r="B69" s="650" t="s">
        <v>141</v>
      </c>
      <c r="C69" s="651" t="s">
        <v>183</v>
      </c>
      <c r="D69" s="652">
        <v>2595.5359600941601</v>
      </c>
      <c r="E69" s="652">
        <v>1453.5001401588772</v>
      </c>
      <c r="F69" s="653">
        <v>1693.4430164379169</v>
      </c>
      <c r="G69" s="654">
        <v>5742.4791166909545</v>
      </c>
    </row>
    <row r="70" spans="1:7">
      <c r="A70" s="183"/>
      <c r="B70" s="650" t="s">
        <v>454</v>
      </c>
      <c r="C70" s="651" t="s">
        <v>183</v>
      </c>
      <c r="D70" s="652">
        <v>1325.8535814370584</v>
      </c>
      <c r="E70" s="652">
        <v>1020.907253952452</v>
      </c>
      <c r="F70" s="653">
        <v>691.76410576058458</v>
      </c>
      <c r="G70" s="654">
        <v>3038.5249411500949</v>
      </c>
    </row>
    <row r="71" spans="1:7">
      <c r="A71" s="183"/>
      <c r="B71" s="650" t="s">
        <v>142</v>
      </c>
      <c r="C71" s="651" t="s">
        <v>183</v>
      </c>
      <c r="D71" s="652">
        <v>299.74851474049996</v>
      </c>
      <c r="E71" s="652">
        <v>94.420781665101899</v>
      </c>
      <c r="F71" s="653">
        <v>253.29686209680818</v>
      </c>
      <c r="G71" s="654">
        <v>647.46615850241005</v>
      </c>
    </row>
    <row r="72" spans="1:7">
      <c r="A72" s="183"/>
      <c r="B72" s="650" t="s">
        <v>143</v>
      </c>
      <c r="C72" s="651" t="s">
        <v>183</v>
      </c>
      <c r="D72" s="652">
        <v>170.79359937226769</v>
      </c>
      <c r="E72" s="652">
        <v>107.5999642616934</v>
      </c>
      <c r="F72" s="653">
        <v>114.13282354236442</v>
      </c>
      <c r="G72" s="654">
        <v>392.5263871763255</v>
      </c>
    </row>
    <row r="73" spans="1:7">
      <c r="A73" s="183"/>
      <c r="B73" s="650" t="s">
        <v>145</v>
      </c>
      <c r="C73" s="651" t="s">
        <v>183</v>
      </c>
      <c r="D73" s="652">
        <v>1952.1354108283824</v>
      </c>
      <c r="E73" s="652">
        <v>351.3843682273735</v>
      </c>
      <c r="F73" s="653">
        <v>2257.1565688872993</v>
      </c>
      <c r="G73" s="654">
        <v>4560.6763479430556</v>
      </c>
    </row>
    <row r="74" spans="1:7">
      <c r="A74" s="183"/>
      <c r="B74" s="650" t="s">
        <v>186</v>
      </c>
      <c r="C74" s="651" t="s">
        <v>183</v>
      </c>
      <c r="D74" s="652">
        <v>916.93756305346926</v>
      </c>
      <c r="E74" s="652">
        <v>550.16253783208151</v>
      </c>
      <c r="F74" s="653">
        <v>790.85864813361741</v>
      </c>
      <c r="G74" s="654">
        <v>2257.958749019168</v>
      </c>
    </row>
    <row r="75" spans="1:7">
      <c r="A75" s="183"/>
      <c r="B75" s="650" t="s">
        <v>187</v>
      </c>
      <c r="C75" s="651" t="s">
        <v>183</v>
      </c>
      <c r="D75" s="652">
        <v>1383.2358704181147</v>
      </c>
      <c r="E75" s="652">
        <v>290.47952039759087</v>
      </c>
      <c r="F75" s="653">
        <v>1171.0628515338074</v>
      </c>
      <c r="G75" s="654">
        <v>2844.7782423495128</v>
      </c>
    </row>
    <row r="76" spans="1:7">
      <c r="A76" s="183"/>
      <c r="B76" s="650" t="s">
        <v>188</v>
      </c>
      <c r="C76" s="651" t="s">
        <v>183</v>
      </c>
      <c r="D76" s="652">
        <v>2119.7175204573477</v>
      </c>
      <c r="E76" s="652">
        <v>953.87288420580649</v>
      </c>
      <c r="F76" s="653">
        <v>1905.6260508911555</v>
      </c>
      <c r="G76" s="654">
        <v>4979.2164555543095</v>
      </c>
    </row>
    <row r="77" spans="1:7">
      <c r="A77" s="183"/>
      <c r="B77" s="650" t="s">
        <v>189</v>
      </c>
      <c r="C77" s="651" t="s">
        <v>183</v>
      </c>
      <c r="D77" s="652">
        <v>2156.148413854949</v>
      </c>
      <c r="E77" s="652">
        <v>646.84452415648536</v>
      </c>
      <c r="F77" s="653">
        <v>2452.6188207600044</v>
      </c>
      <c r="G77" s="654">
        <v>5255.6117587714389</v>
      </c>
    </row>
    <row r="78" spans="1:7">
      <c r="A78" s="183"/>
      <c r="B78" s="650" t="s">
        <v>190</v>
      </c>
      <c r="C78" s="651" t="s">
        <v>183</v>
      </c>
      <c r="D78" s="652">
        <v>8681.7621342898783</v>
      </c>
      <c r="E78" s="652">
        <v>1692.9436212979826</v>
      </c>
      <c r="F78" s="653">
        <v>10500.95303826933</v>
      </c>
      <c r="G78" s="654">
        <v>20875.65879385719</v>
      </c>
    </row>
    <row r="79" spans="1:7">
      <c r="A79" s="183"/>
      <c r="B79" s="650" t="s">
        <v>191</v>
      </c>
      <c r="C79" s="651" t="s">
        <v>183</v>
      </c>
      <c r="D79" s="652">
        <v>4119.4933303441321</v>
      </c>
      <c r="E79" s="652">
        <v>1647.797329669881</v>
      </c>
      <c r="F79" s="653">
        <v>4651.0772583807857</v>
      </c>
      <c r="G79" s="654">
        <v>10418.367918394799</v>
      </c>
    </row>
    <row r="80" spans="1:7">
      <c r="A80" s="183"/>
      <c r="B80" s="650" t="s">
        <v>455</v>
      </c>
      <c r="C80" s="651" t="s">
        <v>183</v>
      </c>
      <c r="D80" s="652">
        <v>563.83813473825808</v>
      </c>
      <c r="E80" s="652">
        <v>145.91567068185597</v>
      </c>
      <c r="F80" s="653">
        <v>479.16588968133198</v>
      </c>
      <c r="G80" s="654">
        <v>1188.919695101446</v>
      </c>
    </row>
    <row r="81" spans="1:7">
      <c r="A81" s="183"/>
      <c r="B81" s="650" t="s">
        <v>192</v>
      </c>
      <c r="C81" s="651" t="s">
        <v>183</v>
      </c>
      <c r="D81" s="652">
        <v>940.47752494115014</v>
      </c>
      <c r="E81" s="652">
        <v>578.39368077461961</v>
      </c>
      <c r="F81" s="653">
        <v>891.15469945181235</v>
      </c>
      <c r="G81" s="654">
        <v>2410.0259051675821</v>
      </c>
    </row>
    <row r="82" spans="1:7">
      <c r="A82" s="183"/>
      <c r="B82" s="650" t="s">
        <v>193</v>
      </c>
      <c r="C82" s="651" t="s">
        <v>183</v>
      </c>
      <c r="D82" s="652">
        <v>6664.4255128348841</v>
      </c>
      <c r="E82" s="652">
        <v>1624.4537202294523</v>
      </c>
      <c r="F82" s="653">
        <v>6254.5176955311126</v>
      </c>
      <c r="G82" s="654">
        <v>14543.39692859545</v>
      </c>
    </row>
    <row r="83" spans="1:7" ht="13.5" thickBot="1">
      <c r="B83" s="663"/>
      <c r="C83" s="664"/>
      <c r="D83" s="665"/>
      <c r="E83" s="666"/>
      <c r="F83" s="667"/>
      <c r="G83" s="668"/>
    </row>
    <row r="84" spans="1:7" ht="13.5" thickTop="1">
      <c r="B84" s="638"/>
      <c r="C84" s="638"/>
      <c r="D84" s="669"/>
      <c r="E84" s="669"/>
      <c r="F84" s="669"/>
      <c r="G84" s="669"/>
    </row>
    <row r="85" spans="1:7">
      <c r="B85" s="638"/>
      <c r="C85" s="638"/>
      <c r="D85" s="669"/>
      <c r="E85" s="669"/>
      <c r="F85" s="669"/>
      <c r="G85" s="669"/>
    </row>
    <row r="86" spans="1:7" ht="15.5">
      <c r="B86" s="386" t="s">
        <v>506</v>
      </c>
      <c r="C86" s="670"/>
      <c r="D86" s="269"/>
      <c r="E86" s="269"/>
      <c r="F86" s="269"/>
      <c r="G86" s="269"/>
    </row>
    <row r="87" spans="1:7" ht="15.5">
      <c r="B87" s="270" t="s">
        <v>304</v>
      </c>
      <c r="C87" s="670"/>
      <c r="D87" s="269"/>
      <c r="E87" s="269"/>
      <c r="F87" s="269"/>
      <c r="G87" s="269"/>
    </row>
    <row r="88" spans="1:7" s="426" customFormat="1" ht="12">
      <c r="B88" s="418"/>
      <c r="C88" s="418"/>
      <c r="D88" s="418"/>
      <c r="E88" s="418"/>
      <c r="F88" s="418"/>
      <c r="G88" s="418"/>
    </row>
    <row r="89" spans="1:7" s="426" customFormat="1" ht="12">
      <c r="B89" s="418"/>
      <c r="C89" s="418"/>
      <c r="D89" s="418"/>
      <c r="E89" s="418"/>
      <c r="F89" s="418"/>
      <c r="G89" s="418"/>
    </row>
    <row r="90" spans="1:7" ht="17">
      <c r="B90" s="1416" t="str">
        <f>+B6</f>
        <v>DEUDA ELEGIBLE PENDIENTE DE REESTRUCTURACIÓN</v>
      </c>
      <c r="C90" s="1416"/>
      <c r="D90" s="1416"/>
      <c r="E90" s="1416"/>
      <c r="F90" s="1416"/>
      <c r="G90" s="1416"/>
    </row>
    <row r="91" spans="1:7" ht="14.5">
      <c r="B91" s="1417" t="str">
        <f>+B7</f>
        <v>DATOS AL 31/12/2019</v>
      </c>
      <c r="C91" s="1417"/>
      <c r="D91" s="1417"/>
      <c r="E91" s="1417"/>
      <c r="F91" s="1417"/>
      <c r="G91" s="1417"/>
    </row>
    <row r="92" spans="1:7" s="426" customFormat="1" ht="12">
      <c r="B92" s="671"/>
      <c r="C92" s="671"/>
      <c r="D92" s="671"/>
      <c r="E92" s="671"/>
      <c r="F92" s="671"/>
      <c r="G92" s="671"/>
    </row>
    <row r="93" spans="1:7" s="426" customFormat="1" ht="12">
      <c r="B93" s="418"/>
      <c r="C93" s="418"/>
      <c r="D93" s="418"/>
      <c r="E93" s="418"/>
      <c r="F93" s="418"/>
      <c r="G93" s="418"/>
    </row>
    <row r="94" spans="1:7" ht="13.5" thickBot="1">
      <c r="B94" s="269"/>
      <c r="C94" s="269"/>
      <c r="D94" s="269"/>
      <c r="E94" s="269"/>
      <c r="F94" s="269"/>
      <c r="G94" s="639" t="s">
        <v>294</v>
      </c>
    </row>
    <row r="95" spans="1:7" ht="13.5" customHeight="1" thickTop="1">
      <c r="B95" s="1418" t="s">
        <v>290</v>
      </c>
      <c r="C95" s="1421" t="s">
        <v>171</v>
      </c>
      <c r="D95" s="1424" t="s">
        <v>285</v>
      </c>
      <c r="E95" s="1424" t="s">
        <v>337</v>
      </c>
      <c r="F95" s="1427" t="s">
        <v>563</v>
      </c>
      <c r="G95" s="1397" t="s">
        <v>292</v>
      </c>
    </row>
    <row r="96" spans="1:7" ht="13.5" customHeight="1">
      <c r="B96" s="1419"/>
      <c r="C96" s="1422"/>
      <c r="D96" s="1425"/>
      <c r="E96" s="1425"/>
      <c r="F96" s="1428"/>
      <c r="G96" s="1398"/>
    </row>
    <row r="97" spans="1:7" ht="12.75" customHeight="1">
      <c r="B97" s="1419"/>
      <c r="C97" s="1422"/>
      <c r="D97" s="1425"/>
      <c r="E97" s="1425"/>
      <c r="F97" s="1428"/>
      <c r="G97" s="1398"/>
    </row>
    <row r="98" spans="1:7" ht="12.75" customHeight="1">
      <c r="B98" s="1419"/>
      <c r="C98" s="1422"/>
      <c r="D98" s="1425"/>
      <c r="E98" s="1425"/>
      <c r="F98" s="1428"/>
      <c r="G98" s="1398"/>
    </row>
    <row r="99" spans="1:7" ht="13.5" customHeight="1" thickBot="1">
      <c r="B99" s="1420"/>
      <c r="C99" s="1423"/>
      <c r="D99" s="1426"/>
      <c r="E99" s="1426"/>
      <c r="F99" s="1429"/>
      <c r="G99" s="1430"/>
    </row>
    <row r="100" spans="1:7" ht="14.25" customHeight="1" thickTop="1">
      <c r="B100" s="645"/>
      <c r="C100" s="646"/>
      <c r="D100" s="652"/>
      <c r="E100" s="672"/>
      <c r="F100" s="655"/>
      <c r="G100" s="673"/>
    </row>
    <row r="101" spans="1:7" s="413" customFormat="1" ht="14.5">
      <c r="B101" s="674" t="s">
        <v>298</v>
      </c>
      <c r="C101" s="675"/>
      <c r="D101" s="676"/>
      <c r="E101" s="676"/>
      <c r="F101" s="677"/>
      <c r="G101" s="678"/>
    </row>
    <row r="102" spans="1:7">
      <c r="B102" s="645"/>
      <c r="C102" s="646"/>
      <c r="D102" s="652"/>
      <c r="E102" s="652"/>
      <c r="F102" s="655"/>
      <c r="G102" s="673"/>
    </row>
    <row r="103" spans="1:7">
      <c r="A103" s="183"/>
      <c r="B103" s="650" t="s">
        <v>851</v>
      </c>
      <c r="C103" s="651" t="s">
        <v>796</v>
      </c>
      <c r="D103" s="652">
        <v>0</v>
      </c>
      <c r="E103" s="652">
        <v>1.2644600000000001</v>
      </c>
      <c r="F103" s="653">
        <v>0</v>
      </c>
      <c r="G103" s="654">
        <v>1.2644600000000001</v>
      </c>
    </row>
    <row r="104" spans="1:7">
      <c r="A104" s="183"/>
      <c r="B104" s="650" t="s">
        <v>493</v>
      </c>
      <c r="C104" s="651" t="s">
        <v>796</v>
      </c>
      <c r="D104" s="652">
        <v>0</v>
      </c>
      <c r="E104" s="652">
        <v>1.87</v>
      </c>
      <c r="F104" s="653">
        <v>0</v>
      </c>
      <c r="G104" s="654">
        <v>1.87</v>
      </c>
    </row>
    <row r="105" spans="1:7">
      <c r="A105" s="183"/>
      <c r="B105" s="650" t="s">
        <v>490</v>
      </c>
      <c r="C105" s="651" t="s">
        <v>796</v>
      </c>
      <c r="D105" s="652">
        <v>0</v>
      </c>
      <c r="E105" s="652">
        <v>14.02309</v>
      </c>
      <c r="F105" s="653">
        <v>0</v>
      </c>
      <c r="G105" s="654">
        <v>14.02309</v>
      </c>
    </row>
    <row r="106" spans="1:7">
      <c r="A106" s="183"/>
      <c r="B106" s="650" t="s">
        <v>487</v>
      </c>
      <c r="C106" s="651" t="s">
        <v>796</v>
      </c>
      <c r="D106" s="652">
        <v>0</v>
      </c>
      <c r="E106" s="652">
        <v>15.681520000000001</v>
      </c>
      <c r="F106" s="653">
        <v>0</v>
      </c>
      <c r="G106" s="654">
        <v>15.681520000000001</v>
      </c>
    </row>
    <row r="107" spans="1:7">
      <c r="A107" s="183"/>
      <c r="B107" s="650" t="s">
        <v>854</v>
      </c>
      <c r="C107" s="651" t="s">
        <v>796</v>
      </c>
      <c r="D107" s="652">
        <v>0</v>
      </c>
      <c r="E107" s="652">
        <v>25.049659999999999</v>
      </c>
      <c r="F107" s="653">
        <v>0</v>
      </c>
      <c r="G107" s="654">
        <v>25.049659999999999</v>
      </c>
    </row>
    <row r="108" spans="1:7">
      <c r="A108" s="183"/>
      <c r="B108" s="650" t="s">
        <v>852</v>
      </c>
      <c r="C108" s="651" t="s">
        <v>796</v>
      </c>
      <c r="D108" s="652">
        <v>0</v>
      </c>
      <c r="E108" s="652">
        <v>27.7379</v>
      </c>
      <c r="F108" s="653">
        <v>0</v>
      </c>
      <c r="G108" s="654">
        <v>27.7379</v>
      </c>
    </row>
    <row r="109" spans="1:7">
      <c r="A109" s="183"/>
      <c r="B109" s="650" t="s">
        <v>492</v>
      </c>
      <c r="C109" s="651" t="s">
        <v>796</v>
      </c>
      <c r="D109" s="652">
        <v>0</v>
      </c>
      <c r="E109" s="652">
        <v>41.03004</v>
      </c>
      <c r="F109" s="653">
        <v>0</v>
      </c>
      <c r="G109" s="654">
        <v>41.03004</v>
      </c>
    </row>
    <row r="110" spans="1:7">
      <c r="A110" s="183"/>
      <c r="B110" s="650" t="s">
        <v>486</v>
      </c>
      <c r="C110" s="651" t="s">
        <v>796</v>
      </c>
      <c r="D110" s="652">
        <v>0</v>
      </c>
      <c r="E110" s="652">
        <v>501.22017</v>
      </c>
      <c r="F110" s="653">
        <v>0</v>
      </c>
      <c r="G110" s="654">
        <v>501.22017</v>
      </c>
    </row>
    <row r="111" spans="1:7">
      <c r="A111" s="183"/>
      <c r="B111" s="650" t="s">
        <v>485</v>
      </c>
      <c r="C111" s="651" t="s">
        <v>796</v>
      </c>
      <c r="D111" s="652">
        <v>7.0000000000000001E-3</v>
      </c>
      <c r="E111" s="652">
        <v>242.21740944241483</v>
      </c>
      <c r="F111" s="653">
        <v>1.0390557585205479E-2</v>
      </c>
      <c r="G111" s="654">
        <v>242.23480000000004</v>
      </c>
    </row>
    <row r="112" spans="1:7">
      <c r="A112" s="183"/>
      <c r="B112" s="650" t="s">
        <v>500</v>
      </c>
      <c r="C112" s="651" t="s">
        <v>796</v>
      </c>
      <c r="D112" s="652">
        <v>0.35599999999999998</v>
      </c>
      <c r="E112" s="652">
        <v>0.27767533336639405</v>
      </c>
      <c r="F112" s="653">
        <v>0.32443466663360598</v>
      </c>
      <c r="G112" s="654">
        <v>0.95811000000000002</v>
      </c>
    </row>
    <row r="113" spans="1:7">
      <c r="A113" s="183"/>
      <c r="B113" s="650" t="s">
        <v>477</v>
      </c>
      <c r="C113" s="651" t="s">
        <v>796</v>
      </c>
      <c r="D113" s="652">
        <v>2</v>
      </c>
      <c r="E113" s="652">
        <v>2.1488100000000001</v>
      </c>
      <c r="F113" s="653">
        <v>0</v>
      </c>
      <c r="G113" s="654">
        <v>4.1488100000000001</v>
      </c>
    </row>
    <row r="114" spans="1:7">
      <c r="A114" s="183"/>
      <c r="B114" s="650" t="s">
        <v>482</v>
      </c>
      <c r="C114" s="651" t="s">
        <v>796</v>
      </c>
      <c r="D114" s="652">
        <v>63</v>
      </c>
      <c r="E114" s="652">
        <v>0</v>
      </c>
      <c r="F114" s="653">
        <v>0</v>
      </c>
      <c r="G114" s="654">
        <v>63</v>
      </c>
    </row>
    <row r="115" spans="1:7">
      <c r="A115" s="183"/>
      <c r="B115" s="650" t="s">
        <v>137</v>
      </c>
      <c r="C115" s="651" t="s">
        <v>218</v>
      </c>
      <c r="D115" s="652">
        <v>184.14510634379891</v>
      </c>
      <c r="E115" s="652">
        <v>44.194825522511692</v>
      </c>
      <c r="F115" s="653">
        <v>122.4564957186263</v>
      </c>
      <c r="G115" s="654">
        <v>350.79642758493691</v>
      </c>
    </row>
    <row r="116" spans="1:7">
      <c r="A116" s="183"/>
      <c r="B116" s="650" t="s">
        <v>467</v>
      </c>
      <c r="C116" s="651" t="s">
        <v>218</v>
      </c>
      <c r="D116" s="652">
        <v>184.14510634379891</v>
      </c>
      <c r="E116" s="652">
        <v>51.560629817184825</v>
      </c>
      <c r="F116" s="653">
        <v>43.164124441170756</v>
      </c>
      <c r="G116" s="654">
        <v>278.86986060215452</v>
      </c>
    </row>
    <row r="117" spans="1:7">
      <c r="A117" s="183"/>
      <c r="B117" s="650" t="s">
        <v>462</v>
      </c>
      <c r="C117" s="651" t="s">
        <v>183</v>
      </c>
      <c r="D117" s="652">
        <v>196.92283376303104</v>
      </c>
      <c r="E117" s="652">
        <v>239.1862123080372</v>
      </c>
      <c r="F117" s="653">
        <v>0</v>
      </c>
      <c r="G117" s="654">
        <v>436.10904607106824</v>
      </c>
    </row>
    <row r="118" spans="1:7">
      <c r="A118" s="183"/>
      <c r="B118" s="650" t="s">
        <v>480</v>
      </c>
      <c r="C118" s="651" t="s">
        <v>796</v>
      </c>
      <c r="D118" s="652">
        <v>226.792</v>
      </c>
      <c r="E118" s="652">
        <v>42.171479441395533</v>
      </c>
      <c r="F118" s="653">
        <v>210.70126055860447</v>
      </c>
      <c r="G118" s="654">
        <v>479.66473999999999</v>
      </c>
    </row>
    <row r="119" spans="1:7">
      <c r="A119" s="183"/>
      <c r="B119" s="650" t="s">
        <v>476</v>
      </c>
      <c r="C119" s="651" t="s">
        <v>796</v>
      </c>
      <c r="D119" s="652">
        <v>314</v>
      </c>
      <c r="E119" s="652">
        <v>807.95402726027373</v>
      </c>
      <c r="F119" s="653">
        <v>3503.3066027397263</v>
      </c>
      <c r="G119" s="654">
        <v>4625.2606299999998</v>
      </c>
    </row>
    <row r="120" spans="1:7">
      <c r="A120" s="183"/>
      <c r="B120" s="650" t="s">
        <v>483</v>
      </c>
      <c r="C120" s="651" t="s">
        <v>796</v>
      </c>
      <c r="D120" s="652">
        <v>376</v>
      </c>
      <c r="E120" s="652">
        <v>558.83000000000004</v>
      </c>
      <c r="F120" s="653">
        <v>0</v>
      </c>
      <c r="G120" s="654">
        <v>934.83</v>
      </c>
    </row>
    <row r="121" spans="1:7">
      <c r="A121" s="183"/>
      <c r="B121" s="650" t="s">
        <v>475</v>
      </c>
      <c r="C121" s="651" t="s">
        <v>796</v>
      </c>
      <c r="D121" s="652">
        <v>458.30852000000004</v>
      </c>
      <c r="E121" s="652">
        <v>63.603018088888376</v>
      </c>
      <c r="F121" s="653">
        <v>1227.7576019111118</v>
      </c>
      <c r="G121" s="654">
        <v>1749.6691400000002</v>
      </c>
    </row>
    <row r="122" spans="1:7">
      <c r="A122" s="183"/>
      <c r="B122" s="650" t="s">
        <v>144</v>
      </c>
      <c r="C122" s="651" t="s">
        <v>218</v>
      </c>
      <c r="D122" s="652">
        <v>828.65297854709513</v>
      </c>
      <c r="E122" s="652">
        <v>89.494521683086219</v>
      </c>
      <c r="F122" s="653">
        <v>552.50437344627585</v>
      </c>
      <c r="G122" s="654">
        <v>1470.6518736764572</v>
      </c>
    </row>
    <row r="123" spans="1:7">
      <c r="A123" s="183"/>
      <c r="B123" s="650" t="s">
        <v>210</v>
      </c>
      <c r="C123" s="651" t="s">
        <v>183</v>
      </c>
      <c r="D123" s="652">
        <v>847.99910323954714</v>
      </c>
      <c r="E123" s="652">
        <v>241.67974462152344</v>
      </c>
      <c r="F123" s="653">
        <v>978.13163302672217</v>
      </c>
      <c r="G123" s="654">
        <v>2067.8104808877929</v>
      </c>
    </row>
    <row r="124" spans="1:7">
      <c r="A124" s="183"/>
      <c r="B124" s="650" t="s">
        <v>212</v>
      </c>
      <c r="C124" s="651" t="s">
        <v>183</v>
      </c>
      <c r="D124" s="652">
        <v>1179.4641856294138</v>
      </c>
      <c r="E124" s="652">
        <v>849.21421365317804</v>
      </c>
      <c r="F124" s="653">
        <v>733.03699136868056</v>
      </c>
      <c r="G124" s="654">
        <v>2761.7153906512722</v>
      </c>
    </row>
    <row r="125" spans="1:7">
      <c r="A125" s="183"/>
      <c r="B125" s="650" t="s">
        <v>196</v>
      </c>
      <c r="C125" s="651" t="s">
        <v>183</v>
      </c>
      <c r="D125" s="652">
        <v>1246.2274969173861</v>
      </c>
      <c r="E125" s="652">
        <v>747.73650292116395</v>
      </c>
      <c r="F125" s="653">
        <v>1159.3377488443332</v>
      </c>
      <c r="G125" s="654">
        <v>3153.301748682883</v>
      </c>
    </row>
    <row r="126" spans="1:7">
      <c r="A126" s="183"/>
      <c r="B126" s="650" t="s">
        <v>216</v>
      </c>
      <c r="C126" s="651" t="s">
        <v>217</v>
      </c>
      <c r="D126" s="652">
        <v>1341.8102505287022</v>
      </c>
      <c r="E126" s="652">
        <v>805.08615031722138</v>
      </c>
      <c r="F126" s="653">
        <v>1184.1475460915799</v>
      </c>
      <c r="G126" s="654">
        <v>3331.0439469375033</v>
      </c>
    </row>
    <row r="127" spans="1:7">
      <c r="A127" s="183"/>
      <c r="B127" s="650" t="s">
        <v>205</v>
      </c>
      <c r="C127" s="651" t="s">
        <v>183</v>
      </c>
      <c r="D127" s="652">
        <v>1428.2308149310616</v>
      </c>
      <c r="E127" s="652">
        <v>799.80926065588028</v>
      </c>
      <c r="F127" s="653">
        <v>931.84126058613265</v>
      </c>
      <c r="G127" s="654">
        <v>3159.8813361730745</v>
      </c>
    </row>
    <row r="128" spans="1:7">
      <c r="A128" s="183"/>
      <c r="B128" s="650" t="s">
        <v>209</v>
      </c>
      <c r="C128" s="651" t="s">
        <v>183</v>
      </c>
      <c r="D128" s="652">
        <v>1498.2518327541754</v>
      </c>
      <c r="E128" s="652">
        <v>958.88117848404931</v>
      </c>
      <c r="F128" s="653">
        <v>776.42739678778116</v>
      </c>
      <c r="G128" s="654">
        <v>3233.5604080260059</v>
      </c>
    </row>
    <row r="129" spans="1:7">
      <c r="A129" s="183"/>
      <c r="B129" s="650" t="s">
        <v>197</v>
      </c>
      <c r="C129" s="651" t="s">
        <v>183</v>
      </c>
      <c r="D129" s="652">
        <v>1596.6686918506891</v>
      </c>
      <c r="E129" s="652">
        <v>176.78942839709796</v>
      </c>
      <c r="F129" s="653">
        <v>629.78996853149749</v>
      </c>
      <c r="G129" s="654">
        <v>2403.2480887792844</v>
      </c>
    </row>
    <row r="130" spans="1:7">
      <c r="A130" s="183"/>
      <c r="B130" s="650" t="s">
        <v>199</v>
      </c>
      <c r="C130" s="651" t="s">
        <v>183</v>
      </c>
      <c r="D130" s="652">
        <v>1965.4424167694206</v>
      </c>
      <c r="E130" s="652">
        <v>412.74291234375812</v>
      </c>
      <c r="F130" s="653">
        <v>1665.1119021389234</v>
      </c>
      <c r="G130" s="654">
        <v>4043.2972312521024</v>
      </c>
    </row>
    <row r="131" spans="1:7">
      <c r="A131" s="183"/>
      <c r="B131" s="650" t="s">
        <v>457</v>
      </c>
      <c r="C131" s="651" t="s">
        <v>183</v>
      </c>
      <c r="D131" s="652">
        <v>2081.6052012106265</v>
      </c>
      <c r="E131" s="652">
        <v>1248.9631202147411</v>
      </c>
      <c r="F131" s="653">
        <v>1909.2945526918841</v>
      </c>
      <c r="G131" s="654">
        <v>5239.8628741172515</v>
      </c>
    </row>
    <row r="132" spans="1:7">
      <c r="A132" s="183"/>
      <c r="B132" s="650" t="s">
        <v>211</v>
      </c>
      <c r="C132" s="651" t="s">
        <v>183</v>
      </c>
      <c r="D132" s="652">
        <v>2118.5965698912678</v>
      </c>
      <c r="E132" s="652">
        <v>1186.4140792624557</v>
      </c>
      <c r="F132" s="653">
        <v>1382.8340991928746</v>
      </c>
      <c r="G132" s="654">
        <v>4687.844748346598</v>
      </c>
    </row>
    <row r="133" spans="1:7">
      <c r="A133" s="183"/>
      <c r="B133" s="650" t="s">
        <v>213</v>
      </c>
      <c r="C133" s="651" t="s">
        <v>183</v>
      </c>
      <c r="D133" s="652">
        <v>2166.797444232709</v>
      </c>
      <c r="E133" s="652">
        <v>154.38432373666566</v>
      </c>
      <c r="F133" s="653">
        <v>2141.0778553912346</v>
      </c>
      <c r="G133" s="654">
        <v>4462.2596233606091</v>
      </c>
    </row>
    <row r="134" spans="1:7">
      <c r="A134" s="183"/>
      <c r="B134" s="650" t="s">
        <v>488</v>
      </c>
      <c r="C134" s="651" t="s">
        <v>796</v>
      </c>
      <c r="D134" s="652">
        <v>2185.998</v>
      </c>
      <c r="E134" s="652">
        <v>3803.63652</v>
      </c>
      <c r="F134" s="653">
        <v>0</v>
      </c>
      <c r="G134" s="654">
        <v>5989.6345199999996</v>
      </c>
    </row>
    <row r="135" spans="1:7">
      <c r="A135" s="183"/>
      <c r="B135" s="650" t="s">
        <v>458</v>
      </c>
      <c r="C135" s="651" t="s">
        <v>183</v>
      </c>
      <c r="D135" s="652">
        <v>2234.0625154130703</v>
      </c>
      <c r="E135" s="652">
        <v>1022.0836114870901</v>
      </c>
      <c r="F135" s="653">
        <v>1481.5480329473901</v>
      </c>
      <c r="G135" s="654">
        <v>4737.6941598475505</v>
      </c>
    </row>
    <row r="136" spans="1:7">
      <c r="A136" s="183"/>
      <c r="B136" s="650" t="s">
        <v>463</v>
      </c>
      <c r="C136" s="651" t="s">
        <v>183</v>
      </c>
      <c r="D136" s="652">
        <v>2275.3189104360495</v>
      </c>
      <c r="E136" s="652">
        <v>1740.6189588385687</v>
      </c>
      <c r="F136" s="653">
        <v>1108.3015209282737</v>
      </c>
      <c r="G136" s="654">
        <v>5124.2393902028916</v>
      </c>
    </row>
    <row r="137" spans="1:7">
      <c r="A137" s="183"/>
      <c r="B137" s="650" t="s">
        <v>195</v>
      </c>
      <c r="C137" s="651" t="s">
        <v>183</v>
      </c>
      <c r="D137" s="652">
        <v>2310.2873220490978</v>
      </c>
      <c r="E137" s="652">
        <v>508.26321967823742</v>
      </c>
      <c r="F137" s="653">
        <v>3169.5858555375448</v>
      </c>
      <c r="G137" s="654">
        <v>5988.1363972648796</v>
      </c>
    </row>
    <row r="138" spans="1:7">
      <c r="A138" s="183"/>
      <c r="B138" s="650" t="s">
        <v>465</v>
      </c>
      <c r="C138" s="651" t="s">
        <v>183</v>
      </c>
      <c r="D138" s="652">
        <v>2760.6860217464409</v>
      </c>
      <c r="E138" s="652">
        <v>579.74406189862282</v>
      </c>
      <c r="F138" s="653">
        <v>2338.0363326759766</v>
      </c>
      <c r="G138" s="654">
        <v>5678.46641632104</v>
      </c>
    </row>
    <row r="139" spans="1:7">
      <c r="A139" s="183"/>
      <c r="B139" s="650" t="s">
        <v>464</v>
      </c>
      <c r="C139" s="651" t="s">
        <v>183</v>
      </c>
      <c r="D139" s="652">
        <v>2867.4039121174751</v>
      </c>
      <c r="E139" s="652">
        <v>559.1770161272018</v>
      </c>
      <c r="F139" s="653">
        <v>1282.5156640656019</v>
      </c>
      <c r="G139" s="654">
        <v>4709.0965923102794</v>
      </c>
    </row>
    <row r="140" spans="1:7">
      <c r="A140" s="183"/>
      <c r="B140" s="650" t="s">
        <v>138</v>
      </c>
      <c r="C140" s="651" t="s">
        <v>218</v>
      </c>
      <c r="D140" s="652">
        <v>3029.1869993554924</v>
      </c>
      <c r="E140" s="652">
        <v>151.45934995754425</v>
      </c>
      <c r="F140" s="653">
        <v>2021.1408812366367</v>
      </c>
      <c r="G140" s="654">
        <v>5201.787230549673</v>
      </c>
    </row>
    <row r="141" spans="1:7">
      <c r="A141" s="183"/>
      <c r="B141" s="650" t="s">
        <v>198</v>
      </c>
      <c r="C141" s="651" t="s">
        <v>183</v>
      </c>
      <c r="D141" s="652">
        <v>3168.6366662930168</v>
      </c>
      <c r="E141" s="652">
        <v>665.41368565497294</v>
      </c>
      <c r="F141" s="653">
        <v>2682.6030052989558</v>
      </c>
      <c r="G141" s="654">
        <v>6516.6533572469452</v>
      </c>
    </row>
    <row r="142" spans="1:7">
      <c r="A142" s="183"/>
      <c r="B142" s="650" t="s">
        <v>214</v>
      </c>
      <c r="C142" s="651" t="s">
        <v>183</v>
      </c>
      <c r="D142" s="652">
        <v>3205.9186189889028</v>
      </c>
      <c r="E142" s="652">
        <v>487.44487441958864</v>
      </c>
      <c r="F142" s="653">
        <v>2671.792800728937</v>
      </c>
      <c r="G142" s="654">
        <v>6365.1562941374286</v>
      </c>
    </row>
    <row r="143" spans="1:7">
      <c r="A143" s="183"/>
      <c r="B143" s="650" t="s">
        <v>479</v>
      </c>
      <c r="C143" s="651" t="s">
        <v>796</v>
      </c>
      <c r="D143" s="652">
        <v>3260.998</v>
      </c>
      <c r="E143" s="652">
        <v>5733.2420700000002</v>
      </c>
      <c r="F143" s="653">
        <v>0</v>
      </c>
      <c r="G143" s="654">
        <v>8994.2400699999998</v>
      </c>
    </row>
    <row r="144" spans="1:7">
      <c r="A144" s="183"/>
      <c r="B144" s="650" t="s">
        <v>461</v>
      </c>
      <c r="C144" s="651" t="s">
        <v>183</v>
      </c>
      <c r="D144" s="652">
        <v>4049.9857527183053</v>
      </c>
      <c r="E144" s="652">
        <v>303.74893401251791</v>
      </c>
      <c r="F144" s="653">
        <v>4226.3288823757794</v>
      </c>
      <c r="G144" s="654">
        <v>8580.0635691066018</v>
      </c>
    </row>
    <row r="145" spans="1:7">
      <c r="A145" s="183"/>
      <c r="B145" s="650" t="s">
        <v>194</v>
      </c>
      <c r="C145" s="651" t="s">
        <v>183</v>
      </c>
      <c r="D145" s="652">
        <v>4192.7283936778385</v>
      </c>
      <c r="E145" s="652">
        <v>1509.3822262283707</v>
      </c>
      <c r="F145" s="653">
        <v>4117.2592825710917</v>
      </c>
      <c r="G145" s="654">
        <v>9819.3699024773014</v>
      </c>
    </row>
    <row r="146" spans="1:7">
      <c r="A146" s="183"/>
      <c r="B146" s="650" t="s">
        <v>206</v>
      </c>
      <c r="C146" s="651" t="s">
        <v>183</v>
      </c>
      <c r="D146" s="652">
        <v>4308.2827037327652</v>
      </c>
      <c r="E146" s="652">
        <v>2450.3357861192371</v>
      </c>
      <c r="F146" s="653">
        <v>2803.3008241262514</v>
      </c>
      <c r="G146" s="654">
        <v>9561.9193139782546</v>
      </c>
    </row>
    <row r="147" spans="1:7">
      <c r="A147" s="183"/>
      <c r="B147" s="650" t="s">
        <v>146</v>
      </c>
      <c r="C147" s="651" t="s">
        <v>218</v>
      </c>
      <c r="D147" s="652">
        <v>4778.5655096215824</v>
      </c>
      <c r="E147" s="652">
        <v>612.25370585888356</v>
      </c>
      <c r="F147" s="653">
        <v>2904.8036936439248</v>
      </c>
      <c r="G147" s="654">
        <v>8295.6229091243913</v>
      </c>
    </row>
    <row r="148" spans="1:7">
      <c r="A148" s="183"/>
      <c r="B148" s="650" t="s">
        <v>207</v>
      </c>
      <c r="C148" s="651" t="s">
        <v>183</v>
      </c>
      <c r="D148" s="652">
        <v>6477.9733213765276</v>
      </c>
      <c r="E148" s="652">
        <v>518.2378694674743</v>
      </c>
      <c r="F148" s="653">
        <v>7337.3844486582957</v>
      </c>
      <c r="G148" s="654">
        <v>14333.595639502299</v>
      </c>
    </row>
    <row r="149" spans="1:7">
      <c r="A149" s="183"/>
      <c r="B149" s="650" t="s">
        <v>501</v>
      </c>
      <c r="C149" s="651" t="s">
        <v>796</v>
      </c>
      <c r="D149" s="652">
        <v>6777</v>
      </c>
      <c r="E149" s="652">
        <v>2144.3133975047258</v>
      </c>
      <c r="F149" s="653">
        <v>5095.4061124952732</v>
      </c>
      <c r="G149" s="654">
        <v>14016.719509999999</v>
      </c>
    </row>
    <row r="150" spans="1:7">
      <c r="A150" s="183"/>
      <c r="B150" s="650" t="s">
        <v>469</v>
      </c>
      <c r="C150" s="651" t="s">
        <v>796</v>
      </c>
      <c r="D150" s="652">
        <v>7217</v>
      </c>
      <c r="E150" s="652">
        <v>5629.2599994175844</v>
      </c>
      <c r="F150" s="653">
        <v>6074.2259205824148</v>
      </c>
      <c r="G150" s="654">
        <v>18920.485919999999</v>
      </c>
    </row>
    <row r="151" spans="1:7">
      <c r="A151" s="183"/>
      <c r="B151" s="650" t="s">
        <v>203</v>
      </c>
      <c r="C151" s="651" t="s">
        <v>183</v>
      </c>
      <c r="D151" s="652">
        <v>7935.025333482793</v>
      </c>
      <c r="E151" s="652">
        <v>1428.3045467735692</v>
      </c>
      <c r="F151" s="653">
        <v>8992.3674630907935</v>
      </c>
      <c r="G151" s="654">
        <v>18355.697343347158</v>
      </c>
    </row>
    <row r="152" spans="1:7">
      <c r="A152" s="183"/>
      <c r="B152" s="650" t="s">
        <v>468</v>
      </c>
      <c r="C152" s="651" t="s">
        <v>218</v>
      </c>
      <c r="D152" s="652">
        <v>8148.4209557131016</v>
      </c>
      <c r="E152" s="652">
        <v>1580.7936654390326</v>
      </c>
      <c r="F152" s="653">
        <v>4180.3210263020583</v>
      </c>
      <c r="G152" s="654">
        <v>13909.535647454191</v>
      </c>
    </row>
    <row r="153" spans="1:7">
      <c r="A153" s="183"/>
      <c r="B153" s="650" t="s">
        <v>491</v>
      </c>
      <c r="C153" s="651" t="s">
        <v>796</v>
      </c>
      <c r="D153" s="652">
        <v>8194.0010000000002</v>
      </c>
      <c r="E153" s="652">
        <v>12997.73408645945</v>
      </c>
      <c r="F153" s="653">
        <v>826.39914354055065</v>
      </c>
      <c r="G153" s="654">
        <v>22018.13423</v>
      </c>
    </row>
    <row r="154" spans="1:7">
      <c r="A154" s="183"/>
      <c r="B154" s="650" t="s">
        <v>466</v>
      </c>
      <c r="C154" s="651" t="s">
        <v>183</v>
      </c>
      <c r="D154" s="652">
        <v>8288.3084855957859</v>
      </c>
      <c r="E154" s="652">
        <v>2113.518665715781</v>
      </c>
      <c r="F154" s="653">
        <v>8319.0442980775151</v>
      </c>
      <c r="G154" s="654">
        <v>18720.87144938908</v>
      </c>
    </row>
    <row r="155" spans="1:7">
      <c r="A155" s="183"/>
      <c r="B155" s="650" t="s">
        <v>497</v>
      </c>
      <c r="C155" s="651" t="s">
        <v>796</v>
      </c>
      <c r="D155" s="652">
        <v>8385.848</v>
      </c>
      <c r="E155" s="652">
        <v>5692.5442271522825</v>
      </c>
      <c r="F155" s="653">
        <v>9542.7456128477188</v>
      </c>
      <c r="G155" s="654">
        <v>23621.137840000003</v>
      </c>
    </row>
    <row r="156" spans="1:7">
      <c r="A156" s="183"/>
      <c r="B156" s="650" t="s">
        <v>489</v>
      </c>
      <c r="C156" s="651" t="s">
        <v>796</v>
      </c>
      <c r="D156" s="652">
        <v>8526.9989999999998</v>
      </c>
      <c r="E156" s="652">
        <v>8244.5421587454948</v>
      </c>
      <c r="F156" s="653">
        <v>5922.060021254505</v>
      </c>
      <c r="G156" s="654">
        <v>22693.601179999998</v>
      </c>
    </row>
    <row r="157" spans="1:7">
      <c r="A157" s="183"/>
      <c r="B157" s="650" t="s">
        <v>456</v>
      </c>
      <c r="C157" s="651" t="s">
        <v>183</v>
      </c>
      <c r="D157" s="652">
        <v>8551.171393341554</v>
      </c>
      <c r="E157" s="652">
        <v>2372.9500588566229</v>
      </c>
      <c r="F157" s="653">
        <v>9302.8431145544309</v>
      </c>
      <c r="G157" s="654">
        <v>20226.964566752606</v>
      </c>
    </row>
    <row r="158" spans="1:7">
      <c r="A158" s="183"/>
      <c r="B158" s="650" t="s">
        <v>481</v>
      </c>
      <c r="C158" s="651" t="s">
        <v>796</v>
      </c>
      <c r="D158" s="652">
        <v>9889.01</v>
      </c>
      <c r="E158" s="652">
        <v>8714.9480979219315</v>
      </c>
      <c r="F158" s="653">
        <v>8182.1256720780657</v>
      </c>
      <c r="G158" s="654">
        <v>26786.083769999997</v>
      </c>
    </row>
    <row r="159" spans="1:7">
      <c r="A159" s="183"/>
      <c r="B159" s="650" t="s">
        <v>472</v>
      </c>
      <c r="C159" s="651" t="s">
        <v>796</v>
      </c>
      <c r="D159" s="652">
        <v>10584.027</v>
      </c>
      <c r="E159" s="652">
        <v>5821.2148627077022</v>
      </c>
      <c r="F159" s="653">
        <v>11108.818337292298</v>
      </c>
      <c r="G159" s="654">
        <v>27514.0602</v>
      </c>
    </row>
    <row r="160" spans="1:7">
      <c r="A160" s="183"/>
      <c r="B160" s="650" t="s">
        <v>208</v>
      </c>
      <c r="C160" s="651" t="s">
        <v>183</v>
      </c>
      <c r="D160" s="652">
        <v>11929.155924223742</v>
      </c>
      <c r="E160" s="652">
        <v>6680.3273133330658</v>
      </c>
      <c r="F160" s="653">
        <v>7786.3071446873328</v>
      </c>
      <c r="G160" s="654">
        <v>26395.79038224414</v>
      </c>
    </row>
    <row r="161" spans="1:7">
      <c r="A161" s="183"/>
      <c r="B161" s="650" t="s">
        <v>519</v>
      </c>
      <c r="C161" s="651" t="s">
        <v>183</v>
      </c>
      <c r="D161" s="652">
        <v>12941.914538728843</v>
      </c>
      <c r="E161" s="652">
        <v>21742.416444344803</v>
      </c>
      <c r="F161" s="653">
        <v>0</v>
      </c>
      <c r="G161" s="654">
        <v>34684.330983073647</v>
      </c>
    </row>
    <row r="162" spans="1:7">
      <c r="A162" s="183"/>
      <c r="B162" s="650" t="s">
        <v>204</v>
      </c>
      <c r="C162" s="651" t="s">
        <v>183</v>
      </c>
      <c r="D162" s="652">
        <v>15531.329111086201</v>
      </c>
      <c r="E162" s="652">
        <v>25549.036386055373</v>
      </c>
      <c r="F162" s="653">
        <v>0</v>
      </c>
      <c r="G162" s="654">
        <v>41080.365497141574</v>
      </c>
    </row>
    <row r="163" spans="1:7">
      <c r="A163" s="183"/>
      <c r="B163" s="650" t="s">
        <v>478</v>
      </c>
      <c r="C163" s="651" t="s">
        <v>796</v>
      </c>
      <c r="D163" s="652">
        <v>17632.364610000001</v>
      </c>
      <c r="E163" s="652">
        <v>7758.2404180908843</v>
      </c>
      <c r="F163" s="653">
        <v>20139.099111909116</v>
      </c>
      <c r="G163" s="654">
        <v>45529.704140000002</v>
      </c>
    </row>
    <row r="164" spans="1:7">
      <c r="A164" s="183"/>
      <c r="B164" s="650" t="s">
        <v>460</v>
      </c>
      <c r="C164" s="651" t="s">
        <v>183</v>
      </c>
      <c r="D164" s="652">
        <v>19132.896401748683</v>
      </c>
      <c r="E164" s="652">
        <v>6505.1847708244595</v>
      </c>
      <c r="F164" s="653">
        <v>18164.824981445461</v>
      </c>
      <c r="G164" s="654">
        <v>43802.906154018609</v>
      </c>
    </row>
    <row r="165" spans="1:7">
      <c r="A165" s="183"/>
      <c r="B165" s="650" t="s">
        <v>201</v>
      </c>
      <c r="C165" s="651" t="s">
        <v>183</v>
      </c>
      <c r="D165" s="652">
        <v>19949.610839591973</v>
      </c>
      <c r="E165" s="652">
        <v>11221.656084721588</v>
      </c>
      <c r="F165" s="653">
        <v>22518.123233740462</v>
      </c>
      <c r="G165" s="654">
        <v>53689.390158054026</v>
      </c>
    </row>
    <row r="166" spans="1:7">
      <c r="A166" s="183"/>
      <c r="B166" s="650" t="s">
        <v>853</v>
      </c>
      <c r="C166" s="651" t="s">
        <v>796</v>
      </c>
      <c r="D166" s="652">
        <v>21692.86678</v>
      </c>
      <c r="E166" s="652">
        <v>2899.9203783335529</v>
      </c>
      <c r="F166" s="653">
        <v>5360.3499716664464</v>
      </c>
      <c r="G166" s="654">
        <v>29953.137130000003</v>
      </c>
    </row>
    <row r="167" spans="1:7">
      <c r="A167" s="183"/>
      <c r="B167" s="650" t="s">
        <v>470</v>
      </c>
      <c r="C167" s="651" t="s">
        <v>796</v>
      </c>
      <c r="D167" s="652">
        <v>26591.737000000001</v>
      </c>
      <c r="E167" s="652">
        <v>1543.5035454878771</v>
      </c>
      <c r="F167" s="653">
        <v>8038.6121145121233</v>
      </c>
      <c r="G167" s="654">
        <v>36173.852660000004</v>
      </c>
    </row>
    <row r="168" spans="1:7">
      <c r="A168" s="183"/>
      <c r="B168" s="650" t="s">
        <v>200</v>
      </c>
      <c r="C168" s="651" t="s">
        <v>183</v>
      </c>
      <c r="D168" s="652">
        <v>27914.439121174757</v>
      </c>
      <c r="E168" s="652">
        <v>5722.4600153951787</v>
      </c>
      <c r="F168" s="653">
        <v>37823.871158240065</v>
      </c>
      <c r="G168" s="654">
        <v>71460.770294810005</v>
      </c>
    </row>
    <row r="169" spans="1:7">
      <c r="A169" s="183"/>
      <c r="B169" s="650" t="s">
        <v>459</v>
      </c>
      <c r="C169" s="651" t="s">
        <v>183</v>
      </c>
      <c r="D169" s="652">
        <v>28720.837092254231</v>
      </c>
      <c r="E169" s="652">
        <v>3015.6878958272441</v>
      </c>
      <c r="F169" s="653">
        <v>40552.625275341903</v>
      </c>
      <c r="G169" s="654">
        <v>72289.150263423377</v>
      </c>
    </row>
    <row r="170" spans="1:7">
      <c r="A170" s="183"/>
      <c r="B170" s="650" t="s">
        <v>215</v>
      </c>
      <c r="C170" s="651" t="s">
        <v>183</v>
      </c>
      <c r="D170" s="652">
        <v>34841.105257258154</v>
      </c>
      <c r="E170" s="652">
        <v>3222.8022348261088</v>
      </c>
      <c r="F170" s="653">
        <v>43543.639105830771</v>
      </c>
      <c r="G170" s="654">
        <v>81607.546597915032</v>
      </c>
    </row>
    <row r="171" spans="1:7">
      <c r="A171" s="183"/>
      <c r="B171" s="650" t="s">
        <v>484</v>
      </c>
      <c r="C171" s="651" t="s">
        <v>796</v>
      </c>
      <c r="D171" s="652">
        <v>35578.000999999997</v>
      </c>
      <c r="E171" s="652">
        <v>37755.360270214383</v>
      </c>
      <c r="F171" s="653">
        <v>18369.366639785618</v>
      </c>
      <c r="G171" s="654">
        <v>91702.727909999987</v>
      </c>
    </row>
    <row r="172" spans="1:7">
      <c r="A172" s="183"/>
      <c r="B172" s="650" t="s">
        <v>202</v>
      </c>
      <c r="C172" s="651" t="s">
        <v>183</v>
      </c>
      <c r="D172" s="652">
        <v>37224.983387512606</v>
      </c>
      <c r="E172" s="652">
        <v>43739.355471200077</v>
      </c>
      <c r="F172" s="653">
        <v>21541.632579466888</v>
      </c>
      <c r="G172" s="654">
        <v>102505.97143817958</v>
      </c>
    </row>
    <row r="173" spans="1:7">
      <c r="A173" s="183"/>
      <c r="B173" s="650" t="s">
        <v>474</v>
      </c>
      <c r="C173" s="651" t="s">
        <v>796</v>
      </c>
      <c r="D173" s="652">
        <v>51551.826000000001</v>
      </c>
      <c r="E173" s="652">
        <v>72881.394050000003</v>
      </c>
      <c r="F173" s="653">
        <v>0</v>
      </c>
      <c r="G173" s="654">
        <v>124433.22005</v>
      </c>
    </row>
    <row r="174" spans="1:7">
      <c r="A174" s="183"/>
      <c r="B174" s="650" t="s">
        <v>471</v>
      </c>
      <c r="C174" s="651" t="s">
        <v>796</v>
      </c>
      <c r="D174" s="652">
        <v>53029.004000000001</v>
      </c>
      <c r="E174" s="652">
        <v>8871.3659613561849</v>
      </c>
      <c r="F174" s="653">
        <v>54836.22508864382</v>
      </c>
      <c r="G174" s="654">
        <v>116736.59505</v>
      </c>
    </row>
    <row r="175" spans="1:7">
      <c r="A175" s="183"/>
      <c r="B175" s="650" t="s">
        <v>499</v>
      </c>
      <c r="C175" s="651" t="s">
        <v>796</v>
      </c>
      <c r="D175" s="652">
        <v>58417.519240000001</v>
      </c>
      <c r="E175" s="652">
        <v>66595.971820000006</v>
      </c>
      <c r="F175" s="653">
        <v>0</v>
      </c>
      <c r="G175" s="654">
        <v>125013.49106</v>
      </c>
    </row>
    <row r="176" spans="1:7">
      <c r="A176" s="183"/>
      <c r="B176" s="650" t="s">
        <v>498</v>
      </c>
      <c r="C176" s="651" t="s">
        <v>796</v>
      </c>
      <c r="D176" s="652">
        <v>110804.33284</v>
      </c>
      <c r="E176" s="652">
        <v>128948.54235999999</v>
      </c>
      <c r="F176" s="653">
        <v>0</v>
      </c>
      <c r="G176" s="654">
        <v>239752.87520000001</v>
      </c>
    </row>
    <row r="177" spans="1:7">
      <c r="A177" s="183"/>
      <c r="B177" s="650" t="s">
        <v>473</v>
      </c>
      <c r="C177" s="651" t="s">
        <v>796</v>
      </c>
      <c r="D177" s="652">
        <v>181636.8</v>
      </c>
      <c r="E177" s="652">
        <v>297405.42350999999</v>
      </c>
      <c r="F177" s="653">
        <v>0</v>
      </c>
      <c r="G177" s="654">
        <v>479042.22350999998</v>
      </c>
    </row>
    <row r="178" spans="1:7" ht="13.5" thickBot="1">
      <c r="B178" s="663"/>
      <c r="C178" s="664"/>
      <c r="D178" s="652"/>
      <c r="E178" s="679"/>
      <c r="F178" s="680"/>
      <c r="G178" s="673"/>
    </row>
    <row r="179" spans="1:7" s="412" customFormat="1" ht="16.5" thickTop="1" thickBot="1">
      <c r="B179" s="1414" t="s">
        <v>280</v>
      </c>
      <c r="C179" s="1415"/>
      <c r="D179" s="322">
        <f>+D61+D17+D34</f>
        <v>1058079.729893059</v>
      </c>
      <c r="E179" s="323">
        <f>+E61+E17+E34</f>
        <v>863857.57424173201</v>
      </c>
      <c r="F179" s="324">
        <f>+F61+F17+F34</f>
        <v>513272.215248411</v>
      </c>
      <c r="G179" s="325">
        <f>+D179+E179+F179</f>
        <v>2435209.5193832018</v>
      </c>
    </row>
    <row r="180" spans="1:7" ht="13.5" thickTop="1">
      <c r="B180" s="185"/>
      <c r="C180" s="185"/>
      <c r="D180" s="1272"/>
      <c r="E180" s="1272"/>
      <c r="F180" s="1272"/>
      <c r="G180" s="1272"/>
    </row>
    <row r="181" spans="1:7">
      <c r="B181" s="1413" t="s">
        <v>338</v>
      </c>
      <c r="C181" s="1413"/>
      <c r="D181" s="1413"/>
      <c r="E181" s="1413"/>
      <c r="F181" s="1413"/>
      <c r="G181" s="1413"/>
    </row>
    <row r="182" spans="1:7">
      <c r="B182" s="1413" t="s">
        <v>424</v>
      </c>
      <c r="C182" s="1413"/>
      <c r="D182" s="1413"/>
      <c r="E182" s="1413"/>
      <c r="F182" s="1413"/>
      <c r="G182" s="1413"/>
    </row>
    <row r="183" spans="1:7">
      <c r="B183" s="186"/>
      <c r="C183" s="186"/>
      <c r="D183" s="186"/>
      <c r="E183" s="186"/>
      <c r="F183" s="186"/>
      <c r="G183" s="1062"/>
    </row>
    <row r="184" spans="1:7">
      <c r="D184" s="187"/>
      <c r="E184" s="187"/>
      <c r="F184" s="187"/>
      <c r="G184" s="187"/>
    </row>
    <row r="185" spans="1:7">
      <c r="D185" s="1068"/>
      <c r="E185" s="1068"/>
      <c r="F185" s="1068"/>
      <c r="G185" s="59"/>
    </row>
    <row r="186" spans="1:7">
      <c r="D186" s="1068"/>
      <c r="E186" s="960"/>
      <c r="G186" s="187"/>
    </row>
    <row r="187" spans="1:7">
      <c r="D187" s="960"/>
      <c r="E187" s="960"/>
      <c r="F187" s="187"/>
      <c r="G187" s="187"/>
    </row>
    <row r="188" spans="1:7">
      <c r="D188" s="1046"/>
      <c r="E188" s="1046"/>
      <c r="F188" s="188"/>
      <c r="G188" s="188"/>
    </row>
    <row r="189" spans="1:7">
      <c r="D189" s="960"/>
      <c r="E189" s="960"/>
      <c r="F189" s="187"/>
      <c r="G189" s="187"/>
    </row>
  </sheetData>
  <mergeCells count="19">
    <mergeCell ref="B6:G6"/>
    <mergeCell ref="B7:G7"/>
    <mergeCell ref="B11:B15"/>
    <mergeCell ref="C11:C15"/>
    <mergeCell ref="D11:D15"/>
    <mergeCell ref="E11:E15"/>
    <mergeCell ref="F11:F15"/>
    <mergeCell ref="G11:G15"/>
    <mergeCell ref="B182:G182"/>
    <mergeCell ref="B179:C179"/>
    <mergeCell ref="B181:G181"/>
    <mergeCell ref="B90:G90"/>
    <mergeCell ref="B91:G91"/>
    <mergeCell ref="B95:B99"/>
    <mergeCell ref="C95:C99"/>
    <mergeCell ref="D95:D99"/>
    <mergeCell ref="E95:E99"/>
    <mergeCell ref="F95:F99"/>
    <mergeCell ref="G95:G9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5" min="1" max="6" man="1"/>
  </rowBreaks>
</worksheet>
</file>

<file path=xl/worksheets/sheet12.xml><?xml version="1.0" encoding="utf-8"?>
<worksheet xmlns="http://schemas.openxmlformats.org/spreadsheetml/2006/main" xmlns:r="http://schemas.openxmlformats.org/officeDocument/2006/relationships">
  <sheetPr codeName="Hoja25">
    <tabColor theme="3" tint="0.79998168889431442"/>
    <pageSetUpPr fitToPage="1"/>
  </sheetPr>
  <dimension ref="A1:I102"/>
  <sheetViews>
    <sheetView showGridLines="0" showRuler="0" zoomScaleNormal="100" zoomScaleSheetLayoutView="85" workbookViewId="0"/>
  </sheetViews>
  <sheetFormatPr baseColWidth="10" defaultColWidth="11.54296875" defaultRowHeight="13"/>
  <cols>
    <col min="1" max="1" width="6.81640625" style="29" customWidth="1"/>
    <col min="2" max="2" width="98.453125" style="29" customWidth="1"/>
    <col min="3" max="4" width="15.1796875" style="29" bestFit="1" customWidth="1"/>
    <col min="5" max="5" width="15.1796875" style="29" customWidth="1"/>
    <col min="6" max="7" width="15.1796875" style="29" bestFit="1" customWidth="1"/>
    <col min="8" max="8" width="15.1796875" style="29" customWidth="1"/>
    <col min="9" max="9" width="15.26953125" style="29" bestFit="1" customWidth="1"/>
    <col min="10" max="16384" width="11.54296875" style="29"/>
  </cols>
  <sheetData>
    <row r="1" spans="1:9" ht="14.5">
      <c r="A1" s="738" t="s">
        <v>219</v>
      </c>
      <c r="B1" s="413"/>
    </row>
    <row r="2" spans="1:9" ht="15" customHeight="1">
      <c r="A2" s="738"/>
      <c r="B2" s="386" t="str">
        <f>+INDICE!B2</f>
        <v>MINISTERIO DE ECONOMÍA</v>
      </c>
    </row>
    <row r="3" spans="1:9" ht="15" customHeight="1">
      <c r="A3" s="413"/>
      <c r="B3" s="386" t="str">
        <f>+A.1.10!B3</f>
        <v>SECRETARÍA DE FINANZAS</v>
      </c>
    </row>
    <row r="4" spans="1:9" s="426" customFormat="1">
      <c r="B4" s="382"/>
      <c r="I4" s="29"/>
    </row>
    <row r="5" spans="1:9" s="426" customFormat="1">
      <c r="B5" s="382"/>
      <c r="I5" s="29"/>
    </row>
    <row r="6" spans="1:9" ht="17">
      <c r="B6" s="1358" t="s">
        <v>773</v>
      </c>
      <c r="C6" s="1358"/>
      <c r="D6" s="1358"/>
      <c r="E6" s="1358"/>
      <c r="F6" s="1358"/>
      <c r="G6" s="1358"/>
      <c r="H6" s="1138"/>
    </row>
    <row r="7" spans="1:9" ht="14.5">
      <c r="B7" s="1381" t="s">
        <v>744</v>
      </c>
      <c r="C7" s="1381"/>
      <c r="D7" s="1381"/>
      <c r="E7" s="1381"/>
      <c r="F7" s="1381"/>
      <c r="G7" s="1381"/>
      <c r="H7" s="1139"/>
    </row>
    <row r="8" spans="1:9" s="426" customFormat="1">
      <c r="B8" s="382"/>
      <c r="I8" s="29"/>
    </row>
    <row r="9" spans="1:9" s="426" customFormat="1">
      <c r="B9" s="35"/>
      <c r="C9" s="856"/>
      <c r="D9" s="1454"/>
      <c r="E9" s="1120"/>
      <c r="F9" s="1120"/>
      <c r="G9" s="1120"/>
      <c r="H9" s="29"/>
    </row>
    <row r="10" spans="1:9" ht="14.25" customHeight="1" thickBot="1">
      <c r="B10" s="269" t="s">
        <v>221</v>
      </c>
      <c r="C10" s="59"/>
      <c r="D10" s="1455"/>
      <c r="E10" s="1121"/>
      <c r="F10" s="1121"/>
      <c r="G10" s="1121"/>
    </row>
    <row r="11" spans="1:9" ht="24" customHeight="1" thickTop="1" thickBot="1">
      <c r="B11" s="1451" t="s">
        <v>222</v>
      </c>
      <c r="C11" s="1230">
        <v>2018</v>
      </c>
      <c r="D11" s="1456">
        <v>2019</v>
      </c>
      <c r="E11" s="1457"/>
      <c r="F11" s="1457"/>
      <c r="G11" s="1458"/>
    </row>
    <row r="12" spans="1:9" ht="33" customHeight="1" thickTop="1" thickBot="1">
      <c r="B12" s="1452"/>
      <c r="C12" s="1067" t="s">
        <v>695</v>
      </c>
      <c r="D12" s="1067" t="s">
        <v>723</v>
      </c>
      <c r="E12" s="1067" t="s">
        <v>807</v>
      </c>
      <c r="F12" s="1067" t="s">
        <v>845</v>
      </c>
      <c r="G12" s="1067" t="s">
        <v>907</v>
      </c>
    </row>
    <row r="13" spans="1:9" ht="12.75" customHeight="1" thickTop="1">
      <c r="B13" s="57"/>
      <c r="C13" s="1071"/>
      <c r="D13" s="1071"/>
      <c r="E13" s="1071"/>
      <c r="F13" s="1071"/>
      <c r="G13" s="1071"/>
    </row>
    <row r="14" spans="1:9" ht="17">
      <c r="B14" s="1168" t="s">
        <v>745</v>
      </c>
      <c r="C14" s="1085">
        <f>+C17+C74</f>
        <v>345384743.29469723</v>
      </c>
      <c r="D14" s="1085">
        <f>+D17+D74</f>
        <v>337929354.76839864</v>
      </c>
      <c r="E14" s="1085">
        <f>+E17+E74</f>
        <v>350388284.13534343</v>
      </c>
      <c r="F14" s="1085">
        <f>+F17+F74</f>
        <v>324037827.89858049</v>
      </c>
      <c r="G14" s="1085">
        <f>+G17+G74</f>
        <v>336027350.03944337</v>
      </c>
      <c r="H14" s="90"/>
      <c r="I14" s="1068"/>
    </row>
    <row r="15" spans="1:9" ht="13.5" thickBot="1">
      <c r="B15" s="13"/>
      <c r="C15" s="1070"/>
      <c r="D15" s="1070"/>
      <c r="E15" s="1070"/>
      <c r="F15" s="1070"/>
      <c r="G15" s="1070"/>
      <c r="H15" s="90"/>
    </row>
    <row r="16" spans="1:9" ht="12.75" customHeight="1" thickTop="1">
      <c r="B16" s="57"/>
      <c r="C16" s="1071"/>
      <c r="D16" s="1071"/>
      <c r="E16" s="1071"/>
      <c r="F16" s="1071"/>
      <c r="G16" s="1071"/>
      <c r="H16" s="90"/>
    </row>
    <row r="17" spans="2:8" s="412" customFormat="1" ht="15.5">
      <c r="B17" s="1169" t="s">
        <v>755</v>
      </c>
      <c r="C17" s="1087">
        <f>+C20+C53+C61+C66</f>
        <v>332191803.16072136</v>
      </c>
      <c r="D17" s="1087">
        <f>+D20+D53+D61+D66</f>
        <v>324897953.95917487</v>
      </c>
      <c r="E17" s="1087">
        <f>+E20+E53+E61+E66</f>
        <v>337267393.92069</v>
      </c>
      <c r="F17" s="1087">
        <f>+F20+F53+F61+F66</f>
        <v>311251025.98097241</v>
      </c>
      <c r="G17" s="1087">
        <f>+G20+G53+G61+G66</f>
        <v>323064618.25805849</v>
      </c>
      <c r="H17" s="90"/>
    </row>
    <row r="18" spans="2:8" ht="13.5" thickBot="1">
      <c r="B18" s="13"/>
      <c r="C18" s="1080"/>
      <c r="D18" s="1080"/>
      <c r="E18" s="1080"/>
      <c r="F18" s="1080"/>
      <c r="G18" s="1080"/>
      <c r="H18" s="90"/>
    </row>
    <row r="19" spans="2:8" ht="18" customHeight="1" thickTop="1">
      <c r="B19" s="146"/>
      <c r="C19" s="1072"/>
      <c r="D19" s="1072"/>
      <c r="E19" s="1072"/>
      <c r="F19" s="1072"/>
      <c r="G19" s="1072"/>
      <c r="H19" s="90"/>
    </row>
    <row r="20" spans="2:8" s="412" customFormat="1" ht="15.5">
      <c r="B20" s="525" t="s">
        <v>409</v>
      </c>
      <c r="C20" s="1088">
        <f>+C22+C26+C28+C51</f>
        <v>290548077.03578031</v>
      </c>
      <c r="D20" s="1088">
        <f>+D22+D26+D28+D51</f>
        <v>288215166.99339497</v>
      </c>
      <c r="E20" s="1088">
        <f>+E22+E26+E28+E51</f>
        <v>300861944.33449918</v>
      </c>
      <c r="F20" s="1088">
        <f>+F22+F26+F28+F51</f>
        <v>293503763.03436315</v>
      </c>
      <c r="G20" s="1088">
        <f>+G22+G26+G28+G51</f>
        <v>301160724.94488806</v>
      </c>
      <c r="H20" s="90"/>
    </row>
    <row r="21" spans="2:8" ht="17.25" customHeight="1">
      <c r="B21" s="146"/>
      <c r="C21" s="1069"/>
      <c r="D21" s="1069"/>
      <c r="E21" s="1069"/>
      <c r="F21" s="1069"/>
      <c r="G21" s="1069"/>
      <c r="H21" s="90"/>
    </row>
    <row r="22" spans="2:8" s="413" customFormat="1" ht="14.5">
      <c r="B22" s="407" t="s">
        <v>305</v>
      </c>
      <c r="C22" s="1082">
        <f>+C23+C24</f>
        <v>215251573.65878767</v>
      </c>
      <c r="D22" s="1082">
        <f>+D23+D24</f>
        <v>213329911.30950144</v>
      </c>
      <c r="E22" s="1082">
        <f>+E23+E24</f>
        <v>214827291.69449836</v>
      </c>
      <c r="F22" s="1082">
        <f>+F23+F24</f>
        <v>191006412.65715879</v>
      </c>
      <c r="G22" s="1082">
        <f>+G23+G24</f>
        <v>194152809.9513444</v>
      </c>
      <c r="H22" s="90"/>
    </row>
    <row r="23" spans="2:8">
      <c r="B23" s="279" t="s">
        <v>272</v>
      </c>
      <c r="C23" s="1083">
        <v>43400130.982959814</v>
      </c>
      <c r="D23" s="1083">
        <v>41502107.548251607</v>
      </c>
      <c r="E23" s="1083">
        <v>47617910.575003564</v>
      </c>
      <c r="F23" s="1083">
        <v>37459862.743967906</v>
      </c>
      <c r="G23" s="392">
        <v>38723467.4013834</v>
      </c>
      <c r="H23" s="90"/>
    </row>
    <row r="24" spans="2:8">
      <c r="B24" s="286" t="s">
        <v>108</v>
      </c>
      <c r="C24" s="1083">
        <v>171851442.67582786</v>
      </c>
      <c r="D24" s="1083">
        <v>171827803.76124984</v>
      </c>
      <c r="E24" s="1083">
        <v>167209381.1194948</v>
      </c>
      <c r="F24" s="1083">
        <v>153546549.9131909</v>
      </c>
      <c r="G24" s="392">
        <v>155429342.549961</v>
      </c>
      <c r="H24" s="90"/>
    </row>
    <row r="25" spans="2:8">
      <c r="B25" s="163"/>
      <c r="C25" s="1074"/>
      <c r="D25" s="1074"/>
      <c r="E25" s="1074"/>
      <c r="F25" s="1074"/>
      <c r="G25" s="1235"/>
      <c r="H25" s="90"/>
    </row>
    <row r="26" spans="2:8" s="413" customFormat="1" ht="14.5">
      <c r="B26" s="407" t="s">
        <v>422</v>
      </c>
      <c r="C26" s="1082">
        <v>11555684.981022064</v>
      </c>
      <c r="D26" s="1082">
        <v>12306696.3450744</v>
      </c>
      <c r="E26" s="1082">
        <v>13735015.117141314</v>
      </c>
      <c r="F26" s="1082">
        <v>26559882.28024172</v>
      </c>
      <c r="G26" s="1236">
        <v>23113729.473362166</v>
      </c>
      <c r="H26" s="90"/>
    </row>
    <row r="27" spans="2:8">
      <c r="B27" s="163"/>
      <c r="C27" s="1074"/>
      <c r="D27" s="1074"/>
      <c r="E27" s="1074"/>
      <c r="F27" s="1074"/>
      <c r="G27" s="1074"/>
      <c r="H27" s="90"/>
    </row>
    <row r="28" spans="2:8" s="413" customFormat="1" ht="14.5">
      <c r="B28" s="407" t="s">
        <v>53</v>
      </c>
      <c r="C28" s="1082">
        <f>+C30+C32+C43+C45+C47+C49</f>
        <v>61262526.592319012</v>
      </c>
      <c r="D28" s="1082">
        <f>+D30+D32+D43+D45+D47+D49</f>
        <v>60737869.010747232</v>
      </c>
      <c r="E28" s="1082">
        <f>+E30+E32+E43+E45+E47+E49</f>
        <v>71211254.713653982</v>
      </c>
      <c r="F28" s="1082">
        <f>+F30+F32+F43+F45+F47+F49</f>
        <v>75351974.779752076</v>
      </c>
      <c r="G28" s="1082">
        <f>+G30+G32+G43+G45+G47+G49</f>
        <v>79052379.025482446</v>
      </c>
      <c r="H28" s="90"/>
    </row>
    <row r="29" spans="2:8">
      <c r="B29" s="148"/>
      <c r="C29" s="1074"/>
      <c r="D29" s="1074"/>
      <c r="E29" s="1074"/>
      <c r="F29" s="1074"/>
      <c r="G29" s="1074"/>
      <c r="H29" s="90"/>
    </row>
    <row r="30" spans="2:8">
      <c r="B30" s="287" t="s">
        <v>376</v>
      </c>
      <c r="C30" s="1081">
        <v>683538.52444697428</v>
      </c>
      <c r="D30" s="1081">
        <v>637850.15129319532</v>
      </c>
      <c r="E30" s="1081">
        <v>729146.87017445557</v>
      </c>
      <c r="F30" s="1081">
        <v>584431.07180310821</v>
      </c>
      <c r="G30" s="390">
        <v>640325.04701061919</v>
      </c>
      <c r="H30" s="90"/>
    </row>
    <row r="31" spans="2:8">
      <c r="B31" s="146"/>
      <c r="C31" s="1081"/>
      <c r="D31" s="1081"/>
      <c r="E31" s="1081"/>
      <c r="F31" s="1081"/>
      <c r="G31" s="1081"/>
      <c r="H31" s="90"/>
    </row>
    <row r="32" spans="2:8">
      <c r="B32" s="287" t="s">
        <v>270</v>
      </c>
      <c r="C32" s="1081">
        <f>SUM(C33:C41)</f>
        <v>51037436.15483962</v>
      </c>
      <c r="D32" s="1081">
        <f>SUM(D33:D41)</f>
        <v>50871976.867698669</v>
      </c>
      <c r="E32" s="1081">
        <f>SUM(E33:E41)</f>
        <v>62752777.527399898</v>
      </c>
      <c r="F32" s="1081">
        <f>SUM(F33:F41)</f>
        <v>67389879.467495918</v>
      </c>
      <c r="G32" s="1081">
        <f>SUM(G33:G41)</f>
        <v>68000788.456716701</v>
      </c>
      <c r="H32" s="90"/>
    </row>
    <row r="33" spans="2:8">
      <c r="B33" s="279" t="s">
        <v>571</v>
      </c>
      <c r="C33" s="1083">
        <v>2625</v>
      </c>
      <c r="D33" s="1083">
        <v>2625</v>
      </c>
      <c r="E33" s="1083">
        <v>2625</v>
      </c>
      <c r="F33" s="1083">
        <v>2625</v>
      </c>
      <c r="G33" s="392">
        <v>2625</v>
      </c>
      <c r="H33" s="90"/>
    </row>
    <row r="34" spans="2:8">
      <c r="B34" s="279" t="s">
        <v>266</v>
      </c>
      <c r="C34" s="1083">
        <v>6879345.9518513139</v>
      </c>
      <c r="D34" s="1083">
        <v>6802881.7567875525</v>
      </c>
      <c r="E34" s="1083">
        <v>6960726.7667328501</v>
      </c>
      <c r="F34" s="1083">
        <v>7060899.9382214164</v>
      </c>
      <c r="G34" s="392">
        <v>7127849.6188295344</v>
      </c>
      <c r="H34" s="90"/>
    </row>
    <row r="35" spans="2:8">
      <c r="B35" s="279" t="s">
        <v>265</v>
      </c>
      <c r="C35" s="1083">
        <v>12331943.240525998</v>
      </c>
      <c r="D35" s="1083">
        <v>12176418.778666001</v>
      </c>
      <c r="E35" s="1083">
        <v>12911926.646006001</v>
      </c>
      <c r="F35" s="1083">
        <v>12756147.927366</v>
      </c>
      <c r="G35" s="392">
        <v>12646998.656206004</v>
      </c>
      <c r="H35" s="90"/>
    </row>
    <row r="36" spans="2:8">
      <c r="B36" s="279" t="s">
        <v>267</v>
      </c>
      <c r="C36" s="1083">
        <v>167338.57653000002</v>
      </c>
      <c r="D36" s="1083">
        <v>193602.0539</v>
      </c>
      <c r="E36" s="1083">
        <v>205327.09876999998</v>
      </c>
      <c r="F36" s="1083">
        <v>211076.41837</v>
      </c>
      <c r="G36" s="392">
        <v>237350.83324000001</v>
      </c>
      <c r="H36" s="90"/>
    </row>
    <row r="37" spans="2:8">
      <c r="B37" s="279" t="s">
        <v>268</v>
      </c>
      <c r="C37" s="1083">
        <v>45161.599831364052</v>
      </c>
      <c r="D37" s="1083">
        <v>44668.878543477826</v>
      </c>
      <c r="E37" s="1083">
        <v>42243.59316137198</v>
      </c>
      <c r="F37" s="1083">
        <v>40925.303130620225</v>
      </c>
      <c r="G37" s="392">
        <v>41144.732880456075</v>
      </c>
      <c r="H37" s="90"/>
    </row>
    <row r="38" spans="2:8">
      <c r="B38" s="279" t="s">
        <v>281</v>
      </c>
      <c r="C38" s="1083">
        <v>3467422.0753499996</v>
      </c>
      <c r="D38" s="1083">
        <v>3475802.9723800002</v>
      </c>
      <c r="E38" s="1083">
        <v>3557602.6905400003</v>
      </c>
      <c r="F38" s="1083">
        <v>3662650.5425900007</v>
      </c>
      <c r="G38" s="392">
        <v>3655847.82076</v>
      </c>
      <c r="H38" s="90"/>
    </row>
    <row r="39" spans="2:8">
      <c r="B39" s="279" t="s">
        <v>516</v>
      </c>
      <c r="C39" s="1083">
        <v>41262.805189999999</v>
      </c>
      <c r="D39" s="1083">
        <v>42507.082009999998</v>
      </c>
      <c r="E39" s="1083">
        <v>55733.581600000005</v>
      </c>
      <c r="F39" s="1083">
        <v>60890.876969999998</v>
      </c>
      <c r="G39" s="392">
        <v>74644.737410000002</v>
      </c>
      <c r="H39" s="90"/>
    </row>
    <row r="40" spans="2:8">
      <c r="B40" s="279" t="s">
        <v>655</v>
      </c>
      <c r="C40" s="1083">
        <v>28031770.905560948</v>
      </c>
      <c r="D40" s="1083">
        <v>28062904.345411632</v>
      </c>
      <c r="E40" s="1083">
        <v>38940380.872949675</v>
      </c>
      <c r="F40" s="1083">
        <v>43508807.089297891</v>
      </c>
      <c r="G40" s="392">
        <v>44128470.685840711</v>
      </c>
      <c r="H40" s="90"/>
    </row>
    <row r="41" spans="2:8">
      <c r="B41" s="279" t="s">
        <v>689</v>
      </c>
      <c r="C41" s="1083">
        <v>70566</v>
      </c>
      <c r="D41" s="1083">
        <v>70566</v>
      </c>
      <c r="E41" s="1083">
        <v>76211.27764</v>
      </c>
      <c r="F41" s="1083">
        <v>85856.371549999996</v>
      </c>
      <c r="G41" s="392">
        <v>85856.371549999996</v>
      </c>
      <c r="H41" s="90"/>
    </row>
    <row r="42" spans="2:8">
      <c r="B42" s="165"/>
      <c r="C42" s="1075"/>
      <c r="D42" s="1075"/>
      <c r="E42" s="1075"/>
      <c r="F42" s="1075"/>
      <c r="G42" s="1075"/>
      <c r="H42" s="90"/>
    </row>
    <row r="43" spans="2:8">
      <c r="B43" s="287" t="s">
        <v>269</v>
      </c>
      <c r="C43" s="1081">
        <v>6912168.5571640376</v>
      </c>
      <c r="D43" s="1081">
        <v>6869744.9726821128</v>
      </c>
      <c r="E43" s="1081">
        <v>5320477.2360885162</v>
      </c>
      <c r="F43" s="1081">
        <v>5289399.3496299982</v>
      </c>
      <c r="G43" s="390">
        <v>5398072.3095353451</v>
      </c>
      <c r="H43" s="90"/>
    </row>
    <row r="44" spans="2:8">
      <c r="B44" s="166"/>
      <c r="C44" s="1073"/>
      <c r="D44" s="1073"/>
      <c r="E44" s="1073"/>
      <c r="F44" s="1073"/>
      <c r="G44" s="1234"/>
      <c r="H44" s="90"/>
    </row>
    <row r="45" spans="2:8">
      <c r="B45" s="1239" t="s">
        <v>362</v>
      </c>
      <c r="C45" s="288">
        <v>1194162.8149353638</v>
      </c>
      <c r="D45" s="288">
        <v>1140918.8972942326</v>
      </c>
      <c r="E45" s="288">
        <v>1187129.0235110126</v>
      </c>
      <c r="F45" s="288">
        <v>972022.71028426907</v>
      </c>
      <c r="G45" s="288">
        <v>2284020.660895735</v>
      </c>
      <c r="H45" s="90"/>
    </row>
    <row r="46" spans="2:8">
      <c r="B46" s="162"/>
      <c r="C46" s="1079"/>
      <c r="D46" s="1079"/>
      <c r="E46" s="1079"/>
      <c r="F46" s="1079"/>
      <c r="G46" s="1079"/>
      <c r="H46" s="90"/>
    </row>
    <row r="47" spans="2:8">
      <c r="B47" s="294" t="s">
        <v>357</v>
      </c>
      <c r="C47" s="288">
        <v>931193.35678504372</v>
      </c>
      <c r="D47" s="288">
        <v>871628.69715102168</v>
      </c>
      <c r="E47" s="288">
        <v>831158.8201614198</v>
      </c>
      <c r="F47" s="288">
        <v>811485.50455074187</v>
      </c>
      <c r="G47" s="288">
        <v>2396978.5928329937</v>
      </c>
      <c r="H47" s="90"/>
    </row>
    <row r="48" spans="2:8">
      <c r="B48" s="162"/>
      <c r="C48" s="1079"/>
      <c r="D48" s="1079"/>
      <c r="E48" s="1079"/>
      <c r="F48" s="1079"/>
      <c r="G48" s="1079"/>
      <c r="H48" s="90"/>
    </row>
    <row r="49" spans="2:8">
      <c r="B49" s="294" t="s">
        <v>380</v>
      </c>
      <c r="C49" s="288">
        <v>504027.18414797599</v>
      </c>
      <c r="D49" s="288">
        <v>345749.42462800536</v>
      </c>
      <c r="E49" s="288">
        <v>390565.23631869274</v>
      </c>
      <c r="F49" s="288">
        <v>304756.67598804529</v>
      </c>
      <c r="G49" s="288">
        <v>332193.95849106333</v>
      </c>
      <c r="H49" s="90"/>
    </row>
    <row r="50" spans="2:8">
      <c r="B50" s="1240"/>
      <c r="C50" s="1241"/>
      <c r="D50" s="1241"/>
      <c r="E50" s="1241"/>
      <c r="F50" s="1241"/>
      <c r="G50" s="1241"/>
      <c r="H50" s="90"/>
    </row>
    <row r="51" spans="2:8" s="413" customFormat="1" ht="14.5">
      <c r="B51" s="407" t="s">
        <v>239</v>
      </c>
      <c r="C51" s="1082">
        <v>2478291.8036515792</v>
      </c>
      <c r="D51" s="1082">
        <v>1840690.3280719116</v>
      </c>
      <c r="E51" s="1082">
        <v>1088382.8092055512</v>
      </c>
      <c r="F51" s="1082">
        <v>585493.31721054995</v>
      </c>
      <c r="G51" s="390">
        <v>4841806.4946990563</v>
      </c>
      <c r="H51" s="90"/>
    </row>
    <row r="52" spans="2:8">
      <c r="B52" s="148"/>
      <c r="C52" s="1076"/>
      <c r="D52" s="1076"/>
      <c r="E52" s="1076"/>
      <c r="F52" s="1076"/>
      <c r="G52" s="1076"/>
      <c r="H52" s="90"/>
    </row>
    <row r="53" spans="2:8" s="412" customFormat="1" ht="15.5">
      <c r="B53" s="525" t="s">
        <v>410</v>
      </c>
      <c r="C53" s="1086">
        <f>SUM(C55:C59)</f>
        <v>38733469.271749943</v>
      </c>
      <c r="D53" s="1086">
        <f>SUM(D55:D59)</f>
        <v>34101860.550936364</v>
      </c>
      <c r="E53" s="1086">
        <f>SUM(E55:E59)</f>
        <v>33844412.262902275</v>
      </c>
      <c r="F53" s="1086">
        <f>SUM(F55:F59)</f>
        <v>15238795.896125749</v>
      </c>
      <c r="G53" s="1086">
        <f>SUM(G55:G59)</f>
        <v>19364728.558999468</v>
      </c>
      <c r="H53" s="90"/>
    </row>
    <row r="54" spans="2:8">
      <c r="B54" s="148"/>
      <c r="C54" s="1077"/>
      <c r="D54" s="1077"/>
      <c r="E54" s="1077"/>
      <c r="F54" s="1077"/>
      <c r="G54" s="1077"/>
      <c r="H54" s="90"/>
    </row>
    <row r="55" spans="2:8" s="413" customFormat="1" ht="14.5">
      <c r="B55" s="287" t="s">
        <v>278</v>
      </c>
      <c r="C55" s="1084">
        <v>10818523.974894401</v>
      </c>
      <c r="D55" s="1084">
        <v>9755428.0758327525</v>
      </c>
      <c r="E55" s="1084">
        <v>10754965.452091131</v>
      </c>
      <c r="F55" s="1084">
        <v>8148781.322589444</v>
      </c>
      <c r="G55" s="1236">
        <v>9395275.0646965522</v>
      </c>
      <c r="H55" s="90"/>
    </row>
    <row r="56" spans="2:8" s="413" customFormat="1" ht="14.5">
      <c r="B56" s="294" t="s">
        <v>302</v>
      </c>
      <c r="C56" s="1242">
        <v>22694281.902145386</v>
      </c>
      <c r="D56" s="1242">
        <v>22346432.475103613</v>
      </c>
      <c r="E56" s="1242">
        <v>23089446.81081114</v>
      </c>
      <c r="F56" s="1242">
        <v>7090014.5735363038</v>
      </c>
      <c r="G56" s="283">
        <v>8177985.0912642637</v>
      </c>
      <c r="H56" s="90"/>
    </row>
    <row r="57" spans="2:8" s="413" customFormat="1" ht="14.5">
      <c r="B57" s="294" t="s">
        <v>380</v>
      </c>
      <c r="C57" s="1242">
        <v>1013005.0808949358</v>
      </c>
      <c r="D57" s="1242">
        <v>0</v>
      </c>
      <c r="E57" s="1242">
        <v>0</v>
      </c>
      <c r="F57" s="1242">
        <v>0</v>
      </c>
      <c r="G57" s="283">
        <v>1290591.8691042657</v>
      </c>
      <c r="H57" s="90"/>
    </row>
    <row r="58" spans="2:8" s="413" customFormat="1" ht="14.5">
      <c r="B58" s="294" t="s">
        <v>271</v>
      </c>
      <c r="C58" s="1242">
        <v>0</v>
      </c>
      <c r="D58" s="1242">
        <v>0</v>
      </c>
      <c r="E58" s="1242">
        <v>0</v>
      </c>
      <c r="F58" s="1242">
        <v>0</v>
      </c>
      <c r="G58" s="283">
        <v>500876.53393438511</v>
      </c>
      <c r="H58" s="90"/>
    </row>
    <row r="59" spans="2:8" s="413" customFormat="1" ht="14.5">
      <c r="B59" s="294" t="s">
        <v>683</v>
      </c>
      <c r="C59" s="1242">
        <v>4207658.3138152203</v>
      </c>
      <c r="D59" s="1242">
        <v>2000000</v>
      </c>
      <c r="E59" s="1242">
        <v>0</v>
      </c>
      <c r="F59" s="1242">
        <v>0</v>
      </c>
      <c r="G59" s="1242">
        <v>0</v>
      </c>
      <c r="H59" s="90"/>
    </row>
    <row r="60" spans="2:8">
      <c r="B60" s="146"/>
      <c r="C60" s="1078"/>
      <c r="D60" s="1078"/>
      <c r="E60" s="1078"/>
      <c r="F60" s="1078"/>
      <c r="G60" s="1078"/>
      <c r="H60" s="90"/>
    </row>
    <row r="61" spans="2:8" s="412" customFormat="1" ht="15.5">
      <c r="B61" s="525" t="s">
        <v>759</v>
      </c>
      <c r="C61" s="1086">
        <f>+C63+C64</f>
        <v>104835.12819105788</v>
      </c>
      <c r="D61" s="1086">
        <f>+D63+D64</f>
        <v>104084.63377349466</v>
      </c>
      <c r="E61" s="1086">
        <f>+E63+E64</f>
        <v>104717.07355281198</v>
      </c>
      <c r="F61" s="1086">
        <f>+F63+F64</f>
        <v>102962.75107174664</v>
      </c>
      <c r="G61" s="1086">
        <f>+G63+G64</f>
        <v>103955.2346598757</v>
      </c>
      <c r="H61" s="90"/>
    </row>
    <row r="62" spans="2:8">
      <c r="B62" s="146"/>
      <c r="C62" s="1073"/>
      <c r="D62" s="1073"/>
      <c r="E62" s="1073"/>
      <c r="F62" s="1073"/>
      <c r="G62" s="1073"/>
      <c r="H62" s="90"/>
    </row>
    <row r="63" spans="2:8">
      <c r="B63" s="287" t="s">
        <v>276</v>
      </c>
      <c r="C63" s="1081">
        <v>96391.014244961392</v>
      </c>
      <c r="D63" s="1081">
        <v>95790.926521667556</v>
      </c>
      <c r="E63" s="1081">
        <v>96324.436274267806</v>
      </c>
      <c r="F63" s="1081">
        <v>94889.59224936484</v>
      </c>
      <c r="G63" s="390">
        <v>95681.181455170779</v>
      </c>
      <c r="H63" s="90"/>
    </row>
    <row r="64" spans="2:8">
      <c r="B64" s="287" t="s">
        <v>564</v>
      </c>
      <c r="C64" s="1081">
        <v>8444.1139460964896</v>
      </c>
      <c r="D64" s="1081">
        <v>8293.7072518271088</v>
      </c>
      <c r="E64" s="1081">
        <v>8392.6372785441781</v>
      </c>
      <c r="F64" s="1081">
        <v>8073.1588223817889</v>
      </c>
      <c r="G64" s="390">
        <v>8274.0532047049255</v>
      </c>
      <c r="H64" s="90"/>
    </row>
    <row r="65" spans="2:8">
      <c r="B65" s="146"/>
      <c r="C65" s="1073"/>
      <c r="D65" s="1073"/>
      <c r="E65" s="1073"/>
      <c r="F65" s="1073"/>
      <c r="G65" s="1073"/>
      <c r="H65" s="90"/>
    </row>
    <row r="66" spans="2:8" s="412" customFormat="1" ht="15.5">
      <c r="B66" s="525" t="s">
        <v>616</v>
      </c>
      <c r="C66" s="1089">
        <f>+C68+C69+C70</f>
        <v>2805421.7249999996</v>
      </c>
      <c r="D66" s="1089">
        <f>+D68+D69+D70</f>
        <v>2476841.7810700759</v>
      </c>
      <c r="E66" s="1089">
        <f>+E68+E69+E70</f>
        <v>2456320.2497357926</v>
      </c>
      <c r="F66" s="1089">
        <f>+F68+F69+F70</f>
        <v>2405504.2994117909</v>
      </c>
      <c r="G66" s="1089">
        <f>+G68+G69+G70</f>
        <v>2435209.5195111227</v>
      </c>
      <c r="H66" s="90"/>
    </row>
    <row r="67" spans="2:8">
      <c r="B67" s="1170"/>
      <c r="C67" s="1079"/>
      <c r="D67" s="1079"/>
      <c r="E67" s="1079"/>
      <c r="F67" s="1079"/>
      <c r="G67" s="1079"/>
      <c r="H67" s="90"/>
    </row>
    <row r="68" spans="2:8">
      <c r="B68" s="287" t="s">
        <v>255</v>
      </c>
      <c r="C68" s="1081">
        <v>1218781.2681199999</v>
      </c>
      <c r="D68" s="1081">
        <v>1074824.2981572715</v>
      </c>
      <c r="E68" s="1081">
        <v>1070536.5055347723</v>
      </c>
      <c r="F68" s="1081">
        <v>1043557.8542580936</v>
      </c>
      <c r="G68" s="390">
        <v>1058079.7299730589</v>
      </c>
      <c r="H68" s="90"/>
    </row>
    <row r="69" spans="2:8">
      <c r="B69" s="287" t="s">
        <v>549</v>
      </c>
      <c r="C69" s="1081">
        <v>1012569.9807599999</v>
      </c>
      <c r="D69" s="1081">
        <v>880087.06616825587</v>
      </c>
      <c r="E69" s="1081">
        <v>866535.11066436081</v>
      </c>
      <c r="F69" s="1081">
        <v>858847.83647406334</v>
      </c>
      <c r="G69" s="390">
        <v>863857.57424961263</v>
      </c>
      <c r="H69" s="90"/>
    </row>
    <row r="70" spans="2:8">
      <c r="B70" s="287" t="s">
        <v>701</v>
      </c>
      <c r="C70" s="1081">
        <v>574070.47612000001</v>
      </c>
      <c r="D70" s="1081">
        <v>521930.41674454865</v>
      </c>
      <c r="E70" s="1081">
        <v>519248.6335366597</v>
      </c>
      <c r="F70" s="1081">
        <v>503098.60867963388</v>
      </c>
      <c r="G70" s="390">
        <v>513272.21528845129</v>
      </c>
      <c r="H70" s="90"/>
    </row>
    <row r="71" spans="2:8" ht="13.5" thickBot="1">
      <c r="B71" s="13"/>
      <c r="C71" s="1080"/>
      <c r="D71" s="1080"/>
      <c r="E71" s="1080"/>
      <c r="F71" s="1080"/>
      <c r="G71" s="1080"/>
      <c r="H71" s="90"/>
    </row>
    <row r="72" spans="2:8" ht="13.5" thickTop="1">
      <c r="B72" s="122"/>
      <c r="C72" s="171"/>
      <c r="D72" s="171"/>
      <c r="E72" s="171"/>
      <c r="F72" s="171"/>
      <c r="G72" s="171"/>
      <c r="H72" s="90"/>
    </row>
    <row r="73" spans="2:8" ht="13.5" thickBot="1">
      <c r="B73" s="14"/>
      <c r="C73" s="172"/>
      <c r="D73" s="172"/>
      <c r="E73" s="172"/>
      <c r="F73" s="172"/>
      <c r="G73" s="172"/>
      <c r="H73" s="90"/>
    </row>
    <row r="74" spans="2:8" s="412" customFormat="1" ht="16" thickTop="1">
      <c r="B74" s="526" t="s">
        <v>613</v>
      </c>
      <c r="C74" s="527">
        <f>SUM(C76:C80)</f>
        <v>13192940.133975882</v>
      </c>
      <c r="D74" s="1090">
        <f>SUM(D76:D80)</f>
        <v>13031400.809223764</v>
      </c>
      <c r="E74" s="527">
        <f>SUM(E76:E80)</f>
        <v>13120890.214653447</v>
      </c>
      <c r="F74" s="1090">
        <f>SUM(F76:F80)</f>
        <v>12786801.917608075</v>
      </c>
      <c r="G74" s="1090">
        <f>SUM(G76:G80)</f>
        <v>12962731.781384885</v>
      </c>
      <c r="H74" s="90"/>
    </row>
    <row r="75" spans="2:8">
      <c r="B75" s="168"/>
      <c r="C75" s="169"/>
      <c r="D75" s="169"/>
      <c r="E75" s="169"/>
      <c r="F75" s="1079"/>
      <c r="G75" s="1079"/>
      <c r="H75" s="90"/>
    </row>
    <row r="76" spans="2:8">
      <c r="B76" s="280" t="s">
        <v>404</v>
      </c>
      <c r="C76" s="285">
        <v>5156899.0857486324</v>
      </c>
      <c r="D76" s="285">
        <v>5156899.0857486324</v>
      </c>
      <c r="E76" s="285">
        <v>5151027.2004566593</v>
      </c>
      <c r="F76" s="1083">
        <v>5151027.2004566593</v>
      </c>
      <c r="G76" s="392">
        <v>5151027.2004566593</v>
      </c>
      <c r="H76" s="90"/>
    </row>
    <row r="77" spans="2:8">
      <c r="B77" s="280" t="s">
        <v>405</v>
      </c>
      <c r="C77" s="285">
        <v>929780.55230617255</v>
      </c>
      <c r="D77" s="285">
        <v>929780.55230617255</v>
      </c>
      <c r="E77" s="285">
        <v>929780.55230617255</v>
      </c>
      <c r="F77" s="1083">
        <v>929780.55230617255</v>
      </c>
      <c r="G77" s="392">
        <v>929780.55230617255</v>
      </c>
      <c r="H77" s="90"/>
    </row>
    <row r="78" spans="2:8">
      <c r="B78" s="280" t="s">
        <v>406</v>
      </c>
      <c r="C78" s="285">
        <v>249787.57948968277</v>
      </c>
      <c r="D78" s="285">
        <v>217839.0974071126</v>
      </c>
      <c r="E78" s="285">
        <v>221043.68538833768</v>
      </c>
      <c r="F78" s="1083">
        <v>163016.08404816981</v>
      </c>
      <c r="G78" s="392">
        <v>156656.29302061565</v>
      </c>
      <c r="H78" s="90"/>
    </row>
    <row r="79" spans="2:8">
      <c r="B79" s="280" t="s">
        <v>407</v>
      </c>
      <c r="C79" s="285">
        <v>6718519.3680967735</v>
      </c>
      <c r="D79" s="285">
        <v>6589650.4043340646</v>
      </c>
      <c r="E79" s="285">
        <v>6678041.7590812985</v>
      </c>
      <c r="F79" s="1083">
        <v>6402215.9279248249</v>
      </c>
      <c r="G79" s="392">
        <v>6585218.4009234598</v>
      </c>
      <c r="H79" s="90"/>
    </row>
    <row r="80" spans="2:8">
      <c r="B80" s="280" t="s">
        <v>408</v>
      </c>
      <c r="C80" s="285">
        <v>137953.54833462089</v>
      </c>
      <c r="D80" s="285">
        <v>137231.66942778148</v>
      </c>
      <c r="E80" s="285">
        <v>140997.0174209798</v>
      </c>
      <c r="F80" s="1083">
        <v>140762.15287224966</v>
      </c>
      <c r="G80" s="392">
        <v>140049.334677979</v>
      </c>
      <c r="H80" s="90"/>
    </row>
    <row r="81" spans="2:9" ht="13.5" customHeight="1" thickBot="1">
      <c r="B81" s="13"/>
      <c r="C81" s="170"/>
      <c r="D81" s="170"/>
      <c r="E81" s="170"/>
      <c r="F81" s="1080"/>
      <c r="G81" s="1080"/>
      <c r="H81" s="90"/>
    </row>
    <row r="82" spans="2:9" ht="13.5" thickTop="1">
      <c r="B82" s="122"/>
      <c r="C82" s="171"/>
      <c r="D82" s="171"/>
      <c r="E82" s="171"/>
      <c r="F82" s="171"/>
      <c r="G82" s="171"/>
      <c r="H82" s="63"/>
    </row>
    <row r="83" spans="2:9">
      <c r="B83" s="786" t="s">
        <v>568</v>
      </c>
      <c r="I83" s="63"/>
    </row>
    <row r="84" spans="2:9" ht="12.75" customHeight="1">
      <c r="B84" s="173" t="s">
        <v>514</v>
      </c>
      <c r="C84" s="174"/>
      <c r="G84" s="174"/>
      <c r="H84" s="174"/>
      <c r="I84" s="63"/>
    </row>
    <row r="85" spans="2:9" ht="12.75" customHeight="1">
      <c r="B85" s="1453" t="s">
        <v>693</v>
      </c>
      <c r="C85" s="1453"/>
      <c r="D85" s="1453"/>
      <c r="E85" s="1066"/>
      <c r="F85" s="174"/>
      <c r="G85" s="174"/>
      <c r="H85" s="174"/>
      <c r="I85" s="63"/>
    </row>
    <row r="86" spans="2:9">
      <c r="B86" s="1453" t="s">
        <v>614</v>
      </c>
      <c r="C86" s="1453"/>
      <c r="D86" s="1453"/>
      <c r="E86" s="1066"/>
      <c r="I86" s="63"/>
    </row>
    <row r="87" spans="2:9" ht="27.75" customHeight="1">
      <c r="B87" s="1450" t="s">
        <v>615</v>
      </c>
      <c r="C87" s="1450"/>
      <c r="D87" s="1450"/>
      <c r="E87" s="1065"/>
      <c r="I87" s="63"/>
    </row>
    <row r="88" spans="2:9">
      <c r="B88" s="174"/>
      <c r="C88" s="174"/>
      <c r="D88" s="174"/>
      <c r="E88" s="174"/>
      <c r="F88" s="174"/>
      <c r="G88" s="174"/>
      <c r="H88" s="174"/>
      <c r="I88" s="63"/>
    </row>
    <row r="89" spans="2:9">
      <c r="I89" s="63"/>
    </row>
    <row r="90" spans="2:9">
      <c r="I90" s="63"/>
    </row>
    <row r="91" spans="2:9">
      <c r="I91" s="63"/>
    </row>
    <row r="92" spans="2:9">
      <c r="I92" s="63"/>
    </row>
    <row r="93" spans="2:9">
      <c r="I93" s="63"/>
    </row>
    <row r="94" spans="2:9">
      <c r="I94" s="63"/>
    </row>
    <row r="95" spans="2:9">
      <c r="C95" s="59"/>
      <c r="D95" s="59"/>
      <c r="E95" s="59"/>
      <c r="F95" s="59"/>
      <c r="G95" s="59"/>
      <c r="H95" s="59"/>
      <c r="I95" s="63"/>
    </row>
    <row r="96" spans="2:9">
      <c r="C96" s="59"/>
      <c r="D96" s="59"/>
      <c r="E96" s="59"/>
      <c r="F96" s="59"/>
      <c r="G96" s="59"/>
      <c r="H96" s="59"/>
      <c r="I96" s="63"/>
    </row>
    <row r="97" spans="3:9">
      <c r="C97" s="59"/>
      <c r="D97" s="59"/>
      <c r="E97" s="59"/>
      <c r="F97" s="59"/>
      <c r="G97" s="59"/>
      <c r="H97" s="59"/>
      <c r="I97" s="63"/>
    </row>
    <row r="98" spans="3:9">
      <c r="C98" s="59"/>
      <c r="D98" s="59"/>
      <c r="E98" s="59"/>
      <c r="F98" s="59"/>
      <c r="G98" s="59"/>
      <c r="H98" s="59"/>
      <c r="I98" s="63"/>
    </row>
    <row r="99" spans="3:9">
      <c r="C99" s="59"/>
      <c r="D99" s="59"/>
      <c r="E99" s="59"/>
      <c r="F99" s="59"/>
      <c r="G99" s="59"/>
      <c r="H99" s="59"/>
    </row>
    <row r="100" spans="3:9">
      <c r="C100" s="59"/>
      <c r="D100" s="59"/>
      <c r="E100" s="59"/>
      <c r="F100" s="59"/>
      <c r="G100" s="59"/>
      <c r="H100" s="59"/>
    </row>
    <row r="101" spans="3:9">
      <c r="C101" s="59"/>
      <c r="D101" s="59"/>
      <c r="E101" s="59"/>
      <c r="F101" s="59"/>
      <c r="G101" s="59"/>
      <c r="H101" s="59"/>
    </row>
    <row r="102" spans="3:9">
      <c r="C102" s="59"/>
      <c r="D102" s="59"/>
      <c r="E102" s="59"/>
      <c r="F102" s="59"/>
      <c r="G102" s="59"/>
      <c r="H102" s="59"/>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8">
    <mergeCell ref="B87:D87"/>
    <mergeCell ref="B11:B12"/>
    <mergeCell ref="B86:D86"/>
    <mergeCell ref="B6:G6"/>
    <mergeCell ref="B7:G7"/>
    <mergeCell ref="B85:D85"/>
    <mergeCell ref="D9:D10"/>
    <mergeCell ref="D11:G11"/>
  </mergeCells>
  <phoneticPr fontId="21"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5" orientation="portrait" horizontalDpi="4294967294" verticalDpi="4294967294" r:id="rId2"/>
  <headerFooter scaleWithDoc="0">
    <oddFooter>&amp;R&amp;A</oddFooter>
  </headerFooter>
</worksheet>
</file>

<file path=xl/worksheets/sheet13.xml><?xml version="1.0" encoding="utf-8"?>
<worksheet xmlns="http://schemas.openxmlformats.org/spreadsheetml/2006/main" xmlns:r="http://schemas.openxmlformats.org/officeDocument/2006/relationships">
  <sheetPr>
    <tabColor theme="3" tint="0.79998168889431442"/>
    <pageSetUpPr fitToPage="1"/>
  </sheetPr>
  <dimension ref="A1:H96"/>
  <sheetViews>
    <sheetView showGridLines="0" zoomScaleNormal="100" zoomScaleSheetLayoutView="85" workbookViewId="0"/>
  </sheetViews>
  <sheetFormatPr baseColWidth="10" defaultColWidth="11.453125" defaultRowHeight="13"/>
  <cols>
    <col min="1" max="1" width="6.81640625" style="15" customWidth="1"/>
    <col min="2" max="2" width="110.7265625" style="15" bestFit="1" customWidth="1"/>
    <col min="3" max="3" width="19.1796875" style="15" customWidth="1"/>
    <col min="4" max="4" width="20.26953125" style="15" customWidth="1"/>
    <col min="5" max="5" width="25.54296875" style="961" bestFit="1" customWidth="1"/>
    <col min="6" max="6" width="20.1796875" style="15" customWidth="1"/>
    <col min="7" max="7" width="17.453125" style="15" bestFit="1" customWidth="1"/>
    <col min="8" max="8" width="14.453125" style="15" bestFit="1" customWidth="1"/>
    <col min="9" max="16384" width="11.453125" style="15"/>
  </cols>
  <sheetData>
    <row r="1" spans="1:8" ht="14.5">
      <c r="A1" s="738" t="s">
        <v>219</v>
      </c>
      <c r="B1" s="435"/>
    </row>
    <row r="2" spans="1:8" ht="15" customHeight="1">
      <c r="A2" s="435"/>
      <c r="B2" s="386" t="str">
        <f>+INDICE!B2</f>
        <v>MINISTERIO DE ECONOMÍA</v>
      </c>
      <c r="C2" s="142"/>
      <c r="D2" s="142"/>
    </row>
    <row r="3" spans="1:8" ht="15" customHeight="1">
      <c r="A3" s="435"/>
      <c r="B3" s="386" t="str">
        <f>+A.2.1!B3</f>
        <v>SECRETARÍA DE FINANZAS</v>
      </c>
      <c r="C3" s="142"/>
      <c r="D3" s="142"/>
    </row>
    <row r="4" spans="1:8" s="421" customFormat="1">
      <c r="B4" s="446"/>
      <c r="C4" s="447"/>
      <c r="D4" s="447"/>
      <c r="E4" s="961"/>
    </row>
    <row r="5" spans="1:8" s="421" customFormat="1" ht="17">
      <c r="B5" s="1459" t="s">
        <v>773</v>
      </c>
      <c r="C5" s="1459"/>
      <c r="D5" s="1459"/>
      <c r="E5" s="961"/>
    </row>
    <row r="6" spans="1:8" ht="17.25" customHeight="1">
      <c r="B6" s="1459" t="s">
        <v>282</v>
      </c>
      <c r="C6" s="1459"/>
      <c r="D6" s="1459"/>
      <c r="F6" s="421"/>
    </row>
    <row r="7" spans="1:8" ht="17.25" customHeight="1">
      <c r="B7" s="1461" t="s">
        <v>890</v>
      </c>
      <c r="C7" s="1461"/>
      <c r="D7" s="1461"/>
      <c r="E7" s="1068"/>
      <c r="F7" s="421"/>
    </row>
    <row r="8" spans="1:8" s="421" customFormat="1">
      <c r="B8" s="443"/>
      <c r="C8" s="443"/>
      <c r="D8" s="443"/>
      <c r="E8" s="1068"/>
    </row>
    <row r="9" spans="1:8" s="421" customFormat="1" ht="13.5" thickBot="1">
      <c r="B9" s="444"/>
      <c r="C9" s="445"/>
      <c r="D9" s="445"/>
      <c r="E9" s="1068"/>
    </row>
    <row r="10" spans="1:8" ht="17.25" customHeight="1" thickTop="1" thickBot="1">
      <c r="B10" s="143"/>
      <c r="C10" s="448" t="s">
        <v>274</v>
      </c>
      <c r="D10" s="448" t="s">
        <v>275</v>
      </c>
      <c r="E10" s="1068"/>
      <c r="F10" s="421"/>
    </row>
    <row r="11" spans="1:8" ht="18" customHeight="1" thickTop="1">
      <c r="B11" s="144"/>
      <c r="C11" s="811"/>
      <c r="D11" s="811"/>
      <c r="E11" s="1068"/>
      <c r="F11" s="421"/>
    </row>
    <row r="12" spans="1:8" ht="18" customHeight="1">
      <c r="B12" s="528" t="s">
        <v>891</v>
      </c>
      <c r="C12" s="812">
        <v>308845521.68550724</v>
      </c>
      <c r="D12" s="812">
        <v>17776623190.771301</v>
      </c>
      <c r="E12" s="788"/>
      <c r="F12" s="421"/>
    </row>
    <row r="13" spans="1:8" ht="18" customHeight="1">
      <c r="B13" s="145"/>
      <c r="C13" s="813"/>
      <c r="D13" s="813"/>
      <c r="E13" s="788"/>
      <c r="F13" s="421"/>
    </row>
    <row r="14" spans="1:8" ht="18" customHeight="1">
      <c r="B14" s="528" t="s">
        <v>892</v>
      </c>
      <c r="C14" s="812">
        <v>2405504.2953738449</v>
      </c>
      <c r="D14" s="812">
        <v>138456737.94470227</v>
      </c>
      <c r="E14" s="788"/>
      <c r="F14" s="421"/>
    </row>
    <row r="15" spans="1:8" ht="18" customHeight="1">
      <c r="B15" s="145"/>
      <c r="C15" s="813"/>
      <c r="D15" s="813"/>
      <c r="E15" s="788"/>
      <c r="F15" s="421"/>
    </row>
    <row r="16" spans="1:8" ht="18" customHeight="1">
      <c r="B16" s="528" t="s">
        <v>893</v>
      </c>
      <c r="C16" s="812">
        <f>+C12+C14</f>
        <v>311251025.98088109</v>
      </c>
      <c r="D16" s="812">
        <f>+D12+D14</f>
        <v>17915079928.716003</v>
      </c>
      <c r="E16" s="788"/>
      <c r="F16" s="421"/>
      <c r="H16" s="1050"/>
    </row>
    <row r="17" spans="2:6">
      <c r="B17" s="146"/>
      <c r="C17" s="814"/>
      <c r="D17" s="814"/>
      <c r="E17" s="788"/>
      <c r="F17" s="421"/>
    </row>
    <row r="18" spans="2:6" s="410" customFormat="1" ht="15.5">
      <c r="B18" s="484" t="s">
        <v>262</v>
      </c>
      <c r="C18" s="815"/>
      <c r="D18" s="815"/>
      <c r="E18" s="788"/>
      <c r="F18" s="421"/>
    </row>
    <row r="19" spans="2:6">
      <c r="B19" s="148"/>
      <c r="C19" s="816"/>
      <c r="D19" s="816"/>
      <c r="E19" s="788"/>
      <c r="F19" s="421"/>
    </row>
    <row r="20" spans="2:6" s="435" customFormat="1" ht="14.5">
      <c r="B20" s="499" t="s">
        <v>309</v>
      </c>
      <c r="C20" s="817">
        <f>SUM(C22:C30)</f>
        <v>21200127.204873517</v>
      </c>
      <c r="D20" s="817">
        <f>SUM(D22:D30)</f>
        <v>1220243281.6962717</v>
      </c>
      <c r="E20" s="788"/>
      <c r="F20" s="421"/>
    </row>
    <row r="21" spans="2:6">
      <c r="B21" s="148"/>
      <c r="C21" s="816"/>
      <c r="D21" s="816"/>
      <c r="E21" s="788"/>
      <c r="F21" s="421"/>
    </row>
    <row r="22" spans="2:6">
      <c r="B22" s="279" t="s">
        <v>372</v>
      </c>
      <c r="C22" s="818">
        <v>10381647.824901013</v>
      </c>
      <c r="D22" s="818">
        <v>597550000</v>
      </c>
      <c r="E22" s="788"/>
      <c r="F22" s="421"/>
    </row>
    <row r="23" spans="2:6">
      <c r="B23" s="279" t="s">
        <v>263</v>
      </c>
      <c r="C23" s="818">
        <v>435124.03332179599</v>
      </c>
      <c r="D23" s="818">
        <v>25044999.647145931</v>
      </c>
      <c r="E23" s="788"/>
      <c r="F23" s="421"/>
    </row>
    <row r="24" spans="2:6">
      <c r="B24" s="279" t="s">
        <v>898</v>
      </c>
      <c r="C24" s="818">
        <v>521210.66813995544</v>
      </c>
      <c r="D24" s="818">
        <v>30000000</v>
      </c>
      <c r="E24" s="788"/>
      <c r="F24" s="421"/>
    </row>
    <row r="25" spans="2:6">
      <c r="B25" s="279" t="s">
        <v>373</v>
      </c>
      <c r="C25" s="818">
        <v>5466299.0873180563</v>
      </c>
      <c r="D25" s="818">
        <v>314630882.75757891</v>
      </c>
      <c r="E25" s="788"/>
      <c r="F25" s="421"/>
    </row>
    <row r="26" spans="2:6">
      <c r="B26" s="279" t="s">
        <v>899</v>
      </c>
      <c r="C26" s="818">
        <v>1326575.8289999999</v>
      </c>
      <c r="D26" s="818">
        <v>76355449.538330704</v>
      </c>
      <c r="E26" s="788"/>
      <c r="F26" s="421"/>
    </row>
    <row r="27" spans="2:6">
      <c r="B27" s="279" t="s">
        <v>576</v>
      </c>
      <c r="C27" s="818">
        <v>144327.2267029846</v>
      </c>
      <c r="D27" s="818">
        <v>8307229.812738399</v>
      </c>
      <c r="E27" s="788"/>
      <c r="F27" s="421"/>
    </row>
    <row r="28" spans="2:6">
      <c r="B28" s="279" t="s">
        <v>374</v>
      </c>
      <c r="C28" s="818">
        <v>1342986.1549072852</v>
      </c>
      <c r="D28" s="818">
        <v>77300000</v>
      </c>
      <c r="E28" s="788"/>
      <c r="F28" s="421"/>
    </row>
    <row r="29" spans="2:6">
      <c r="B29" s="279" t="s">
        <v>81</v>
      </c>
      <c r="C29" s="818">
        <v>109171.72658221486</v>
      </c>
      <c r="D29" s="818">
        <v>6283738.9901370984</v>
      </c>
      <c r="E29" s="788"/>
      <c r="F29" s="421"/>
    </row>
    <row r="30" spans="2:6">
      <c r="B30" s="279" t="s">
        <v>49</v>
      </c>
      <c r="C30" s="818">
        <v>1472784.6540002127</v>
      </c>
      <c r="D30" s="818">
        <v>84770980.95034045</v>
      </c>
      <c r="E30" s="788"/>
      <c r="F30" s="421"/>
    </row>
    <row r="31" spans="2:6">
      <c r="B31" s="279"/>
      <c r="C31" s="819"/>
      <c r="D31" s="819"/>
      <c r="E31" s="788"/>
    </row>
    <row r="32" spans="2:6" s="435" customFormat="1" ht="14.5">
      <c r="B32" s="499" t="s">
        <v>264</v>
      </c>
      <c r="C32" s="817">
        <f>SUM(C34:C40)</f>
        <v>13374941.729136596</v>
      </c>
      <c r="D32" s="817">
        <f>SUM(D34:D40)</f>
        <v>769838908.52816296</v>
      </c>
      <c r="E32" s="788"/>
    </row>
    <row r="33" spans="2:7">
      <c r="B33" s="148"/>
      <c r="C33" s="816"/>
      <c r="D33" s="816"/>
      <c r="E33" s="788"/>
    </row>
    <row r="34" spans="2:7">
      <c r="B34" s="279" t="s">
        <v>372</v>
      </c>
      <c r="C34" s="820">
        <v>4300856.6966015324</v>
      </c>
      <c r="D34" s="820">
        <v>247550000</v>
      </c>
      <c r="E34" s="788"/>
    </row>
    <row r="35" spans="2:7">
      <c r="B35" s="279" t="s">
        <v>263</v>
      </c>
      <c r="C35" s="820">
        <v>443857.17348204635</v>
      </c>
      <c r="D35" s="820">
        <v>25547664.348431669</v>
      </c>
      <c r="E35" s="788"/>
    </row>
    <row r="36" spans="2:7">
      <c r="B36" s="279" t="s">
        <v>373</v>
      </c>
      <c r="C36" s="820">
        <v>8321430.5838847794</v>
      </c>
      <c r="D36" s="820">
        <v>478967397.97641534</v>
      </c>
      <c r="E36" s="788"/>
    </row>
    <row r="37" spans="2:7">
      <c r="B37" s="279" t="s">
        <v>576</v>
      </c>
      <c r="C37" s="820">
        <v>174333.72580739879</v>
      </c>
      <c r="D37" s="820">
        <v>10034352.890140003</v>
      </c>
      <c r="E37" s="788"/>
    </row>
    <row r="38" spans="2:7">
      <c r="B38" s="279" t="s">
        <v>81</v>
      </c>
      <c r="C38" s="820">
        <v>28151.374469700495</v>
      </c>
      <c r="D38" s="820">
        <v>1620345.2571393622</v>
      </c>
      <c r="E38" s="788"/>
    </row>
    <row r="39" spans="2:7">
      <c r="B39" s="279" t="s">
        <v>95</v>
      </c>
      <c r="C39" s="820">
        <v>19145.468739233194</v>
      </c>
      <c r="D39" s="820">
        <v>1101980.6333334059</v>
      </c>
      <c r="E39" s="788"/>
    </row>
    <row r="40" spans="2:7">
      <c r="B40" s="279" t="s">
        <v>49</v>
      </c>
      <c r="C40" s="820">
        <v>87166.706151904407</v>
      </c>
      <c r="D40" s="820">
        <v>5017167.42270316</v>
      </c>
      <c r="E40" s="788"/>
    </row>
    <row r="41" spans="2:7">
      <c r="B41" s="146"/>
      <c r="C41" s="816"/>
      <c r="D41" s="816"/>
      <c r="E41" s="788"/>
    </row>
    <row r="42" spans="2:7" s="435" customFormat="1" ht="14.5">
      <c r="B42" s="499" t="s">
        <v>310</v>
      </c>
      <c r="C42" s="817">
        <f>+C20-C32</f>
        <v>7825185.4757369217</v>
      </c>
      <c r="D42" s="817">
        <f>+D20-D32</f>
        <v>450404373.1681087</v>
      </c>
      <c r="E42" s="788"/>
    </row>
    <row r="43" spans="2:7" ht="14.5">
      <c r="B43" s="147"/>
      <c r="C43" s="821"/>
      <c r="D43" s="822"/>
      <c r="E43" s="788"/>
    </row>
    <row r="44" spans="2:7" s="435" customFormat="1" ht="14.5">
      <c r="B44" s="499" t="s">
        <v>352</v>
      </c>
      <c r="C44" s="817">
        <v>8873.7457682037166</v>
      </c>
      <c r="D44" s="817">
        <v>510757.72104999999</v>
      </c>
      <c r="E44" s="788"/>
      <c r="F44" s="15"/>
      <c r="G44" s="15"/>
    </row>
    <row r="45" spans="2:7" ht="14.5">
      <c r="B45" s="147"/>
      <c r="C45" s="822"/>
      <c r="D45" s="822"/>
      <c r="E45" s="788"/>
    </row>
    <row r="46" spans="2:7" s="435" customFormat="1" ht="14.5">
      <c r="B46" s="499" t="s">
        <v>686</v>
      </c>
      <c r="C46" s="823">
        <v>-399408.80729000003</v>
      </c>
      <c r="D46" s="817">
        <v>-22989291.952640008</v>
      </c>
      <c r="E46" s="788"/>
    </row>
    <row r="47" spans="2:7" ht="14.5">
      <c r="B47" s="147"/>
      <c r="C47" s="822"/>
      <c r="D47" s="822"/>
      <c r="E47" s="788"/>
    </row>
    <row r="48" spans="2:7" ht="14.5">
      <c r="B48" s="499" t="s">
        <v>900</v>
      </c>
      <c r="C48" s="822">
        <v>-48686.05</v>
      </c>
      <c r="D48" s="822">
        <v>-2802286.2717150003</v>
      </c>
      <c r="E48" s="788"/>
    </row>
    <row r="49" spans="2:7" ht="14.5">
      <c r="B49" s="147"/>
      <c r="C49" s="822"/>
      <c r="D49" s="822"/>
      <c r="E49" s="788"/>
    </row>
    <row r="50" spans="2:7" s="435" customFormat="1" ht="14.5">
      <c r="B50" s="499" t="s">
        <v>901</v>
      </c>
      <c r="C50" s="817">
        <f>SUM(C52:C55)</f>
        <v>4397922.6932428833</v>
      </c>
      <c r="D50" s="817">
        <f>SUM(D52:D55)</f>
        <v>1002351693.1538261</v>
      </c>
      <c r="E50" s="788"/>
    </row>
    <row r="51" spans="2:7" s="421" customFormat="1">
      <c r="B51" s="529"/>
      <c r="C51" s="824"/>
      <c r="D51" s="824"/>
      <c r="E51" s="788"/>
    </row>
    <row r="52" spans="2:7">
      <c r="B52" s="279" t="s">
        <v>51</v>
      </c>
      <c r="C52" s="820">
        <v>-585454.25856327033</v>
      </c>
      <c r="D52" s="820">
        <v>660941318.32372868</v>
      </c>
      <c r="E52" s="788"/>
    </row>
    <row r="53" spans="2:7">
      <c r="B53" s="279" t="s">
        <v>52</v>
      </c>
      <c r="C53" s="818">
        <v>2038734.2511494369</v>
      </c>
      <c r="D53" s="818">
        <v>171921746.87288794</v>
      </c>
      <c r="E53" s="788"/>
    </row>
    <row r="54" spans="2:7">
      <c r="B54" s="279" t="s">
        <v>814</v>
      </c>
      <c r="C54" s="818">
        <v>933485.55188771605</v>
      </c>
      <c r="D54" s="818">
        <v>53729841.441218726</v>
      </c>
      <c r="E54" s="788"/>
    </row>
    <row r="55" spans="2:7">
      <c r="B55" s="698" t="s">
        <v>897</v>
      </c>
      <c r="C55" s="818">
        <v>2011157.1487690001</v>
      </c>
      <c r="D55" s="818">
        <v>115758786.51599075</v>
      </c>
      <c r="E55" s="788"/>
    </row>
    <row r="56" spans="2:7">
      <c r="B56" s="146"/>
      <c r="C56" s="819"/>
      <c r="D56" s="819"/>
      <c r="E56" s="788"/>
    </row>
    <row r="57" spans="2:7" s="435" customFormat="1" ht="14.5">
      <c r="B57" s="499" t="s">
        <v>902</v>
      </c>
      <c r="C57" s="817">
        <f>SUM(C59:C61)</f>
        <v>29705.225717321056</v>
      </c>
      <c r="D57" s="817">
        <f>SUM(D59:D61)</f>
        <v>7400136.3906690553</v>
      </c>
      <c r="E57" s="788"/>
    </row>
    <row r="58" spans="2:7" s="421" customFormat="1">
      <c r="B58" s="529"/>
      <c r="C58" s="824"/>
      <c r="D58" s="824"/>
      <c r="E58" s="788"/>
    </row>
    <row r="59" spans="2:7">
      <c r="B59" s="279" t="s">
        <v>51</v>
      </c>
      <c r="C59" s="820">
        <v>24328.721018835007</v>
      </c>
      <c r="D59" s="820">
        <v>6944266.3696204182</v>
      </c>
      <c r="E59" s="788"/>
    </row>
    <row r="60" spans="2:7">
      <c r="B60" s="279" t="s">
        <v>52</v>
      </c>
      <c r="C60" s="818">
        <v>5469.2153554860506</v>
      </c>
      <c r="D60" s="818">
        <v>461206.28885744046</v>
      </c>
      <c r="E60" s="788"/>
    </row>
    <row r="61" spans="2:7">
      <c r="B61" s="279" t="s">
        <v>834</v>
      </c>
      <c r="C61" s="818">
        <v>-92.710656999999983</v>
      </c>
      <c r="D61" s="818">
        <v>-5336.2678088030989</v>
      </c>
      <c r="E61" s="788"/>
      <c r="F61" s="959"/>
    </row>
    <row r="62" spans="2:7">
      <c r="B62" s="149"/>
      <c r="C62" s="825"/>
      <c r="D62" s="825"/>
      <c r="E62" s="788"/>
    </row>
    <row r="63" spans="2:7" s="410" customFormat="1" ht="15.5">
      <c r="B63" s="484" t="s">
        <v>903</v>
      </c>
      <c r="C63" s="826">
        <f>+C42+C44+C46+C48+C50+C57</f>
        <v>11813592.283175331</v>
      </c>
      <c r="D63" s="826">
        <f>+D42+D44+D46+D48+D50+D57</f>
        <v>1434875382.2092988</v>
      </c>
      <c r="E63" s="788"/>
    </row>
    <row r="64" spans="2:7" ht="18" customHeight="1">
      <c r="B64" s="148"/>
      <c r="C64" s="827"/>
      <c r="D64" s="827"/>
      <c r="E64" s="1068"/>
      <c r="F64" s="1068"/>
      <c r="G64" s="1068"/>
    </row>
    <row r="65" spans="2:7" s="408" customFormat="1" ht="18" customHeight="1">
      <c r="B65" s="528" t="s">
        <v>894</v>
      </c>
      <c r="C65" s="828">
        <f>+C16+C63</f>
        <v>323064618.26405644</v>
      </c>
      <c r="D65" s="828">
        <f>+D16+D63</f>
        <v>19349955310.925301</v>
      </c>
      <c r="E65" s="1068"/>
      <c r="F65" s="1068"/>
      <c r="G65" s="1068"/>
    </row>
    <row r="66" spans="2:7" ht="18" customHeight="1">
      <c r="B66" s="151"/>
      <c r="C66" s="819"/>
      <c r="D66" s="819"/>
      <c r="E66" s="1068"/>
      <c r="F66" s="1179"/>
      <c r="G66" s="1068"/>
    </row>
    <row r="67" spans="2:7" s="408" customFormat="1" ht="18" customHeight="1">
      <c r="B67" s="528" t="s">
        <v>895</v>
      </c>
      <c r="C67" s="828">
        <f>+C14+C57</f>
        <v>2435209.521091166</v>
      </c>
      <c r="D67" s="828">
        <f>+D14+D57</f>
        <v>145856874.33537132</v>
      </c>
      <c r="E67" s="1068"/>
      <c r="F67" s="1068"/>
      <c r="G67" s="1068"/>
    </row>
    <row r="68" spans="2:7" ht="18" customHeight="1">
      <c r="B68" s="151"/>
      <c r="C68" s="819"/>
      <c r="D68" s="819"/>
      <c r="E68" s="1068"/>
      <c r="F68" s="1068"/>
      <c r="G68" s="1068"/>
    </row>
    <row r="69" spans="2:7" s="408" customFormat="1" ht="18" customHeight="1">
      <c r="B69" s="528" t="s">
        <v>896</v>
      </c>
      <c r="C69" s="828">
        <f>+C65-C67</f>
        <v>320629408.74296528</v>
      </c>
      <c r="D69" s="828">
        <f>+D65-D67</f>
        <v>19204098436.589928</v>
      </c>
      <c r="E69" s="1068"/>
      <c r="F69" s="1068"/>
      <c r="G69" s="1068"/>
    </row>
    <row r="70" spans="2:7" ht="18" customHeight="1" thickBot="1">
      <c r="B70" s="152"/>
      <c r="C70" s="829"/>
      <c r="D70" s="829"/>
      <c r="E70" s="1049"/>
    </row>
    <row r="71" spans="2:7" ht="13.5" thickTop="1">
      <c r="B71" s="153"/>
      <c r="C71" s="154"/>
      <c r="D71" s="154"/>
    </row>
    <row r="72" spans="2:7" ht="27.5" customHeight="1">
      <c r="B72" s="1273" t="s">
        <v>904</v>
      </c>
      <c r="C72" s="1273"/>
      <c r="D72" s="1273"/>
      <c r="E72" s="1273"/>
      <c r="F72" s="1273"/>
    </row>
    <row r="73" spans="2:7" ht="12.75" customHeight="1">
      <c r="B73" s="155"/>
      <c r="C73" s="155"/>
      <c r="D73" s="155"/>
    </row>
    <row r="74" spans="2:7">
      <c r="B74" s="5"/>
      <c r="C74" s="5"/>
      <c r="D74" s="5"/>
      <c r="E74" s="63"/>
    </row>
    <row r="75" spans="2:7">
      <c r="B75" s="5"/>
      <c r="C75" s="93"/>
      <c r="D75" s="5"/>
      <c r="E75" s="63"/>
    </row>
    <row r="76" spans="2:7" ht="17">
      <c r="B76" s="1460" t="s">
        <v>746</v>
      </c>
      <c r="C76" s="1460"/>
      <c r="D76" s="1460"/>
      <c r="E76" s="1460"/>
    </row>
    <row r="77" spans="2:7">
      <c r="B77" s="5"/>
      <c r="C77" s="5"/>
      <c r="D77" s="5"/>
    </row>
    <row r="78" spans="2:7">
      <c r="B78" s="5"/>
      <c r="C78" s="5"/>
      <c r="D78" s="5"/>
    </row>
    <row r="79" spans="2:7" ht="13.5" thickBot="1">
      <c r="B79" s="5" t="s">
        <v>166</v>
      </c>
      <c r="C79" s="5"/>
      <c r="D79" s="5"/>
    </row>
    <row r="80" spans="2:7" ht="13.5" customHeight="1" thickTop="1">
      <c r="B80" s="1462" t="s">
        <v>287</v>
      </c>
      <c r="C80" s="1464" t="s">
        <v>44</v>
      </c>
      <c r="D80" s="1465"/>
      <c r="E80" s="1466"/>
    </row>
    <row r="81" spans="2:5" ht="13.5" customHeight="1" thickBot="1">
      <c r="B81" s="1463"/>
      <c r="C81" s="11" t="s">
        <v>45</v>
      </c>
      <c r="D81" s="12" t="s">
        <v>46</v>
      </c>
      <c r="E81" s="962" t="s">
        <v>292</v>
      </c>
    </row>
    <row r="82" spans="2:5" ht="13.5" thickTop="1">
      <c r="B82" s="156"/>
      <c r="C82" s="719"/>
      <c r="D82" s="720"/>
      <c r="E82" s="963"/>
    </row>
    <row r="83" spans="2:5">
      <c r="B83" s="146" t="s">
        <v>100</v>
      </c>
      <c r="C83" s="721">
        <v>-1799.4441639370041</v>
      </c>
      <c r="D83" s="855">
        <v>-0.03</v>
      </c>
      <c r="E83" s="1176">
        <v>-1799.4741639370041</v>
      </c>
    </row>
    <row r="84" spans="2:5">
      <c r="B84" s="146" t="s">
        <v>101</v>
      </c>
      <c r="C84" s="721">
        <v>580.5709446806984</v>
      </c>
      <c r="D84" s="855">
        <v>24.67</v>
      </c>
      <c r="E84" s="1176">
        <v>605.24094468069836</v>
      </c>
    </row>
    <row r="85" spans="2:5">
      <c r="B85" s="146" t="s">
        <v>339</v>
      </c>
      <c r="C85" s="721">
        <v>619.84793909819791</v>
      </c>
      <c r="D85" s="855">
        <v>0</v>
      </c>
      <c r="E85" s="1176">
        <v>619.84793909819791</v>
      </c>
    </row>
    <row r="86" spans="2:5">
      <c r="B86" s="146" t="s">
        <v>102</v>
      </c>
      <c r="C86" s="721">
        <v>-3.8682311841990948</v>
      </c>
      <c r="D86" s="855">
        <v>-0.15</v>
      </c>
      <c r="E86" s="1176">
        <v>-4.0182311841990952</v>
      </c>
    </row>
    <row r="87" spans="2:5">
      <c r="B87" s="146" t="s">
        <v>103</v>
      </c>
      <c r="C87" s="721">
        <v>15.617058094671011</v>
      </c>
      <c r="D87" s="855">
        <v>0.47</v>
      </c>
      <c r="E87" s="1176">
        <v>16.087058094671011</v>
      </c>
    </row>
    <row r="88" spans="2:5">
      <c r="B88" s="146" t="s">
        <v>83</v>
      </c>
      <c r="C88" s="721">
        <v>0.39055460086722021</v>
      </c>
      <c r="D88" s="855">
        <v>0.24</v>
      </c>
      <c r="E88" s="1176">
        <v>0.63055460086722026</v>
      </c>
    </row>
    <row r="89" spans="2:5">
      <c r="B89" s="146" t="s">
        <v>340</v>
      </c>
      <c r="C89" s="721">
        <v>0.55958556037570439</v>
      </c>
      <c r="D89" s="855">
        <v>0</v>
      </c>
      <c r="E89" s="1176">
        <v>0.55958556037570439</v>
      </c>
    </row>
    <row r="90" spans="2:5">
      <c r="B90" s="146"/>
      <c r="C90" s="717"/>
      <c r="D90" s="718"/>
      <c r="E90" s="1177"/>
    </row>
    <row r="91" spans="2:5" ht="13.5" thickBot="1">
      <c r="B91" s="157" t="s">
        <v>292</v>
      </c>
      <c r="C91" s="722">
        <f>SUM(C83:C90)</f>
        <v>-586.32631308639293</v>
      </c>
      <c r="D91" s="723">
        <f>SUM(D83:D90)</f>
        <v>25.2</v>
      </c>
      <c r="E91" s="1178">
        <f>SUM(E83:E90)</f>
        <v>-561.12631308639311</v>
      </c>
    </row>
    <row r="92" spans="2:5" ht="13.5" thickTop="1">
      <c r="B92" s="9"/>
      <c r="C92" s="158"/>
      <c r="D92" s="158"/>
    </row>
    <row r="93" spans="2:5">
      <c r="B93" s="5" t="s">
        <v>341</v>
      </c>
      <c r="C93" s="5"/>
      <c r="D93" s="5"/>
    </row>
    <row r="94" spans="2:5">
      <c r="B94" s="5" t="s">
        <v>577</v>
      </c>
      <c r="C94" s="5"/>
      <c r="D94" s="5"/>
    </row>
    <row r="95" spans="2:5">
      <c r="B95" s="159"/>
    </row>
    <row r="96" spans="2:5">
      <c r="B96" s="5"/>
    </row>
  </sheetData>
  <mergeCells count="6">
    <mergeCell ref="B5:D5"/>
    <mergeCell ref="B76:E76"/>
    <mergeCell ref="B6:D6"/>
    <mergeCell ref="B7:D7"/>
    <mergeCell ref="B80:B81"/>
    <mergeCell ref="C80:E80"/>
  </mergeCells>
  <hyperlinks>
    <hyperlink ref="A1" location="INDICE!A1" display="Indice"/>
  </hyperlinks>
  <printOptions horizontalCentered="1"/>
  <pageMargins left="0.14000000000000001" right="0.13" top="0.19685039370078741" bottom="0.19685039370078741" header="0.15748031496062992" footer="0"/>
  <pageSetup paperSize="9" scale="6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sheetPr>
    <tabColor theme="3" tint="0.79998168889431442"/>
    <pageSetUpPr fitToPage="1"/>
  </sheetPr>
  <dimension ref="A1:F84"/>
  <sheetViews>
    <sheetView showGridLines="0" zoomScaleNormal="100" zoomScaleSheetLayoutView="85" workbookViewId="0"/>
  </sheetViews>
  <sheetFormatPr baseColWidth="10" defaultColWidth="11.453125" defaultRowHeight="13"/>
  <cols>
    <col min="1" max="1" width="6.81640625" style="15" customWidth="1"/>
    <col min="2" max="2" width="108.453125" style="15" bestFit="1" customWidth="1"/>
    <col min="3" max="3" width="19.1796875" style="15" customWidth="1"/>
    <col min="4" max="4" width="19.1796875" style="15" bestFit="1" customWidth="1"/>
    <col min="5" max="5" width="24" style="960" bestFit="1" customWidth="1"/>
    <col min="6" max="6" width="20" style="15" bestFit="1" customWidth="1"/>
    <col min="7" max="16384" width="11.453125" style="15"/>
  </cols>
  <sheetData>
    <row r="1" spans="1:6" ht="14.5">
      <c r="A1" s="738" t="s">
        <v>219</v>
      </c>
      <c r="B1" s="435"/>
    </row>
    <row r="2" spans="1:6" ht="15" customHeight="1">
      <c r="A2" s="435"/>
      <c r="B2" s="386" t="str">
        <f>+INDICE!B2</f>
        <v>MINISTERIO DE ECONOMÍA</v>
      </c>
      <c r="C2" s="142"/>
      <c r="D2" s="142"/>
    </row>
    <row r="3" spans="1:6" ht="15" customHeight="1">
      <c r="A3" s="435"/>
      <c r="B3" s="270" t="str">
        <f>+INDICE!B3</f>
        <v>SECRETARÍA DE FINANZAS</v>
      </c>
      <c r="C3" s="142"/>
      <c r="D3" s="142"/>
    </row>
    <row r="4" spans="1:6" s="421" customFormat="1" ht="12">
      <c r="B4" s="1091"/>
      <c r="C4" s="1092"/>
      <c r="D4" s="1092"/>
      <c r="E4" s="1093"/>
    </row>
    <row r="5" spans="1:6" s="421" customFormat="1" ht="17">
      <c r="B5" s="1459" t="s">
        <v>773</v>
      </c>
      <c r="C5" s="1459"/>
      <c r="D5" s="1459"/>
      <c r="E5" s="1093"/>
    </row>
    <row r="6" spans="1:6" ht="17.25" customHeight="1">
      <c r="B6" s="1459" t="s">
        <v>282</v>
      </c>
      <c r="C6" s="1459"/>
      <c r="D6" s="1459"/>
    </row>
    <row r="7" spans="1:6" ht="17.25" customHeight="1">
      <c r="B7" s="1461" t="s">
        <v>906</v>
      </c>
      <c r="C7" s="1461"/>
      <c r="D7" s="1461"/>
    </row>
    <row r="8" spans="1:6" s="421" customFormat="1" ht="12">
      <c r="B8" s="443"/>
      <c r="C8" s="443"/>
      <c r="D8" s="443"/>
      <c r="E8" s="1093"/>
    </row>
    <row r="9" spans="1:6" s="421" customFormat="1" ht="12.5" thickBot="1">
      <c r="B9" s="444"/>
      <c r="C9" s="445"/>
      <c r="D9" s="445"/>
      <c r="E9" s="1093"/>
    </row>
    <row r="10" spans="1:6" ht="17.25" customHeight="1" thickTop="1" thickBot="1">
      <c r="B10" s="143"/>
      <c r="C10" s="448" t="s">
        <v>274</v>
      </c>
      <c r="D10" s="448" t="s">
        <v>275</v>
      </c>
    </row>
    <row r="11" spans="1:6" ht="18" customHeight="1" thickTop="1">
      <c r="B11" s="144"/>
      <c r="C11" s="1094"/>
      <c r="D11" s="1095"/>
    </row>
    <row r="12" spans="1:6" ht="18" customHeight="1">
      <c r="B12" s="528" t="s">
        <v>792</v>
      </c>
      <c r="C12" s="812">
        <v>329386381.43773806</v>
      </c>
      <c r="D12" s="812">
        <v>12453539128.397247</v>
      </c>
      <c r="F12" s="1123"/>
    </row>
    <row r="13" spans="1:6" ht="18" customHeight="1">
      <c r="B13" s="145"/>
      <c r="C13" s="813"/>
      <c r="D13" s="813"/>
    </row>
    <row r="14" spans="1:6" ht="18" customHeight="1">
      <c r="B14" s="528" t="s">
        <v>793</v>
      </c>
      <c r="C14" s="812">
        <v>2805421.7250773218</v>
      </c>
      <c r="D14" s="812">
        <v>106068226.20791095</v>
      </c>
    </row>
    <row r="15" spans="1:6" ht="18" customHeight="1">
      <c r="B15" s="145"/>
      <c r="C15" s="813"/>
      <c r="D15" s="813"/>
    </row>
    <row r="16" spans="1:6" ht="18" customHeight="1">
      <c r="B16" s="528" t="s">
        <v>794</v>
      </c>
      <c r="C16" s="812">
        <f>+C12+C14</f>
        <v>332191803.16281539</v>
      </c>
      <c r="D16" s="812">
        <f>+D12+D14</f>
        <v>12559607354.605158</v>
      </c>
      <c r="E16" s="1068"/>
    </row>
    <row r="17" spans="1:6">
      <c r="B17" s="146"/>
      <c r="C17" s="1096"/>
      <c r="D17" s="1097"/>
    </row>
    <row r="18" spans="1:6" s="410" customFormat="1" ht="15.5">
      <c r="B18" s="484" t="s">
        <v>262</v>
      </c>
      <c r="C18" s="1098"/>
      <c r="D18" s="1099"/>
      <c r="E18" s="1100"/>
      <c r="F18" s="15"/>
    </row>
    <row r="19" spans="1:6">
      <c r="B19" s="148"/>
      <c r="C19" s="1101"/>
      <c r="D19" s="1101"/>
    </row>
    <row r="20" spans="1:6" s="435" customFormat="1" ht="14.5">
      <c r="B20" s="499" t="s">
        <v>309</v>
      </c>
      <c r="C20" s="1102">
        <f>SUM(C22:C30)</f>
        <v>98622528.630646139</v>
      </c>
      <c r="D20" s="1102">
        <f>SUM(D22:D30)</f>
        <v>4424584225.2372723</v>
      </c>
      <c r="E20" s="1103"/>
      <c r="F20" s="15"/>
    </row>
    <row r="21" spans="1:6">
      <c r="B21" s="148"/>
      <c r="C21" s="1101"/>
      <c r="D21" s="1104"/>
    </row>
    <row r="22" spans="1:6">
      <c r="B22" s="279" t="s">
        <v>372</v>
      </c>
      <c r="C22" s="818">
        <v>16636408.077200919</v>
      </c>
      <c r="D22" s="818">
        <v>852730000</v>
      </c>
    </row>
    <row r="23" spans="1:6">
      <c r="B23" s="279" t="s">
        <v>263</v>
      </c>
      <c r="C23" s="818">
        <v>18918031.021326825</v>
      </c>
      <c r="D23" s="818">
        <v>819490793.34768081</v>
      </c>
    </row>
    <row r="24" spans="1:6">
      <c r="B24" s="279" t="s">
        <v>898</v>
      </c>
      <c r="C24" s="818">
        <v>521210.66813995544</v>
      </c>
      <c r="D24" s="818">
        <v>30000000</v>
      </c>
    </row>
    <row r="25" spans="1:6">
      <c r="B25" s="279" t="s">
        <v>373</v>
      </c>
      <c r="C25" s="818">
        <v>43732271.99209509</v>
      </c>
      <c r="D25" s="818">
        <v>1894776843.3770852</v>
      </c>
    </row>
    <row r="26" spans="1:6">
      <c r="B26" s="279" t="s">
        <v>899</v>
      </c>
      <c r="C26" s="818">
        <v>1326575.8289999999</v>
      </c>
      <c r="D26" s="818">
        <v>76355449.538330704</v>
      </c>
    </row>
    <row r="27" spans="1:6">
      <c r="B27" s="279" t="s">
        <v>812</v>
      </c>
      <c r="C27" s="818">
        <v>14081048.857885305</v>
      </c>
      <c r="D27" s="818">
        <v>563315235.33333945</v>
      </c>
    </row>
    <row r="28" spans="1:6">
      <c r="B28" s="279" t="s">
        <v>374</v>
      </c>
      <c r="C28" s="818">
        <v>1342986.1549072852</v>
      </c>
      <c r="D28" s="818">
        <v>77300000</v>
      </c>
    </row>
    <row r="29" spans="1:6">
      <c r="B29" s="279" t="s">
        <v>81</v>
      </c>
      <c r="C29" s="818">
        <v>416295.64681553323</v>
      </c>
      <c r="D29" s="818">
        <v>18890657.162246495</v>
      </c>
    </row>
    <row r="30" spans="1:6">
      <c r="B30" s="279" t="s">
        <v>49</v>
      </c>
      <c r="C30" s="818">
        <v>1647700.3832752195</v>
      </c>
      <c r="D30" s="818">
        <v>91725246.478589892</v>
      </c>
    </row>
    <row r="31" spans="1:6">
      <c r="A31" s="1106"/>
      <c r="C31" s="1107"/>
      <c r="D31" s="1108"/>
    </row>
    <row r="32" spans="1:6" s="435" customFormat="1" ht="14.5">
      <c r="B32" s="499" t="s">
        <v>264</v>
      </c>
      <c r="C32" s="1102">
        <f>SUM(C34:C43)</f>
        <v>93179643.637297735</v>
      </c>
      <c r="D32" s="1102">
        <f>SUM(D34:D43)</f>
        <v>4064392153.3903184</v>
      </c>
      <c r="E32" s="1103"/>
      <c r="F32" s="15"/>
    </row>
    <row r="33" spans="2:6">
      <c r="B33" s="148"/>
      <c r="C33" s="1101"/>
      <c r="D33" s="1101"/>
    </row>
    <row r="34" spans="2:6">
      <c r="B34" s="279" t="s">
        <v>372</v>
      </c>
      <c r="C34" s="820">
        <v>10555616.948901439</v>
      </c>
      <c r="D34" s="820">
        <v>502730000</v>
      </c>
    </row>
    <row r="35" spans="2:6">
      <c r="B35" s="279" t="s">
        <v>263</v>
      </c>
      <c r="C35" s="820">
        <v>1799300.931589901</v>
      </c>
      <c r="D35" s="820">
        <v>81347537.60166207</v>
      </c>
    </row>
    <row r="36" spans="2:6">
      <c r="B36" s="279" t="s">
        <v>373</v>
      </c>
      <c r="C36" s="820">
        <v>45373246.155158952</v>
      </c>
      <c r="D36" s="820">
        <v>2011786036.4023545</v>
      </c>
    </row>
    <row r="37" spans="2:6">
      <c r="B37" s="279" t="s">
        <v>812</v>
      </c>
      <c r="C37" s="820">
        <v>29450763.817756161</v>
      </c>
      <c r="D37" s="820">
        <v>1213792444.3553028</v>
      </c>
    </row>
    <row r="38" spans="2:6">
      <c r="B38" s="279" t="s">
        <v>811</v>
      </c>
      <c r="C38" s="820">
        <v>2750000</v>
      </c>
      <c r="D38" s="820">
        <v>119221574.99999999</v>
      </c>
    </row>
    <row r="39" spans="2:6">
      <c r="B39" s="279" t="s">
        <v>374</v>
      </c>
      <c r="C39" s="820">
        <v>1170622.6392885337</v>
      </c>
      <c r="D39" s="820">
        <v>44327786.33413747</v>
      </c>
    </row>
    <row r="40" spans="2:6">
      <c r="B40" s="279" t="s">
        <v>81</v>
      </c>
      <c r="C40" s="820">
        <v>1909006.5985904974</v>
      </c>
      <c r="D40" s="820">
        <v>82436343.062713072</v>
      </c>
    </row>
    <row r="41" spans="2:6">
      <c r="B41" s="279" t="s">
        <v>95</v>
      </c>
      <c r="C41" s="820">
        <v>68455.384689744576</v>
      </c>
      <c r="D41" s="820">
        <v>3144632.0907314597</v>
      </c>
    </row>
    <row r="42" spans="2:6">
      <c r="B42" s="279" t="s">
        <v>67</v>
      </c>
      <c r="C42" s="820">
        <v>14253.971206591361</v>
      </c>
      <c r="D42" s="820">
        <v>538918.41957016813</v>
      </c>
    </row>
    <row r="43" spans="2:6">
      <c r="B43" s="279" t="s">
        <v>49</v>
      </c>
      <c r="C43" s="820">
        <v>88377.190115916688</v>
      </c>
      <c r="D43" s="820">
        <v>5066880.1238468559</v>
      </c>
    </row>
    <row r="44" spans="2:6">
      <c r="B44" s="146"/>
      <c r="C44" s="1101"/>
      <c r="D44" s="1104"/>
    </row>
    <row r="45" spans="2:6" s="435" customFormat="1" ht="14.5">
      <c r="B45" s="499" t="s">
        <v>310</v>
      </c>
      <c r="C45" s="1102">
        <f>+C20-C32</f>
        <v>5442884.9933484048</v>
      </c>
      <c r="D45" s="1102">
        <f>+D20-D32</f>
        <v>360192071.84695387</v>
      </c>
      <c r="E45" s="1103"/>
      <c r="F45" s="15"/>
    </row>
    <row r="46" spans="2:6" ht="14.5">
      <c r="B46" s="147"/>
      <c r="C46" s="1111"/>
      <c r="D46" s="1112"/>
    </row>
    <row r="47" spans="2:6" s="435" customFormat="1" ht="14.5">
      <c r="B47" s="499" t="s">
        <v>352</v>
      </c>
      <c r="C47" s="1102">
        <v>44839.790618266969</v>
      </c>
      <c r="D47" s="1112">
        <v>2015756.2217400002</v>
      </c>
      <c r="E47" s="1103"/>
      <c r="F47" s="15"/>
    </row>
    <row r="48" spans="2:6" ht="14.5">
      <c r="B48" s="147"/>
      <c r="C48" s="1102"/>
      <c r="D48" s="1112"/>
    </row>
    <row r="49" spans="2:6" ht="14.5">
      <c r="B49" s="499" t="s">
        <v>686</v>
      </c>
      <c r="C49" s="1102">
        <v>-479083.05463999999</v>
      </c>
      <c r="D49" s="1112">
        <v>-26202777.672838364</v>
      </c>
    </row>
    <row r="50" spans="2:6" ht="14.5">
      <c r="B50" s="147"/>
      <c r="C50" s="1102"/>
      <c r="D50" s="1112"/>
    </row>
    <row r="51" spans="2:6" s="435" customFormat="1" ht="14.5">
      <c r="B51" s="499" t="s">
        <v>900</v>
      </c>
      <c r="C51" s="1102">
        <v>-48686.05</v>
      </c>
      <c r="D51" s="1112">
        <v>-2802286.2717150003</v>
      </c>
      <c r="E51" s="1103"/>
      <c r="F51" s="15"/>
    </row>
    <row r="52" spans="2:6" ht="14.5">
      <c r="B52" s="147"/>
      <c r="C52" s="1102"/>
      <c r="D52" s="1102"/>
      <c r="E52" s="1103"/>
      <c r="F52" s="1103"/>
    </row>
    <row r="53" spans="2:6" s="435" customFormat="1" ht="14.5">
      <c r="B53" s="499" t="s">
        <v>901</v>
      </c>
      <c r="C53" s="1102">
        <f>SUM(C55:C58)</f>
        <v>-13716928.374099504</v>
      </c>
      <c r="D53" s="1102">
        <f>SUM(D55:D58)</f>
        <v>6417356544.0685425</v>
      </c>
      <c r="E53" s="1103"/>
      <c r="F53" s="1103"/>
    </row>
    <row r="54" spans="2:6" s="421" customFormat="1" ht="14.5">
      <c r="B54" s="529"/>
      <c r="C54" s="1113"/>
      <c r="D54" s="1114"/>
      <c r="E54" s="1103"/>
      <c r="F54" s="1103"/>
    </row>
    <row r="55" spans="2:6" ht="14.5">
      <c r="B55" s="279" t="s">
        <v>51</v>
      </c>
      <c r="C55" s="1109">
        <v>-20432016.327667084</v>
      </c>
      <c r="D55" s="1110">
        <v>5571137089.9955368</v>
      </c>
      <c r="E55" s="1103"/>
      <c r="F55" s="1103"/>
    </row>
    <row r="56" spans="2:6" ht="14.5">
      <c r="B56" s="279" t="s">
        <v>52</v>
      </c>
      <c r="C56" s="1105">
        <v>-1060267.9739607773</v>
      </c>
      <c r="D56" s="1105">
        <v>480637816.1485163</v>
      </c>
      <c r="E56" s="1103"/>
      <c r="F56" s="1103"/>
    </row>
    <row r="57" spans="2:6" ht="14.5">
      <c r="B57" s="279" t="s">
        <v>814</v>
      </c>
      <c r="C57" s="1105">
        <v>5738018.0552459834</v>
      </c>
      <c r="D57" s="1105">
        <v>248695926.29245251</v>
      </c>
      <c r="E57" s="1103"/>
      <c r="F57" s="1103"/>
    </row>
    <row r="58" spans="2:6" ht="14.5">
      <c r="B58" s="698" t="s">
        <v>905</v>
      </c>
      <c r="C58" s="1105">
        <v>2037337.87228237</v>
      </c>
      <c r="D58" s="1105">
        <v>116885711.63203661</v>
      </c>
      <c r="E58" s="1103"/>
      <c r="F58" s="1103"/>
    </row>
    <row r="59" spans="2:6" ht="14.5">
      <c r="B59" s="146"/>
      <c r="C59" s="1107"/>
      <c r="D59" s="1107"/>
      <c r="E59" s="1103"/>
      <c r="F59" s="1103"/>
    </row>
    <row r="60" spans="2:6" s="435" customFormat="1" ht="14.5">
      <c r="B60" s="499" t="s">
        <v>902</v>
      </c>
      <c r="C60" s="1102">
        <f>SUM(C62:C64)</f>
        <v>-370212.20398615609</v>
      </c>
      <c r="D60" s="1102">
        <f>SUM(D62:D64)</f>
        <v>39788648.127460383</v>
      </c>
      <c r="E60" s="1103"/>
      <c r="F60" s="1103"/>
    </row>
    <row r="61" spans="2:6" s="421" customFormat="1" ht="14.5">
      <c r="B61" s="529"/>
      <c r="C61" s="1113"/>
      <c r="D61" s="1114"/>
      <c r="E61" s="1103"/>
      <c r="F61" s="1103"/>
    </row>
    <row r="62" spans="2:6" ht="14.5">
      <c r="B62" s="279" t="s">
        <v>51</v>
      </c>
      <c r="C62" s="1109">
        <v>-17221.197852239988</v>
      </c>
      <c r="D62" s="1110">
        <v>51983407.603770874</v>
      </c>
      <c r="E62" s="1103"/>
      <c r="F62" s="1103"/>
    </row>
    <row r="63" spans="2:6" ht="14.5">
      <c r="B63" s="279" t="s">
        <v>52</v>
      </c>
      <c r="C63" s="1105">
        <v>-2841.4253109178317</v>
      </c>
      <c r="D63" s="1105">
        <v>1278915.58160386</v>
      </c>
      <c r="E63" s="1103"/>
      <c r="F63" s="1103"/>
    </row>
    <row r="64" spans="2:6" ht="14.5">
      <c r="B64" s="279" t="s">
        <v>834</v>
      </c>
      <c r="C64" s="1105">
        <v>-350149.58082299825</v>
      </c>
      <c r="D64" s="1105">
        <v>-13473675.057914354</v>
      </c>
      <c r="E64" s="1103"/>
      <c r="F64" s="1103"/>
    </row>
    <row r="65" spans="2:6" ht="14.5">
      <c r="B65" s="279"/>
      <c r="C65" s="1105"/>
      <c r="D65" s="1115"/>
      <c r="E65" s="1103"/>
      <c r="F65" s="1103"/>
    </row>
    <row r="66" spans="2:6" s="410" customFormat="1" ht="15.5">
      <c r="B66" s="484" t="s">
        <v>903</v>
      </c>
      <c r="C66" s="1116">
        <f>+C45+C47+C49+C51+C53+C60</f>
        <v>-9127184.8987589888</v>
      </c>
      <c r="D66" s="1116">
        <f>+D45+D47+D49+D51+D53+D60</f>
        <v>6790347956.3201437</v>
      </c>
      <c r="E66" s="1103"/>
      <c r="F66" s="1103"/>
    </row>
    <row r="67" spans="2:6" ht="18" customHeight="1">
      <c r="B67" s="148"/>
      <c r="C67" s="1117"/>
      <c r="D67" s="1117"/>
      <c r="E67" s="1103"/>
      <c r="F67" s="1103"/>
    </row>
    <row r="68" spans="2:6" s="408" customFormat="1" ht="18" customHeight="1">
      <c r="B68" s="528" t="s">
        <v>894</v>
      </c>
      <c r="C68" s="1118">
        <f>+C16+C66</f>
        <v>323064618.26405638</v>
      </c>
      <c r="D68" s="1118">
        <f>+D16+D66</f>
        <v>19349955310.925301</v>
      </c>
      <c r="E68" s="1128"/>
      <c r="F68" s="1103"/>
    </row>
    <row r="69" spans="2:6" ht="18" customHeight="1">
      <c r="B69" s="151"/>
      <c r="C69" s="1107"/>
      <c r="D69" s="1107"/>
      <c r="E69" s="1103"/>
      <c r="F69" s="1103"/>
    </row>
    <row r="70" spans="2:6" s="408" customFormat="1" ht="18" customHeight="1">
      <c r="B70" s="528" t="s">
        <v>895</v>
      </c>
      <c r="C70" s="1118">
        <f>+C14+C60</f>
        <v>2435209.5210911655</v>
      </c>
      <c r="D70" s="1118">
        <f>+D14+D60</f>
        <v>145856874.33537135</v>
      </c>
      <c r="E70" s="1103"/>
      <c r="F70" s="1103"/>
    </row>
    <row r="71" spans="2:6" ht="18" customHeight="1">
      <c r="B71" s="151"/>
      <c r="C71" s="1107"/>
      <c r="D71" s="1107"/>
      <c r="E71" s="1103"/>
      <c r="F71" s="1103"/>
    </row>
    <row r="72" spans="2:6" s="408" customFormat="1" ht="18" customHeight="1">
      <c r="B72" s="528" t="s">
        <v>896</v>
      </c>
      <c r="C72" s="1118">
        <f>+C68-C70</f>
        <v>320629408.74296522</v>
      </c>
      <c r="D72" s="1118">
        <f>+D68-D70</f>
        <v>19204098436.589928</v>
      </c>
      <c r="E72" s="1128"/>
      <c r="F72" s="1103"/>
    </row>
    <row r="73" spans="2:6" ht="18" customHeight="1" thickBot="1">
      <c r="B73" s="152"/>
      <c r="C73" s="1119"/>
      <c r="D73" s="1119"/>
      <c r="E73" s="1103"/>
      <c r="F73" s="1103"/>
    </row>
    <row r="74" spans="2:6" ht="15" thickTop="1">
      <c r="B74" s="153"/>
      <c r="C74" s="154"/>
      <c r="D74" s="154"/>
      <c r="E74" s="1103"/>
      <c r="F74" s="1103"/>
    </row>
    <row r="75" spans="2:6" s="247" customFormat="1" ht="28.5" customHeight="1">
      <c r="B75" s="1274" t="s">
        <v>904</v>
      </c>
      <c r="C75" s="1273"/>
      <c r="D75" s="1273"/>
      <c r="E75" s="1273"/>
      <c r="F75" s="1273"/>
    </row>
    <row r="76" spans="2:6" ht="12.75" customHeight="1">
      <c r="B76" s="155"/>
      <c r="C76" s="155"/>
      <c r="D76" s="155"/>
    </row>
    <row r="77" spans="2:6">
      <c r="B77" s="5"/>
      <c r="C77" s="155"/>
      <c r="D77" s="155"/>
    </row>
    <row r="78" spans="2:6">
      <c r="C78" s="155"/>
      <c r="D78" s="155"/>
    </row>
    <row r="79" spans="2:6">
      <c r="C79" s="155"/>
      <c r="D79" s="155"/>
    </row>
    <row r="80" spans="2:6">
      <c r="C80" s="155"/>
      <c r="D80" s="155"/>
    </row>
    <row r="81" spans="1:6" s="960" customFormat="1">
      <c r="A81" s="15"/>
      <c r="B81" s="15"/>
      <c r="C81" s="155"/>
      <c r="D81" s="155"/>
      <c r="F81" s="15"/>
    </row>
    <row r="82" spans="1:6">
      <c r="C82" s="155"/>
      <c r="D82" s="155"/>
    </row>
    <row r="83" spans="1:6">
      <c r="C83" s="155"/>
      <c r="D83" s="155"/>
    </row>
    <row r="84" spans="1:6">
      <c r="C84" s="155"/>
      <c r="D84" s="155"/>
    </row>
  </sheetData>
  <mergeCells count="3">
    <mergeCell ref="B6:D6"/>
    <mergeCell ref="B7:D7"/>
    <mergeCell ref="B5:D5"/>
  </mergeCells>
  <hyperlinks>
    <hyperlink ref="A1" location="INDICE!A1" display="Indice"/>
  </hyperlinks>
  <printOptions horizontalCentered="1"/>
  <pageMargins left="0.14000000000000001" right="0.13" top="0.19685039370078741" bottom="0.19685039370078741" header="0.15748031496062992" footer="0"/>
  <pageSetup paperSize="9" scale="7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sheetPr>
    <tabColor theme="3" tint="0.79998168889431442"/>
    <pageSetUpPr fitToPage="1"/>
  </sheetPr>
  <dimension ref="A1:K87"/>
  <sheetViews>
    <sheetView showGridLines="0" zoomScaleNormal="100" zoomScaleSheetLayoutView="85" workbookViewId="0"/>
  </sheetViews>
  <sheetFormatPr baseColWidth="10" defaultColWidth="11.453125" defaultRowHeight="13"/>
  <cols>
    <col min="1" max="1" width="6.81640625" style="15" customWidth="1"/>
    <col min="2" max="2" width="25.1796875" style="122" customWidth="1"/>
    <col min="3" max="3" width="15.7265625" style="122" customWidth="1"/>
    <col min="4" max="4" width="20.7265625" style="122" customWidth="1"/>
    <col min="5" max="5" width="15.81640625" style="122" customWidth="1"/>
    <col min="6" max="6" width="21" style="122" customWidth="1"/>
    <col min="7" max="16384" width="11.453125" style="15"/>
  </cols>
  <sheetData>
    <row r="1" spans="1:11" ht="14.5">
      <c r="A1" s="738" t="s">
        <v>219</v>
      </c>
      <c r="B1" s="42"/>
      <c r="C1" s="5"/>
      <c r="D1" s="5"/>
      <c r="E1" s="5"/>
      <c r="F1" s="5"/>
    </row>
    <row r="2" spans="1:11" ht="15" customHeight="1">
      <c r="A2" s="435"/>
      <c r="B2" s="386" t="str">
        <f>+INDICE!B2</f>
        <v>MINISTERIO DE ECONOMÍA</v>
      </c>
      <c r="C2" s="5"/>
      <c r="D2" s="5"/>
      <c r="E2" s="5"/>
      <c r="F2" s="5"/>
    </row>
    <row r="3" spans="1:11" ht="15" customHeight="1">
      <c r="A3" s="435"/>
      <c r="B3" s="270" t="s">
        <v>304</v>
      </c>
      <c r="C3" s="5"/>
      <c r="D3" s="5"/>
      <c r="E3" s="5"/>
      <c r="F3" s="5"/>
    </row>
    <row r="4" spans="1:11" s="421" customFormat="1">
      <c r="B4" s="35"/>
      <c r="C4" s="35"/>
      <c r="D4" s="35"/>
      <c r="E4" s="35"/>
      <c r="F4" s="35"/>
      <c r="G4" s="15"/>
      <c r="H4" s="15"/>
      <c r="I4" s="15"/>
      <c r="J4" s="15"/>
      <c r="K4" s="15"/>
    </row>
    <row r="5" spans="1:11" s="421" customFormat="1">
      <c r="B5" s="35"/>
      <c r="C5" s="35"/>
      <c r="D5" s="35"/>
      <c r="E5" s="35"/>
      <c r="F5" s="35"/>
      <c r="G5" s="15"/>
      <c r="H5" s="15"/>
      <c r="I5" s="15"/>
      <c r="J5" s="15"/>
      <c r="K5" s="15"/>
    </row>
    <row r="6" spans="1:11" ht="17">
      <c r="B6" s="1358" t="s">
        <v>732</v>
      </c>
      <c r="C6" s="1358"/>
      <c r="D6" s="1358"/>
      <c r="E6" s="1358"/>
      <c r="F6" s="1358"/>
    </row>
    <row r="7" spans="1:11" s="421" customFormat="1">
      <c r="B7" s="35"/>
      <c r="C7" s="35"/>
      <c r="D7" s="35"/>
      <c r="E7" s="35"/>
      <c r="F7" s="35"/>
      <c r="G7" s="15"/>
      <c r="H7" s="15"/>
      <c r="I7" s="15"/>
      <c r="J7" s="15"/>
      <c r="K7" s="15"/>
    </row>
    <row r="8" spans="1:11" s="421" customFormat="1" ht="13.5" thickBot="1">
      <c r="B8" s="35"/>
      <c r="C8" s="35"/>
      <c r="D8" s="35"/>
      <c r="E8" s="35"/>
      <c r="F8" s="35"/>
      <c r="G8" s="15"/>
      <c r="H8" s="15"/>
      <c r="I8" s="15"/>
      <c r="J8" s="15"/>
      <c r="K8" s="15"/>
    </row>
    <row r="9" spans="1:11" ht="30" thickTop="1" thickBot="1">
      <c r="B9" s="449" t="s">
        <v>96</v>
      </c>
      <c r="C9" s="450" t="s">
        <v>97</v>
      </c>
      <c r="D9" s="449" t="s">
        <v>342</v>
      </c>
      <c r="E9" s="449" t="s">
        <v>797</v>
      </c>
      <c r="F9" s="451" t="s">
        <v>98</v>
      </c>
    </row>
    <row r="10" spans="1:11" ht="15" thickTop="1">
      <c r="B10" s="681">
        <v>37290</v>
      </c>
      <c r="C10" s="682">
        <v>1</v>
      </c>
      <c r="D10" s="682">
        <v>1.3999590337802097</v>
      </c>
      <c r="E10" s="682">
        <v>1.4</v>
      </c>
      <c r="F10" s="683">
        <v>1.2063999999999999</v>
      </c>
    </row>
    <row r="11" spans="1:11" ht="14.5">
      <c r="B11" s="681">
        <v>37346</v>
      </c>
      <c r="C11" s="682">
        <v>1.0481</v>
      </c>
      <c r="D11" s="682">
        <v>1.4673678494766407</v>
      </c>
      <c r="E11" s="682">
        <v>2.9</v>
      </c>
      <c r="F11" s="683">
        <v>2.5363000000000002</v>
      </c>
    </row>
    <row r="12" spans="1:11" ht="14.5">
      <c r="B12" s="681">
        <v>37437</v>
      </c>
      <c r="C12" s="682">
        <v>1.2495000000000001</v>
      </c>
      <c r="D12" s="682">
        <v>1.749237448677363</v>
      </c>
      <c r="E12" s="682">
        <v>3.8</v>
      </c>
      <c r="F12" s="683">
        <v>3.7549000000000001</v>
      </c>
    </row>
    <row r="13" spans="1:11" ht="14.5">
      <c r="B13" s="681">
        <v>37529</v>
      </c>
      <c r="C13" s="682">
        <v>1.3715999999999999</v>
      </c>
      <c r="D13" s="682">
        <v>1.9202837030972117</v>
      </c>
      <c r="E13" s="682">
        <v>3.75</v>
      </c>
      <c r="F13" s="683">
        <v>3.6941999999999999</v>
      </c>
    </row>
    <row r="14" spans="1:11" ht="14.5">
      <c r="B14" s="681">
        <v>37621</v>
      </c>
      <c r="C14" s="682">
        <v>1.4053</v>
      </c>
      <c r="D14" s="682">
        <v>1.9674070109433832</v>
      </c>
      <c r="E14" s="682">
        <v>3.4</v>
      </c>
      <c r="F14" s="683">
        <v>3.5409000000000002</v>
      </c>
    </row>
    <row r="15" spans="1:11" ht="14.5">
      <c r="B15" s="681">
        <v>37711</v>
      </c>
      <c r="C15" s="682">
        <v>1.4340999999999999</v>
      </c>
      <c r="D15" s="682">
        <v>2.0077399999999996</v>
      </c>
      <c r="E15" s="682">
        <v>2.88</v>
      </c>
      <c r="F15" s="683">
        <v>3.1358999999999999</v>
      </c>
    </row>
    <row r="16" spans="1:11" ht="14.5">
      <c r="B16" s="681">
        <v>37802</v>
      </c>
      <c r="C16" s="682">
        <v>1.4403999999999999</v>
      </c>
      <c r="D16" s="682">
        <v>2.0165599999999997</v>
      </c>
      <c r="E16" s="682">
        <v>2.8</v>
      </c>
      <c r="F16" s="683">
        <v>3.2225000000000001</v>
      </c>
    </row>
    <row r="17" spans="2:6" ht="14.5">
      <c r="B17" s="681">
        <v>37894</v>
      </c>
      <c r="C17" s="682">
        <v>1.4448000000000001</v>
      </c>
      <c r="D17" s="682">
        <v>2.0227200000000001</v>
      </c>
      <c r="E17" s="682">
        <v>2.915</v>
      </c>
      <c r="F17" s="683">
        <v>3.3969999999999998</v>
      </c>
    </row>
    <row r="18" spans="2:6" ht="14.5">
      <c r="B18" s="681">
        <v>37986</v>
      </c>
      <c r="C18" s="682">
        <v>1.4568000000000001</v>
      </c>
      <c r="D18" s="682">
        <v>2.03952</v>
      </c>
      <c r="E18" s="682">
        <v>2.9175</v>
      </c>
      <c r="F18" s="683">
        <v>3.6720999999999999</v>
      </c>
    </row>
    <row r="19" spans="2:6" ht="14.5">
      <c r="B19" s="681">
        <v>38077</v>
      </c>
      <c r="C19" s="682">
        <v>1.4678</v>
      </c>
      <c r="D19" s="682">
        <v>2.0549200000000001</v>
      </c>
      <c r="E19" s="682">
        <v>2.86</v>
      </c>
      <c r="F19" s="683">
        <v>3.5173999999999999</v>
      </c>
    </row>
    <row r="20" spans="2:6" ht="14.5">
      <c r="B20" s="681">
        <v>38168</v>
      </c>
      <c r="C20" s="682">
        <v>1.4983</v>
      </c>
      <c r="D20" s="682">
        <v>2.09762</v>
      </c>
      <c r="E20" s="682">
        <v>2.9580000000000002</v>
      </c>
      <c r="F20" s="683">
        <v>3.6029</v>
      </c>
    </row>
    <row r="21" spans="2:6" ht="14.5">
      <c r="B21" s="681">
        <v>38260</v>
      </c>
      <c r="C21" s="682">
        <v>1.52</v>
      </c>
      <c r="D21" s="682">
        <v>2.1279999999999997</v>
      </c>
      <c r="E21" s="682">
        <v>2.9809999999999999</v>
      </c>
      <c r="F21" s="683">
        <v>3.7073</v>
      </c>
    </row>
    <row r="22" spans="2:6" ht="14.5">
      <c r="B22" s="681">
        <v>38352</v>
      </c>
      <c r="C22" s="682">
        <v>1.5367</v>
      </c>
      <c r="D22" s="682">
        <v>2.1513799999999996</v>
      </c>
      <c r="E22" s="682">
        <v>2.9790000000000001</v>
      </c>
      <c r="F22" s="683">
        <v>4.0530999999999997</v>
      </c>
    </row>
    <row r="23" spans="2:6" ht="14.5">
      <c r="B23" s="681">
        <v>38442</v>
      </c>
      <c r="C23" s="682">
        <v>1.5844</v>
      </c>
      <c r="D23" s="682">
        <v>2.2181599999999997</v>
      </c>
      <c r="E23" s="682">
        <v>2.9169999999999998</v>
      </c>
      <c r="F23" s="683">
        <v>3.7824</v>
      </c>
    </row>
    <row r="24" spans="2:6" ht="14.5">
      <c r="B24" s="681">
        <v>38533</v>
      </c>
      <c r="C24" s="682">
        <v>1.6274</v>
      </c>
      <c r="D24" s="682">
        <v>2.2783599999999997</v>
      </c>
      <c r="E24" s="682">
        <v>2.887</v>
      </c>
      <c r="F24" s="683">
        <v>3.4922</v>
      </c>
    </row>
    <row r="25" spans="2:6" ht="14.5">
      <c r="B25" s="681">
        <v>38625</v>
      </c>
      <c r="C25" s="682">
        <v>1.6667000000000001</v>
      </c>
      <c r="D25" s="682">
        <v>2.33338</v>
      </c>
      <c r="E25" s="682">
        <v>2.91</v>
      </c>
      <c r="F25" s="683">
        <v>3.4971999999999999</v>
      </c>
    </row>
    <row r="26" spans="2:6" ht="14.5">
      <c r="B26" s="681">
        <v>38717</v>
      </c>
      <c r="C26" s="682">
        <v>1.7173</v>
      </c>
      <c r="D26" s="682">
        <v>2.4041757275690854</v>
      </c>
      <c r="E26" s="682">
        <v>3.04</v>
      </c>
      <c r="F26" s="683">
        <v>3.6019000000000001</v>
      </c>
    </row>
    <row r="27" spans="2:6" ht="14.5">
      <c r="B27" s="681">
        <v>38807</v>
      </c>
      <c r="C27" s="682">
        <v>1.7682</v>
      </c>
      <c r="D27" s="682">
        <v>2.4754799999999997</v>
      </c>
      <c r="E27" s="682">
        <v>3.0819999999999999</v>
      </c>
      <c r="F27" s="683">
        <v>3.7362000000000002</v>
      </c>
    </row>
    <row r="28" spans="2:6" ht="14.5">
      <c r="B28" s="681">
        <v>38898</v>
      </c>
      <c r="C28" s="682">
        <v>1.8150999999999999</v>
      </c>
      <c r="D28" s="682">
        <v>2.54114</v>
      </c>
      <c r="E28" s="682">
        <v>3.0859999999999999</v>
      </c>
      <c r="F28" s="683">
        <v>3.9438</v>
      </c>
    </row>
    <row r="29" spans="2:6" ht="14.5">
      <c r="B29" s="681">
        <v>38990</v>
      </c>
      <c r="C29" s="682">
        <v>1.8451</v>
      </c>
      <c r="D29" s="682">
        <v>2.5831399999999998</v>
      </c>
      <c r="E29" s="682">
        <v>3.1040000000000001</v>
      </c>
      <c r="F29" s="683">
        <v>3.9361000000000002</v>
      </c>
    </row>
    <row r="30" spans="2:6" ht="14.5">
      <c r="B30" s="681">
        <v>39082</v>
      </c>
      <c r="C30" s="682">
        <v>1.8904000000000001</v>
      </c>
      <c r="D30" s="682">
        <v>2.64656</v>
      </c>
      <c r="E30" s="682">
        <v>3.0619999999999998</v>
      </c>
      <c r="F30" s="683">
        <v>4.0406000000000004</v>
      </c>
    </row>
    <row r="31" spans="2:6" ht="14.5">
      <c r="B31" s="681">
        <v>39172</v>
      </c>
      <c r="C31" s="682">
        <v>1.9380999999999999</v>
      </c>
      <c r="D31" s="682">
        <v>2.7133399999999996</v>
      </c>
      <c r="E31" s="682">
        <v>3.1</v>
      </c>
      <c r="F31" s="683">
        <v>4.1399999999999997</v>
      </c>
    </row>
    <row r="32" spans="2:6" ht="14.5">
      <c r="B32" s="681">
        <v>39263</v>
      </c>
      <c r="C32" s="682">
        <v>1.9752000000000001</v>
      </c>
      <c r="D32" s="682">
        <v>2.7652799999999997</v>
      </c>
      <c r="E32" s="682">
        <v>3.093</v>
      </c>
      <c r="F32" s="683">
        <v>4.1864999999999997</v>
      </c>
    </row>
    <row r="33" spans="2:6" ht="14.5">
      <c r="B33" s="681">
        <v>39355</v>
      </c>
      <c r="C33" s="682">
        <v>2.0047999999999999</v>
      </c>
      <c r="D33" s="682">
        <v>2.8067199999999999</v>
      </c>
      <c r="E33" s="682">
        <v>3.15</v>
      </c>
      <c r="F33" s="683">
        <v>4.4928999999999997</v>
      </c>
    </row>
    <row r="34" spans="2:6" ht="14.5">
      <c r="B34" s="681">
        <v>39447</v>
      </c>
      <c r="C34" s="682">
        <v>2.0510000000000002</v>
      </c>
      <c r="D34" s="682">
        <v>2.8714</v>
      </c>
      <c r="E34" s="682">
        <v>3.149</v>
      </c>
      <c r="F34" s="683">
        <v>4.6336000000000004</v>
      </c>
    </row>
    <row r="35" spans="2:6" ht="14.5">
      <c r="B35" s="681">
        <v>39538</v>
      </c>
      <c r="C35" s="682">
        <v>2.1006</v>
      </c>
      <c r="D35" s="682">
        <v>2.9408399999999997</v>
      </c>
      <c r="E35" s="682">
        <v>3.1680000000000001</v>
      </c>
      <c r="F35" s="683">
        <v>4.9984000000000002</v>
      </c>
    </row>
    <row r="36" spans="2:6" ht="14.5">
      <c r="B36" s="681">
        <v>39629</v>
      </c>
      <c r="C36" s="682">
        <v>2.1535000000000002</v>
      </c>
      <c r="D36" s="682">
        <v>3.0148999999999999</v>
      </c>
      <c r="E36" s="682">
        <v>3.0249999999999999</v>
      </c>
      <c r="F36" s="683">
        <v>4.7637999999999998</v>
      </c>
    </row>
    <row r="37" spans="2:6" ht="14.5">
      <c r="B37" s="681">
        <v>39721</v>
      </c>
      <c r="C37" s="682">
        <v>2.1858</v>
      </c>
      <c r="D37" s="682">
        <v>3.06012</v>
      </c>
      <c r="E37" s="682">
        <v>3.1349999999999998</v>
      </c>
      <c r="F37" s="683">
        <v>4.4111000000000002</v>
      </c>
    </row>
    <row r="38" spans="2:6" ht="14.5">
      <c r="B38" s="681">
        <v>39813</v>
      </c>
      <c r="C38" s="682">
        <v>2.2143999999999999</v>
      </c>
      <c r="D38" s="682">
        <v>3.1001599999999998</v>
      </c>
      <c r="E38" s="682">
        <v>3.452</v>
      </c>
      <c r="F38" s="683">
        <v>4.8735999999999997</v>
      </c>
    </row>
    <row r="39" spans="2:6" ht="14.5">
      <c r="B39" s="681">
        <v>39903</v>
      </c>
      <c r="C39" s="682">
        <v>2.2429000000000001</v>
      </c>
      <c r="D39" s="682">
        <v>3.1400600000000001</v>
      </c>
      <c r="E39" s="682">
        <v>3.72</v>
      </c>
      <c r="F39" s="683">
        <v>4.9416000000000002</v>
      </c>
    </row>
    <row r="40" spans="2:6" ht="14.5">
      <c r="B40" s="681">
        <v>39994</v>
      </c>
      <c r="C40" s="682">
        <v>2.2726000000000002</v>
      </c>
      <c r="D40" s="682">
        <v>3.1816400000000002</v>
      </c>
      <c r="E40" s="682">
        <v>3.7970000000000002</v>
      </c>
      <c r="F40" s="683">
        <v>5.3284000000000002</v>
      </c>
    </row>
    <row r="41" spans="2:6" ht="14.5">
      <c r="B41" s="681">
        <v>40086</v>
      </c>
      <c r="C41" s="682">
        <v>2.3132000000000001</v>
      </c>
      <c r="D41" s="682">
        <v>3.23848</v>
      </c>
      <c r="E41" s="682">
        <v>3.843</v>
      </c>
      <c r="F41" s="683">
        <v>5.6224999999999996</v>
      </c>
    </row>
    <row r="42" spans="2:6" ht="14.5">
      <c r="B42" s="681">
        <v>40178</v>
      </c>
      <c r="C42" s="682">
        <v>2.3683999999999998</v>
      </c>
      <c r="D42" s="682">
        <v>3.3157599999999996</v>
      </c>
      <c r="E42" s="682">
        <v>3.8</v>
      </c>
      <c r="F42" s="683">
        <v>5.4401999999999999</v>
      </c>
    </row>
    <row r="43" spans="2:6" ht="14.5">
      <c r="B43" s="681">
        <v>40268</v>
      </c>
      <c r="C43" s="682">
        <v>2.4432999999999998</v>
      </c>
      <c r="D43" s="682">
        <v>3.4206199999999995</v>
      </c>
      <c r="E43" s="682">
        <v>3.8780000000000001</v>
      </c>
      <c r="F43" s="683">
        <v>5.2384000000000004</v>
      </c>
    </row>
    <row r="44" spans="2:6" ht="14.5">
      <c r="B44" s="681">
        <v>40359</v>
      </c>
      <c r="C44" s="682">
        <v>2.5129000000000001</v>
      </c>
      <c r="D44" s="682">
        <v>3.5180599999999997</v>
      </c>
      <c r="E44" s="682">
        <v>3.931</v>
      </c>
      <c r="F44" s="683">
        <v>4.8086000000000002</v>
      </c>
    </row>
    <row r="45" spans="2:6" ht="14.5">
      <c r="B45" s="681">
        <v>40451</v>
      </c>
      <c r="C45" s="682">
        <v>2.5705</v>
      </c>
      <c r="D45" s="682">
        <v>3.5986999999999996</v>
      </c>
      <c r="E45" s="682">
        <v>3.96</v>
      </c>
      <c r="F45" s="683">
        <v>5.3965658217497952</v>
      </c>
    </row>
    <row r="46" spans="2:6" ht="14.5">
      <c r="B46" s="681">
        <v>40543</v>
      </c>
      <c r="C46" s="682">
        <v>2.63</v>
      </c>
      <c r="D46" s="682">
        <v>3.6819999999999995</v>
      </c>
      <c r="E46" s="682">
        <v>3.976</v>
      </c>
      <c r="F46" s="683">
        <v>5.3183520599250933</v>
      </c>
    </row>
    <row r="47" spans="2:6" ht="14.5">
      <c r="B47" s="681">
        <v>40633</v>
      </c>
      <c r="C47" s="682">
        <v>2.6911</v>
      </c>
      <c r="D47" s="682">
        <v>3.7675399999999999</v>
      </c>
      <c r="E47" s="682">
        <v>4.0540000000000003</v>
      </c>
      <c r="F47" s="683">
        <v>5.7430230910893894</v>
      </c>
    </row>
    <row r="48" spans="2:6" ht="14.5">
      <c r="B48" s="681">
        <v>40724</v>
      </c>
      <c r="C48" s="682">
        <v>2.7566000000000002</v>
      </c>
      <c r="D48" s="682">
        <v>3.8592399999999998</v>
      </c>
      <c r="E48" s="682">
        <v>4.1100000000000003</v>
      </c>
      <c r="F48" s="683">
        <v>5.9608411892675859</v>
      </c>
    </row>
    <row r="49" spans="1:6" ht="14.5">
      <c r="B49" s="681">
        <v>40816</v>
      </c>
      <c r="C49" s="682">
        <v>2.8210999999999999</v>
      </c>
      <c r="D49" s="682">
        <v>3.9495399999999998</v>
      </c>
      <c r="E49" s="682">
        <v>4.2050000000000001</v>
      </c>
      <c r="F49" s="683">
        <v>5.6299370732360403</v>
      </c>
    </row>
    <row r="50" spans="1:6" ht="14.5">
      <c r="B50" s="681">
        <v>40908</v>
      </c>
      <c r="C50" s="682">
        <v>2.8809</v>
      </c>
      <c r="D50" s="682">
        <v>4.0332599999999994</v>
      </c>
      <c r="E50" s="682">
        <v>4.3040000000000003</v>
      </c>
      <c r="F50" s="683">
        <v>5.5845335409368104</v>
      </c>
    </row>
    <row r="51" spans="1:6" ht="14.5">
      <c r="B51" s="681">
        <v>40999</v>
      </c>
      <c r="C51" s="682">
        <v>2.9523999999999999</v>
      </c>
      <c r="D51" s="682">
        <v>4.1333599999999997</v>
      </c>
      <c r="E51" s="682">
        <v>4.3789999999999996</v>
      </c>
      <c r="F51" s="683">
        <v>5.8425617078052001</v>
      </c>
    </row>
    <row r="52" spans="1:6" ht="14.5">
      <c r="A52" s="138"/>
      <c r="B52" s="681">
        <v>41090</v>
      </c>
      <c r="C52" s="682">
        <v>3.0287999999999999</v>
      </c>
      <c r="D52" s="682">
        <v>4.2403199999999996</v>
      </c>
      <c r="E52" s="682">
        <v>4.5270000000000001</v>
      </c>
      <c r="F52" s="683">
        <v>5.7267552182163204</v>
      </c>
    </row>
    <row r="53" spans="1:6" ht="14.5">
      <c r="A53" s="138"/>
      <c r="B53" s="681">
        <v>41182</v>
      </c>
      <c r="C53" s="682">
        <v>3.1017000000000001</v>
      </c>
      <c r="D53" s="682">
        <v>4.3423799999999995</v>
      </c>
      <c r="E53" s="682">
        <v>4.6970000000000001</v>
      </c>
      <c r="F53" s="683">
        <v>6.0372750642673498</v>
      </c>
    </row>
    <row r="54" spans="1:6" ht="14.5">
      <c r="B54" s="681">
        <v>41274</v>
      </c>
      <c r="C54" s="682">
        <v>3.1846999999999999</v>
      </c>
      <c r="D54" s="682">
        <v>4.4585799999999995</v>
      </c>
      <c r="E54" s="682">
        <v>4.9180000000000001</v>
      </c>
      <c r="F54" s="683">
        <v>6.4889827153978104</v>
      </c>
    </row>
    <row r="55" spans="1:6" ht="14.5">
      <c r="A55" s="139"/>
      <c r="B55" s="684">
        <v>41364</v>
      </c>
      <c r="C55" s="682">
        <v>3.2732999999999999</v>
      </c>
      <c r="D55" s="682">
        <v>4.5826199999999995</v>
      </c>
      <c r="E55" s="682">
        <v>5.1219999999999999</v>
      </c>
      <c r="F55" s="683">
        <v>6.5649833376000002</v>
      </c>
    </row>
    <row r="56" spans="1:6" ht="14.5">
      <c r="A56" s="139"/>
      <c r="B56" s="681">
        <v>41455</v>
      </c>
      <c r="C56" s="682">
        <v>3.3426</v>
      </c>
      <c r="D56" s="682">
        <v>4.67964</v>
      </c>
      <c r="E56" s="682">
        <v>5.3879999999999999</v>
      </c>
      <c r="F56" s="683">
        <v>7.0128855915999999</v>
      </c>
    </row>
    <row r="57" spans="1:6" ht="14.5">
      <c r="B57" s="681">
        <v>41547</v>
      </c>
      <c r="C57" s="682">
        <v>3.4291999999999998</v>
      </c>
      <c r="D57" s="682">
        <v>4.8008799999999994</v>
      </c>
      <c r="E57" s="682">
        <v>5.7930000000000001</v>
      </c>
      <c r="F57" s="683">
        <v>7.83473086286177</v>
      </c>
    </row>
    <row r="58" spans="1:6" ht="14.5">
      <c r="B58" s="684">
        <v>41639</v>
      </c>
      <c r="C58" s="682">
        <v>3.5202</v>
      </c>
      <c r="D58" s="682">
        <v>4.92828</v>
      </c>
      <c r="E58" s="682">
        <v>6.5209999999999999</v>
      </c>
      <c r="F58" s="683">
        <v>8.9635738831615104</v>
      </c>
    </row>
    <row r="59" spans="1:6" ht="14.5">
      <c r="B59" s="684">
        <v>41729</v>
      </c>
      <c r="C59" s="682">
        <v>3.8069999999999999</v>
      </c>
      <c r="D59" s="682">
        <v>5.3297999999999996</v>
      </c>
      <c r="E59" s="682">
        <v>8.0047999999999995</v>
      </c>
      <c r="F59" s="683">
        <v>11.022858717</v>
      </c>
    </row>
    <row r="60" spans="1:6" ht="14.5">
      <c r="B60" s="684">
        <v>41820</v>
      </c>
      <c r="C60" s="685">
        <v>4.0480999999999998</v>
      </c>
      <c r="D60" s="683">
        <v>5.6673399999999994</v>
      </c>
      <c r="E60" s="682">
        <v>8.1326999999999998</v>
      </c>
      <c r="F60" s="683">
        <v>11.134583790000001</v>
      </c>
    </row>
    <row r="61" spans="1:6" ht="14.5">
      <c r="B61" s="681">
        <v>41912</v>
      </c>
      <c r="C61" s="686">
        <v>4.2153999999999998</v>
      </c>
      <c r="D61" s="683">
        <v>5.901559999999999</v>
      </c>
      <c r="E61" s="683">
        <v>8.4642999999999997</v>
      </c>
      <c r="F61" s="687">
        <v>10.6899469563021</v>
      </c>
    </row>
    <row r="62" spans="1:6" ht="14.5">
      <c r="B62" s="681">
        <v>42004</v>
      </c>
      <c r="C62" s="686">
        <v>4.3769</v>
      </c>
      <c r="D62" s="683">
        <v>6.1276599999999997</v>
      </c>
      <c r="E62" s="683">
        <v>8.5519999999999996</v>
      </c>
      <c r="F62" s="687">
        <v>10.344744163541792</v>
      </c>
    </row>
    <row r="63" spans="1:6" ht="14.5">
      <c r="B63" s="681">
        <v>42094</v>
      </c>
      <c r="C63" s="686">
        <v>4.5137</v>
      </c>
      <c r="D63" s="683">
        <v>6.3191799999999994</v>
      </c>
      <c r="E63" s="683">
        <v>8.8196999999999992</v>
      </c>
      <c r="F63" s="687">
        <v>9.4631974248926998</v>
      </c>
    </row>
    <row r="64" spans="1:6" ht="14.5">
      <c r="B64" s="681">
        <v>42185</v>
      </c>
      <c r="C64" s="686">
        <v>4.6722999999999999</v>
      </c>
      <c r="D64" s="683">
        <v>6.5412199999999991</v>
      </c>
      <c r="E64" s="683">
        <v>9.0864999999999991</v>
      </c>
      <c r="F64" s="687">
        <v>10.1174702148981</v>
      </c>
    </row>
    <row r="65" spans="2:6" ht="14.5">
      <c r="B65" s="681">
        <v>42277</v>
      </c>
      <c r="C65" s="686">
        <v>4.8352000000000004</v>
      </c>
      <c r="D65" s="683">
        <v>6.7692800000000002</v>
      </c>
      <c r="E65" s="683">
        <v>9.4192</v>
      </c>
      <c r="F65" s="687">
        <v>10.526598122499999</v>
      </c>
    </row>
    <row r="66" spans="2:6" ht="14.5">
      <c r="B66" s="681">
        <v>42369</v>
      </c>
      <c r="C66" s="686">
        <v>5.0354999999999999</v>
      </c>
      <c r="D66" s="683">
        <v>7.0496999999999996</v>
      </c>
      <c r="E66" s="683">
        <v>13.005000000000001</v>
      </c>
      <c r="F66" s="687">
        <v>14.123588184200001</v>
      </c>
    </row>
    <row r="67" spans="2:6" ht="14.5">
      <c r="B67" s="681">
        <v>42460</v>
      </c>
      <c r="C67" s="686">
        <v>5.5636000000000001</v>
      </c>
      <c r="D67" s="683">
        <v>7.78904</v>
      </c>
      <c r="E67" s="683">
        <v>14.5817</v>
      </c>
      <c r="F67" s="687">
        <v>16.590852201615654</v>
      </c>
    </row>
    <row r="68" spans="2:6" ht="14.5">
      <c r="B68" s="681">
        <v>42551</v>
      </c>
      <c r="C68" s="686">
        <v>6.0945999999999998</v>
      </c>
      <c r="D68" s="683">
        <v>8.5324399999999994</v>
      </c>
      <c r="E68" s="683">
        <v>14.92</v>
      </c>
      <c r="F68" s="687">
        <v>16.544688400999998</v>
      </c>
    </row>
    <row r="69" spans="2:6" ht="14.5">
      <c r="B69" s="681">
        <v>42643</v>
      </c>
      <c r="C69" s="686">
        <v>6.5437000000000003</v>
      </c>
      <c r="D69" s="683">
        <v>9.1611799999999999</v>
      </c>
      <c r="E69" s="683">
        <v>15.263299999999999</v>
      </c>
      <c r="F69" s="687">
        <v>17.15363002922</v>
      </c>
    </row>
    <row r="70" spans="2:6" ht="14.5">
      <c r="B70" s="681">
        <v>42735</v>
      </c>
      <c r="C70" s="686">
        <v>6.8377999999999997</v>
      </c>
      <c r="D70" s="683">
        <v>9.5729199999999981</v>
      </c>
      <c r="E70" s="683">
        <v>15.850199999999999</v>
      </c>
      <c r="F70" s="687">
        <v>16.686177492367602</v>
      </c>
    </row>
    <row r="71" spans="2:6" ht="14.5">
      <c r="B71" s="681">
        <v>42825</v>
      </c>
      <c r="C71" s="686">
        <v>7.1550000000000002</v>
      </c>
      <c r="D71" s="683">
        <v>10.016999999999999</v>
      </c>
      <c r="E71" s="683">
        <v>15.3818</v>
      </c>
      <c r="F71" s="687">
        <v>16.391517476555801</v>
      </c>
    </row>
    <row r="72" spans="2:6" ht="14.5">
      <c r="B72" s="681">
        <v>42916</v>
      </c>
      <c r="C72" s="686">
        <v>7.657</v>
      </c>
      <c r="D72" s="683">
        <v>10.719799999999999</v>
      </c>
      <c r="E72" s="683">
        <v>16.598500000000001</v>
      </c>
      <c r="F72" s="687">
        <v>18.961046378798301</v>
      </c>
    </row>
    <row r="73" spans="2:6" ht="14.5">
      <c r="B73" s="681">
        <v>43008</v>
      </c>
      <c r="C73" s="686">
        <v>7.9854000000000003</v>
      </c>
      <c r="D73" s="683">
        <v>11.17956</v>
      </c>
      <c r="E73" s="683">
        <v>17.318300000000001</v>
      </c>
      <c r="F73" s="687">
        <v>20.468384351731476</v>
      </c>
    </row>
    <row r="74" spans="2:6" ht="14.5">
      <c r="B74" s="681">
        <v>43100</v>
      </c>
      <c r="C74" s="686">
        <v>8.3842999999999996</v>
      </c>
      <c r="D74" s="683">
        <v>11.738019999999999</v>
      </c>
      <c r="E74" s="683">
        <v>18.7742</v>
      </c>
      <c r="F74" s="687">
        <v>22.5218330134357</v>
      </c>
    </row>
    <row r="75" spans="2:6" ht="14.5">
      <c r="B75" s="681">
        <v>43190</v>
      </c>
      <c r="C75" s="686">
        <v>8.9724000000000004</v>
      </c>
      <c r="D75" s="683">
        <v>12.561360000000001</v>
      </c>
      <c r="E75" s="683">
        <v>20.1433</v>
      </c>
      <c r="F75" s="687">
        <v>24.791753846153846</v>
      </c>
    </row>
    <row r="76" spans="2:6" ht="14.5">
      <c r="B76" s="681">
        <v>43281</v>
      </c>
      <c r="C76" s="686">
        <v>9.6349999999999998</v>
      </c>
      <c r="D76" s="683">
        <v>13.488999999999999</v>
      </c>
      <c r="E76" s="683">
        <v>28.861699999999999</v>
      </c>
      <c r="F76" s="687">
        <v>33.720878607313942</v>
      </c>
    </row>
    <row r="77" spans="2:6" ht="14.5">
      <c r="B77" s="681">
        <v>43373</v>
      </c>
      <c r="C77" s="686">
        <v>10.6099</v>
      </c>
      <c r="D77" s="683">
        <v>14.853899999999999</v>
      </c>
      <c r="E77" s="683">
        <v>40.896700000000003</v>
      </c>
      <c r="F77" s="687">
        <v>47.471499999999999</v>
      </c>
    </row>
    <row r="78" spans="2:6" ht="14.5">
      <c r="B78" s="681">
        <v>43465</v>
      </c>
      <c r="C78" s="683">
        <v>12.338699999999999</v>
      </c>
      <c r="D78" s="683">
        <v>17.274179999999998</v>
      </c>
      <c r="E78" s="683">
        <v>37.808300000000003</v>
      </c>
      <c r="F78" s="683">
        <v>43.239135407136303</v>
      </c>
    </row>
    <row r="79" spans="2:6" ht="14.5">
      <c r="B79" s="681">
        <v>43555</v>
      </c>
      <c r="C79" s="683">
        <v>13.4838</v>
      </c>
      <c r="D79" s="683">
        <v>18.877320000000001</v>
      </c>
      <c r="E79" s="683">
        <v>43.353299999999997</v>
      </c>
      <c r="F79" s="683">
        <v>48.629613011777899</v>
      </c>
    </row>
    <row r="80" spans="2:6" ht="14.5">
      <c r="B80" s="681">
        <v>43646</v>
      </c>
      <c r="C80" s="683">
        <v>15.092000000000001</v>
      </c>
      <c r="D80" s="683">
        <v>21.128799999999998</v>
      </c>
      <c r="E80" s="683">
        <v>42.448300000000003</v>
      </c>
      <c r="F80" s="683">
        <v>48.253154484483296</v>
      </c>
    </row>
    <row r="81" spans="2:6" ht="14.5">
      <c r="B81" s="681">
        <v>43738</v>
      </c>
      <c r="C81" s="683">
        <v>16.4026</v>
      </c>
      <c r="D81" s="683">
        <v>22.963639999999998</v>
      </c>
      <c r="E81" s="683">
        <v>57.558300000000003</v>
      </c>
      <c r="F81" s="683">
        <v>62.727005231037488</v>
      </c>
    </row>
    <row r="82" spans="2:6" ht="15" thickBot="1">
      <c r="B82" s="688">
        <v>43830</v>
      </c>
      <c r="C82" s="689">
        <v>18.700900000000001</v>
      </c>
      <c r="D82" s="689">
        <v>26.181259999999998</v>
      </c>
      <c r="E82" s="689">
        <v>59.895000000000003</v>
      </c>
      <c r="F82" s="689">
        <v>67.139334155363798</v>
      </c>
    </row>
    <row r="83" spans="2:6" ht="13.5" thickTop="1">
      <c r="B83" s="141"/>
      <c r="C83" s="140"/>
      <c r="D83" s="140"/>
      <c r="E83" s="140"/>
      <c r="F83" s="140"/>
    </row>
    <row r="84" spans="2:6" ht="30.75" customHeight="1">
      <c r="B84" s="1467" t="s">
        <v>351</v>
      </c>
      <c r="C84" s="1467"/>
      <c r="D84" s="1467"/>
      <c r="E84" s="1467"/>
      <c r="F84" s="1467"/>
    </row>
    <row r="85" spans="2:6">
      <c r="B85" s="383"/>
      <c r="C85" s="383"/>
      <c r="D85" s="383"/>
      <c r="E85" s="383"/>
      <c r="F85" s="383"/>
    </row>
    <row r="86" spans="2:6">
      <c r="F86" s="5"/>
    </row>
    <row r="87" spans="2:6">
      <c r="C87" s="16"/>
    </row>
  </sheetData>
  <mergeCells count="2">
    <mergeCell ref="B6:F6"/>
    <mergeCell ref="B84:F8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9"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sheetPr>
    <tabColor theme="3" tint="0.79998168889431442"/>
    <pageSetUpPr fitToPage="1"/>
  </sheetPr>
  <dimension ref="A1:AE58"/>
  <sheetViews>
    <sheetView showGridLines="0" zoomScale="85" zoomScaleNormal="85" zoomScaleSheetLayoutView="55" workbookViewId="0"/>
  </sheetViews>
  <sheetFormatPr baseColWidth="10" defaultColWidth="11.453125" defaultRowHeight="13"/>
  <cols>
    <col min="1" max="1" width="7.1796875" style="247" bestFit="1" customWidth="1"/>
    <col min="2" max="2" width="82.26953125" style="247" customWidth="1"/>
    <col min="3" max="3" width="14.1796875" style="247" customWidth="1"/>
    <col min="4" max="7" width="13.54296875" style="247" customWidth="1"/>
    <col min="8" max="20" width="15.26953125" style="247" customWidth="1"/>
    <col min="21" max="24" width="18.26953125" style="247" customWidth="1"/>
    <col min="25" max="27" width="18.26953125" style="247" bestFit="1" customWidth="1"/>
    <col min="28" max="28" width="18.26953125" style="247" customWidth="1"/>
    <col min="29" max="30" width="17.26953125" style="247" customWidth="1"/>
    <col min="31" max="31" width="19.6328125" style="247" bestFit="1" customWidth="1"/>
    <col min="32" max="16384" width="11.453125" style="247"/>
  </cols>
  <sheetData>
    <row r="1" spans="1:31" ht="14.5">
      <c r="A1" s="738" t="s">
        <v>219</v>
      </c>
      <c r="B1" s="1188"/>
    </row>
    <row r="2" spans="1:31" ht="15" customHeight="1">
      <c r="A2" s="1188"/>
      <c r="B2" s="386" t="str">
        <f>+INDICE!B2</f>
        <v>MINISTERIO DE ECONOMÍA</v>
      </c>
      <c r="C2" s="5"/>
      <c r="D2" s="5"/>
      <c r="E2" s="5"/>
      <c r="F2" s="5"/>
      <c r="G2" s="5"/>
      <c r="H2" s="5"/>
      <c r="I2" s="5"/>
      <c r="J2" s="5"/>
      <c r="K2" s="5"/>
      <c r="L2" s="5"/>
      <c r="M2" s="5"/>
      <c r="N2" s="5"/>
      <c r="O2" s="5"/>
      <c r="P2" s="5"/>
      <c r="Q2" s="5"/>
      <c r="R2" s="1189"/>
      <c r="S2" s="1189"/>
      <c r="T2" s="1189"/>
      <c r="U2" s="1189"/>
      <c r="V2" s="1189"/>
      <c r="W2" s="1189"/>
      <c r="X2" s="1189"/>
    </row>
    <row r="3" spans="1:31" ht="15" customHeight="1">
      <c r="A3" s="1188"/>
      <c r="B3" s="270" t="str">
        <f>+INDICE!B3</f>
        <v>SECRETARÍA DE FINANZAS</v>
      </c>
      <c r="C3" s="5"/>
      <c r="D3" s="5"/>
      <c r="E3" s="5"/>
      <c r="F3" s="5"/>
      <c r="G3" s="5"/>
      <c r="H3" s="5"/>
      <c r="I3" s="5"/>
      <c r="J3" s="5"/>
      <c r="K3" s="5"/>
      <c r="L3" s="5"/>
      <c r="M3" s="5"/>
      <c r="N3" s="5"/>
      <c r="O3" s="5"/>
      <c r="P3" s="5"/>
      <c r="Q3" s="5"/>
      <c r="R3" s="1189"/>
      <c r="S3" s="1189"/>
      <c r="T3" s="1189"/>
      <c r="U3" s="1189"/>
      <c r="V3" s="1189"/>
      <c r="W3" s="1189"/>
      <c r="X3" s="1189"/>
    </row>
    <row r="4" spans="1:31">
      <c r="B4" s="1190"/>
      <c r="C4" s="5"/>
      <c r="D4" s="5"/>
      <c r="E4" s="5"/>
      <c r="F4" s="5"/>
      <c r="G4" s="5"/>
      <c r="H4" s="5"/>
      <c r="I4" s="5"/>
      <c r="J4" s="5"/>
      <c r="K4" s="5"/>
      <c r="L4" s="159"/>
      <c r="M4" s="5"/>
      <c r="N4" s="5"/>
      <c r="O4" s="5"/>
      <c r="P4" s="5"/>
      <c r="Q4" s="5"/>
      <c r="R4" s="1189"/>
      <c r="S4" s="1189"/>
      <c r="T4" s="1189"/>
      <c r="U4" s="1189"/>
      <c r="V4" s="1189"/>
      <c r="W4" s="1189"/>
      <c r="X4" s="1189"/>
    </row>
    <row r="5" spans="1:31" ht="14.5">
      <c r="B5" s="1191"/>
      <c r="C5" s="5"/>
      <c r="D5" s="5"/>
      <c r="E5" s="5"/>
      <c r="F5" s="5"/>
      <c r="G5" s="5"/>
      <c r="H5" s="5"/>
      <c r="I5" s="5"/>
      <c r="J5" s="5"/>
      <c r="K5" s="5"/>
      <c r="L5" s="5"/>
      <c r="M5" s="5"/>
      <c r="N5" s="5"/>
      <c r="O5" s="5"/>
      <c r="P5" s="5"/>
      <c r="Q5" s="5"/>
      <c r="R5" s="1189"/>
      <c r="S5" s="1189"/>
      <c r="T5" s="1189"/>
      <c r="U5" s="1189"/>
      <c r="V5" s="1189"/>
      <c r="W5" s="1189"/>
      <c r="X5" s="1189"/>
    </row>
    <row r="6" spans="1:31" ht="18.5">
      <c r="B6" s="1468" t="s">
        <v>866</v>
      </c>
      <c r="C6" s="1468"/>
      <c r="D6" s="1468"/>
      <c r="E6" s="1468"/>
      <c r="F6" s="1468"/>
      <c r="G6" s="1468"/>
      <c r="H6" s="1468"/>
      <c r="I6" s="1468"/>
      <c r="J6" s="1468"/>
      <c r="K6" s="1468"/>
      <c r="L6" s="1468"/>
      <c r="M6" s="1468"/>
      <c r="N6" s="1468"/>
      <c r="O6" s="1468"/>
      <c r="P6" s="1468"/>
      <c r="Q6" s="1468"/>
      <c r="R6" s="1468"/>
      <c r="S6" s="1468"/>
      <c r="T6" s="1468"/>
      <c r="U6" s="1468"/>
      <c r="V6" s="1468"/>
      <c r="W6" s="1468"/>
      <c r="X6" s="1468"/>
      <c r="Y6" s="1468"/>
      <c r="Z6" s="1468"/>
      <c r="AA6" s="1468"/>
      <c r="AB6" s="1192"/>
    </row>
    <row r="7" spans="1:31" ht="15.5">
      <c r="B7" s="1469" t="s">
        <v>867</v>
      </c>
      <c r="C7" s="1469"/>
      <c r="D7" s="1469"/>
      <c r="E7" s="1469"/>
      <c r="F7" s="1469"/>
      <c r="G7" s="1469"/>
      <c r="H7" s="1469"/>
      <c r="I7" s="1469"/>
      <c r="J7" s="1469"/>
      <c r="K7" s="1469"/>
      <c r="L7" s="1469"/>
      <c r="M7" s="1469"/>
      <c r="N7" s="1469"/>
      <c r="O7" s="1469"/>
      <c r="P7" s="1469"/>
      <c r="Q7" s="1469"/>
      <c r="R7" s="1469"/>
      <c r="S7" s="1469"/>
      <c r="T7" s="1469"/>
      <c r="U7" s="1469"/>
      <c r="V7" s="1469"/>
      <c r="W7" s="1469"/>
      <c r="X7" s="1469"/>
      <c r="Y7" s="1469"/>
      <c r="Z7" s="1469"/>
      <c r="AA7" s="1469"/>
      <c r="AB7" s="1193"/>
    </row>
    <row r="8" spans="1:31">
      <c r="B8" s="1470" t="s">
        <v>868</v>
      </c>
      <c r="C8" s="1470"/>
      <c r="D8" s="1470"/>
      <c r="E8" s="1470"/>
      <c r="F8" s="1470"/>
      <c r="G8" s="1470"/>
      <c r="H8" s="1470"/>
      <c r="I8" s="1470"/>
      <c r="J8" s="1470"/>
      <c r="K8" s="1470"/>
      <c r="L8" s="1470"/>
      <c r="M8" s="1470"/>
      <c r="N8" s="1470"/>
      <c r="O8" s="1470"/>
      <c r="P8" s="1470"/>
      <c r="Q8" s="1470"/>
      <c r="R8" s="1470"/>
      <c r="S8" s="1470"/>
      <c r="T8" s="1470"/>
      <c r="U8" s="1470"/>
      <c r="V8" s="1470"/>
      <c r="W8" s="1470"/>
      <c r="X8" s="1470"/>
      <c r="Y8" s="1470"/>
      <c r="Z8" s="1470"/>
      <c r="AA8" s="1470"/>
      <c r="AB8" s="1194"/>
    </row>
    <row r="9" spans="1:31">
      <c r="B9" s="5"/>
      <c r="C9" s="159"/>
      <c r="D9" s="159"/>
      <c r="E9" s="159"/>
      <c r="F9" s="159"/>
      <c r="G9" s="159"/>
      <c r="H9" s="159"/>
      <c r="I9" s="159"/>
      <c r="J9" s="159"/>
      <c r="K9" s="159"/>
      <c r="L9" s="159"/>
      <c r="M9" s="159"/>
      <c r="N9" s="159"/>
      <c r="O9" s="159"/>
      <c r="P9" s="5"/>
      <c r="Q9" s="5"/>
      <c r="R9" s="1189"/>
      <c r="S9" s="1189"/>
      <c r="T9" s="1189"/>
      <c r="U9" s="1189"/>
      <c r="V9" s="1189"/>
      <c r="W9" s="1189"/>
      <c r="X9" s="1189"/>
    </row>
    <row r="10" spans="1:31" ht="13.5" thickBot="1">
      <c r="B10" s="5" t="s">
        <v>869</v>
      </c>
      <c r="C10" s="1195"/>
      <c r="D10" s="1195"/>
      <c r="E10" s="1195"/>
      <c r="F10" s="1195"/>
      <c r="G10" s="1195"/>
      <c r="H10" s="1195"/>
      <c r="I10" s="1195"/>
      <c r="J10" s="1195"/>
      <c r="K10" s="1195"/>
      <c r="L10" s="1195"/>
      <c r="M10" s="1195"/>
      <c r="N10" s="1195"/>
      <c r="O10" s="1195"/>
      <c r="P10" s="1195"/>
      <c r="Q10" s="1195"/>
      <c r="R10" s="1195"/>
      <c r="S10" s="1195"/>
      <c r="T10" s="1195"/>
      <c r="U10" s="1195"/>
      <c r="V10" s="1195"/>
      <c r="W10" s="1195"/>
      <c r="X10" s="1189"/>
    </row>
    <row r="11" spans="1:31" ht="16.5" customHeight="1" thickTop="1" thickBot="1">
      <c r="B11" s="1471" t="s">
        <v>222</v>
      </c>
      <c r="C11" s="1473" t="s">
        <v>870</v>
      </c>
      <c r="D11" s="1474"/>
      <c r="E11" s="1474"/>
      <c r="F11" s="1474"/>
      <c r="G11" s="1474"/>
      <c r="H11" s="1474"/>
      <c r="I11" s="1474"/>
      <c r="J11" s="1474"/>
      <c r="K11" s="1474"/>
      <c r="L11" s="1474"/>
      <c r="M11" s="1474"/>
      <c r="N11" s="1474"/>
      <c r="O11" s="1474"/>
      <c r="P11" s="1474"/>
      <c r="Q11" s="1474"/>
      <c r="R11" s="1474"/>
      <c r="S11" s="1474"/>
      <c r="T11" s="1474"/>
      <c r="U11" s="1474"/>
      <c r="V11" s="1474"/>
      <c r="W11" s="1474"/>
      <c r="X11" s="1474"/>
      <c r="Y11" s="1474"/>
      <c r="Z11" s="1474"/>
      <c r="AA11" s="1474"/>
      <c r="AB11" s="1474"/>
      <c r="AC11" s="1474"/>
      <c r="AD11" s="1475"/>
    </row>
    <row r="12" spans="1:31" ht="16.5" thickTop="1" thickBot="1">
      <c r="B12" s="1472"/>
      <c r="C12" s="1196" t="s">
        <v>871</v>
      </c>
      <c r="D12" s="1197">
        <v>34334</v>
      </c>
      <c r="E12" s="1197">
        <v>34699</v>
      </c>
      <c r="F12" s="1197">
        <v>35064</v>
      </c>
      <c r="G12" s="1197">
        <v>35430</v>
      </c>
      <c r="H12" s="1197">
        <v>35795</v>
      </c>
      <c r="I12" s="1197">
        <v>36160</v>
      </c>
      <c r="J12" s="1197">
        <v>36525</v>
      </c>
      <c r="K12" s="1197">
        <v>36891</v>
      </c>
      <c r="L12" s="1197">
        <v>37256</v>
      </c>
      <c r="M12" s="1197">
        <v>37621</v>
      </c>
      <c r="N12" s="1197">
        <v>37986</v>
      </c>
      <c r="O12" s="1197">
        <v>38352</v>
      </c>
      <c r="P12" s="1197">
        <v>38717</v>
      </c>
      <c r="Q12" s="1197">
        <v>39082</v>
      </c>
      <c r="R12" s="1197">
        <v>39447</v>
      </c>
      <c r="S12" s="1197">
        <v>39813</v>
      </c>
      <c r="T12" s="1197">
        <v>40178</v>
      </c>
      <c r="U12" s="1197">
        <v>40543</v>
      </c>
      <c r="V12" s="1197">
        <v>40908</v>
      </c>
      <c r="W12" s="1197">
        <v>41274</v>
      </c>
      <c r="X12" s="1198">
        <v>41639</v>
      </c>
      <c r="Y12" s="1198">
        <v>42004</v>
      </c>
      <c r="Z12" s="1197">
        <v>42369</v>
      </c>
      <c r="AA12" s="1197">
        <v>42735</v>
      </c>
      <c r="AB12" s="1197">
        <v>43100</v>
      </c>
      <c r="AC12" s="1197">
        <v>43465</v>
      </c>
      <c r="AD12" s="1197">
        <v>43830</v>
      </c>
    </row>
    <row r="13" spans="1:31" ht="16" thickTop="1">
      <c r="B13" s="1199"/>
      <c r="C13" s="1200"/>
      <c r="D13" s="1200"/>
      <c r="E13" s="1200"/>
      <c r="F13" s="1200"/>
      <c r="G13" s="1200"/>
      <c r="H13" s="1200"/>
      <c r="I13" s="1200"/>
      <c r="J13" s="1200"/>
      <c r="K13" s="1200"/>
      <c r="L13" s="1200"/>
      <c r="M13" s="1200"/>
      <c r="N13" s="1200"/>
      <c r="O13" s="1200"/>
      <c r="P13" s="1200"/>
      <c r="Q13" s="1200"/>
      <c r="R13" s="1200"/>
      <c r="S13" s="1200"/>
      <c r="T13" s="1200"/>
      <c r="U13" s="1200"/>
      <c r="V13" s="1200"/>
      <c r="W13" s="1200"/>
      <c r="X13" s="1201"/>
      <c r="Y13" s="1201"/>
      <c r="Z13" s="1201"/>
      <c r="AA13" s="1201"/>
      <c r="AB13" s="1201"/>
      <c r="AC13" s="1201"/>
      <c r="AD13" s="1201"/>
    </row>
    <row r="14" spans="1:31" s="278" customFormat="1" ht="39.75" customHeight="1">
      <c r="B14" s="1168" t="s">
        <v>872</v>
      </c>
      <c r="C14" s="1202">
        <f>+C17+C50</f>
        <v>63250</v>
      </c>
      <c r="D14" s="1202">
        <f t="shared" ref="D14:Z14" si="0">+D17+D50</f>
        <v>71112</v>
      </c>
      <c r="E14" s="1202">
        <f t="shared" si="0"/>
        <v>81820</v>
      </c>
      <c r="F14" s="1202">
        <f t="shared" si="0"/>
        <v>88711</v>
      </c>
      <c r="G14" s="1202">
        <f t="shared" si="0"/>
        <v>99046</v>
      </c>
      <c r="H14" s="1202">
        <f t="shared" si="0"/>
        <v>103718</v>
      </c>
      <c r="I14" s="1202">
        <f t="shared" si="0"/>
        <v>114134</v>
      </c>
      <c r="J14" s="1202">
        <f t="shared" si="0"/>
        <v>123366</v>
      </c>
      <c r="K14" s="1202">
        <f t="shared" si="0"/>
        <v>129750</v>
      </c>
      <c r="L14" s="1202">
        <f t="shared" si="0"/>
        <v>144222</v>
      </c>
      <c r="M14" s="1202">
        <f t="shared" si="0"/>
        <v>153218.25159999999</v>
      </c>
      <c r="N14" s="1202">
        <f t="shared" si="0"/>
        <v>179353.74129999999</v>
      </c>
      <c r="O14" s="1202">
        <f t="shared" si="0"/>
        <v>192293.82920000001</v>
      </c>
      <c r="P14" s="1202">
        <f t="shared" si="0"/>
        <v>183055.2907086671</v>
      </c>
      <c r="Q14" s="1202">
        <f t="shared" si="0"/>
        <v>194163.74688965155</v>
      </c>
      <c r="R14" s="1202">
        <f t="shared" si="0"/>
        <v>205045.86923578873</v>
      </c>
      <c r="S14" s="1202">
        <f t="shared" si="0"/>
        <v>199004.14622785326</v>
      </c>
      <c r="T14" s="1202">
        <f t="shared" si="0"/>
        <v>200196.37084212672</v>
      </c>
      <c r="U14" s="1202">
        <f t="shared" si="0"/>
        <v>204351.2201152115</v>
      </c>
      <c r="V14" s="1202">
        <f t="shared" si="0"/>
        <v>216880.90348858497</v>
      </c>
      <c r="W14" s="1202">
        <f t="shared" si="0"/>
        <v>232863.88702076158</v>
      </c>
      <c r="X14" s="1202">
        <f t="shared" si="0"/>
        <v>239201.84086790445</v>
      </c>
      <c r="Y14" s="1202">
        <f t="shared" si="0"/>
        <v>253755.3521819275</v>
      </c>
      <c r="Z14" s="1202">
        <f t="shared" si="0"/>
        <v>253989.15054701199</v>
      </c>
      <c r="AA14" s="1202">
        <f>+AA17+AA50</f>
        <v>288447.82278059644</v>
      </c>
      <c r="AB14" s="1202">
        <f>+AB17+AB50</f>
        <v>334706.96999999997</v>
      </c>
      <c r="AC14" s="1202">
        <f>+AC17+AC50</f>
        <v>345384.76</v>
      </c>
      <c r="AD14" s="1202">
        <f>+AD17+AD50</f>
        <v>336027.35003944353</v>
      </c>
      <c r="AE14" s="1244"/>
    </row>
    <row r="15" spans="1:31" ht="21.5" thickBot="1">
      <c r="B15" s="1203"/>
      <c r="C15" s="1204"/>
      <c r="D15" s="1204"/>
      <c r="E15" s="1204"/>
      <c r="F15" s="1204"/>
      <c r="G15" s="1204"/>
      <c r="H15" s="1204"/>
      <c r="I15" s="1204"/>
      <c r="J15" s="1204"/>
      <c r="K15" s="1204"/>
      <c r="L15" s="1204"/>
      <c r="M15" s="1204"/>
      <c r="N15" s="1204"/>
      <c r="O15" s="1204"/>
      <c r="P15" s="1204"/>
      <c r="Q15" s="1204"/>
      <c r="R15" s="1204"/>
      <c r="S15" s="1204"/>
      <c r="T15" s="1204"/>
      <c r="U15" s="1204"/>
      <c r="V15" s="1204"/>
      <c r="W15" s="1204"/>
      <c r="X15" s="1204"/>
      <c r="Y15" s="1204"/>
      <c r="Z15" s="1204"/>
      <c r="AA15" s="1204"/>
      <c r="AB15" s="1204"/>
      <c r="AC15" s="1204"/>
      <c r="AD15" s="1204"/>
      <c r="AE15" s="1243"/>
    </row>
    <row r="16" spans="1:31" ht="16" thickTop="1">
      <c r="B16" s="1199"/>
      <c r="C16" s="1200"/>
      <c r="D16" s="1200"/>
      <c r="E16" s="1200"/>
      <c r="F16" s="1200"/>
      <c r="G16" s="1200"/>
      <c r="H16" s="1200"/>
      <c r="I16" s="1200"/>
      <c r="J16" s="1200"/>
      <c r="K16" s="1200"/>
      <c r="L16" s="1200"/>
      <c r="M16" s="1200"/>
      <c r="N16" s="1200"/>
      <c r="O16" s="1200"/>
      <c r="P16" s="1200"/>
      <c r="Q16" s="1200"/>
      <c r="R16" s="1200"/>
      <c r="S16" s="1200"/>
      <c r="T16" s="1200"/>
      <c r="U16" s="1200"/>
      <c r="V16" s="1200"/>
      <c r="W16" s="1200"/>
      <c r="X16" s="1201"/>
      <c r="Y16" s="1201"/>
      <c r="Z16" s="1201"/>
      <c r="AA16" s="1201"/>
      <c r="AB16" s="1201"/>
      <c r="AC16" s="1201"/>
      <c r="AD16" s="1201"/>
      <c r="AE16" s="1243"/>
    </row>
    <row r="17" spans="2:31" ht="21">
      <c r="B17" s="1205" t="s">
        <v>873</v>
      </c>
      <c r="C17" s="1206">
        <f t="shared" ref="C17:Z17" si="1">+C20+C38+C40</f>
        <v>63250</v>
      </c>
      <c r="D17" s="1206">
        <f t="shared" si="1"/>
        <v>71112</v>
      </c>
      <c r="E17" s="1206">
        <f t="shared" si="1"/>
        <v>81820</v>
      </c>
      <c r="F17" s="1206">
        <f t="shared" si="1"/>
        <v>88711</v>
      </c>
      <c r="G17" s="1206">
        <f t="shared" si="1"/>
        <v>99046</v>
      </c>
      <c r="H17" s="1206">
        <f t="shared" si="1"/>
        <v>103718</v>
      </c>
      <c r="I17" s="1206">
        <f t="shared" si="1"/>
        <v>114134</v>
      </c>
      <c r="J17" s="1206">
        <f t="shared" si="1"/>
        <v>123366</v>
      </c>
      <c r="K17" s="1206">
        <f t="shared" si="1"/>
        <v>129750</v>
      </c>
      <c r="L17" s="1206">
        <f t="shared" si="1"/>
        <v>144222</v>
      </c>
      <c r="M17" s="1206">
        <f t="shared" si="1"/>
        <v>153218.25159999999</v>
      </c>
      <c r="N17" s="1206">
        <f t="shared" si="1"/>
        <v>179353.74129999999</v>
      </c>
      <c r="O17" s="1206">
        <f t="shared" si="1"/>
        <v>192293.82920000001</v>
      </c>
      <c r="P17" s="1206">
        <f t="shared" si="1"/>
        <v>154270.86479999998</v>
      </c>
      <c r="Q17" s="1206">
        <f t="shared" si="1"/>
        <v>165110.8946</v>
      </c>
      <c r="R17" s="1206">
        <f t="shared" si="1"/>
        <v>176870.2359</v>
      </c>
      <c r="S17" s="1206">
        <f t="shared" si="1"/>
        <v>179132.19052</v>
      </c>
      <c r="T17" s="1206">
        <f t="shared" si="1"/>
        <v>182083.48550000001</v>
      </c>
      <c r="U17" s="1206">
        <f t="shared" si="1"/>
        <v>181621.1741</v>
      </c>
      <c r="V17" s="1206">
        <f t="shared" si="1"/>
        <v>197155.57511999999</v>
      </c>
      <c r="W17" s="1206">
        <f t="shared" si="1"/>
        <v>216921.50179000001</v>
      </c>
      <c r="X17" s="1206">
        <f t="shared" si="1"/>
        <v>223440.10292</v>
      </c>
      <c r="Y17" s="1206">
        <f t="shared" si="1"/>
        <v>239325</v>
      </c>
      <c r="Z17" s="1206">
        <f t="shared" si="1"/>
        <v>240665</v>
      </c>
      <c r="AA17" s="1206">
        <f>+AA20+AA38+AA40</f>
        <v>275446.12882406707</v>
      </c>
      <c r="AB17" s="1206">
        <f>+AB20+AB38+AB40</f>
        <v>320934.78999999998</v>
      </c>
      <c r="AC17" s="1206">
        <f>+AC20+AC38+AC40</f>
        <v>332191.82</v>
      </c>
      <c r="AD17" s="1206">
        <f>+AD20+AD38+AD40</f>
        <v>323064.61825805862</v>
      </c>
      <c r="AE17" s="1243"/>
    </row>
    <row r="18" spans="2:31" ht="21.5" thickBot="1">
      <c r="B18" s="1203"/>
      <c r="C18" s="1204"/>
      <c r="D18" s="1204"/>
      <c r="E18" s="1204"/>
      <c r="F18" s="1204"/>
      <c r="G18" s="1204"/>
      <c r="H18" s="1204"/>
      <c r="I18" s="1204"/>
      <c r="J18" s="1204"/>
      <c r="K18" s="1204"/>
      <c r="L18" s="1204"/>
      <c r="M18" s="1204"/>
      <c r="N18" s="1204"/>
      <c r="O18" s="1204"/>
      <c r="P18" s="1204"/>
      <c r="Q18" s="1204"/>
      <c r="R18" s="1204"/>
      <c r="S18" s="1204"/>
      <c r="T18" s="1204"/>
      <c r="U18" s="1204"/>
      <c r="V18" s="1204"/>
      <c r="W18" s="1204"/>
      <c r="X18" s="1204"/>
      <c r="Y18" s="1204"/>
      <c r="Z18" s="1204"/>
      <c r="AA18" s="1204"/>
      <c r="AB18" s="1204"/>
      <c r="AC18" s="1204"/>
      <c r="AD18" s="1204"/>
      <c r="AE18" s="1243"/>
    </row>
    <row r="19" spans="2:31" ht="21.5" thickTop="1">
      <c r="B19" s="1207"/>
      <c r="C19" s="1208"/>
      <c r="D19" s="1208"/>
      <c r="E19" s="1208"/>
      <c r="F19" s="1208"/>
      <c r="G19" s="1208"/>
      <c r="H19" s="1208"/>
      <c r="I19" s="1208"/>
      <c r="J19" s="1208"/>
      <c r="K19" s="1208"/>
      <c r="L19" s="1208"/>
      <c r="M19" s="1208"/>
      <c r="N19" s="1208"/>
      <c r="O19" s="1208"/>
      <c r="P19" s="1208"/>
      <c r="Q19" s="1208"/>
      <c r="R19" s="1208"/>
      <c r="S19" s="1208"/>
      <c r="T19" s="1208"/>
      <c r="U19" s="1208"/>
      <c r="V19" s="1208"/>
      <c r="W19" s="1208"/>
      <c r="X19" s="1208"/>
      <c r="Y19" s="1208"/>
      <c r="Z19" s="1208"/>
      <c r="AA19" s="1208"/>
      <c r="AB19" s="1208"/>
      <c r="AC19" s="1208"/>
      <c r="AD19" s="1208"/>
      <c r="AE19" s="1243"/>
    </row>
    <row r="20" spans="2:31" ht="21">
      <c r="B20" s="1209" t="s">
        <v>874</v>
      </c>
      <c r="C20" s="1210">
        <f>+C22+C24+C36</f>
        <v>54018</v>
      </c>
      <c r="D20" s="1210">
        <f t="shared" ref="D20:M20" si="2">+D22+D24+D36</f>
        <v>71112</v>
      </c>
      <c r="E20" s="1210">
        <f t="shared" si="2"/>
        <v>81820</v>
      </c>
      <c r="F20" s="1210">
        <f t="shared" si="2"/>
        <v>88711</v>
      </c>
      <c r="G20" s="1210">
        <f t="shared" si="2"/>
        <v>99046</v>
      </c>
      <c r="H20" s="1210">
        <f t="shared" si="2"/>
        <v>103718</v>
      </c>
      <c r="I20" s="1210">
        <f t="shared" si="2"/>
        <v>114134</v>
      </c>
      <c r="J20" s="1210">
        <f t="shared" si="2"/>
        <v>123366</v>
      </c>
      <c r="K20" s="1210">
        <f t="shared" si="2"/>
        <v>129750</v>
      </c>
      <c r="L20" s="1210">
        <f t="shared" si="2"/>
        <v>144194</v>
      </c>
      <c r="M20" s="1210">
        <f t="shared" si="2"/>
        <v>141509</v>
      </c>
      <c r="N20" s="1210">
        <f>+N22+N24+N36</f>
        <v>150878</v>
      </c>
      <c r="O20" s="1210">
        <f>+O22+O24+O36</f>
        <v>145966</v>
      </c>
      <c r="P20" s="1210">
        <f t="shared" ref="P20" si="3">+P22+P24+P36</f>
        <v>125102</v>
      </c>
      <c r="Q20" s="1210">
        <f>+Q22+Q24+Q36</f>
        <v>131348</v>
      </c>
      <c r="R20" s="1210">
        <f t="shared" ref="R20" si="4">+R22+R24+R36</f>
        <v>139239</v>
      </c>
      <c r="S20" s="1210">
        <f>+S22+S24+S36</f>
        <v>139635</v>
      </c>
      <c r="T20" s="1210">
        <f>+T22+T24+T36</f>
        <v>140874</v>
      </c>
      <c r="U20" s="1210">
        <f>+U22+U24+U36</f>
        <v>158001</v>
      </c>
      <c r="V20" s="1210">
        <f t="shared" ref="V20" si="5">+V22+V24+V36</f>
        <v>172722</v>
      </c>
      <c r="W20" s="1210">
        <f>+W22+W24+W36</f>
        <v>191356</v>
      </c>
      <c r="X20" s="1210">
        <f>+X22+X24+X36</f>
        <v>196695</v>
      </c>
      <c r="Y20" s="1210">
        <f t="shared" ref="Y20" si="6">+Y22+Y24+Y36</f>
        <v>221699</v>
      </c>
      <c r="Z20" s="1210">
        <f>+Z22+Z24+Z36</f>
        <v>222659</v>
      </c>
      <c r="AA20" s="1210">
        <f>+AA22+AA24+AA36</f>
        <v>266935.14477210713</v>
      </c>
      <c r="AB20" s="1210">
        <f>+AB22+AB24+AB36</f>
        <v>317950.84999999998</v>
      </c>
      <c r="AC20" s="1210">
        <f>+AC22+AC24+AC36</f>
        <v>329281.56</v>
      </c>
      <c r="AD20" s="1210">
        <f>+AD22+AD24+AD36</f>
        <v>320525.45350388758</v>
      </c>
      <c r="AE20" s="1243"/>
    </row>
    <row r="21" spans="2:31" ht="21">
      <c r="B21" s="1211"/>
      <c r="C21" s="1212"/>
      <c r="D21" s="1212"/>
      <c r="E21" s="1212"/>
      <c r="F21" s="1212"/>
      <c r="G21" s="1212"/>
      <c r="H21" s="1212"/>
      <c r="I21" s="1212"/>
      <c r="J21" s="1212"/>
      <c r="K21" s="1212"/>
      <c r="L21" s="1212"/>
      <c r="M21" s="1212"/>
      <c r="N21" s="1212"/>
      <c r="O21" s="1212"/>
      <c r="P21" s="1212"/>
      <c r="Q21" s="1212"/>
      <c r="R21" s="1212"/>
      <c r="S21" s="1212"/>
      <c r="T21" s="1212"/>
      <c r="U21" s="1212"/>
      <c r="V21" s="1212"/>
      <c r="W21" s="1212"/>
      <c r="X21" s="1212"/>
      <c r="Y21" s="1212"/>
      <c r="Z21" s="1212"/>
      <c r="AA21" s="1212"/>
      <c r="AB21" s="1212"/>
      <c r="AC21" s="1212"/>
      <c r="AD21" s="1212"/>
      <c r="AE21" s="1243"/>
    </row>
    <row r="22" spans="2:31" ht="21">
      <c r="B22" s="1213" t="s">
        <v>875</v>
      </c>
      <c r="C22" s="1214">
        <v>17184</v>
      </c>
      <c r="D22" s="1214">
        <v>48401</v>
      </c>
      <c r="E22" s="1214">
        <v>57109</v>
      </c>
      <c r="F22" s="1214">
        <v>59048</v>
      </c>
      <c r="G22" s="1214">
        <v>69393</v>
      </c>
      <c r="H22" s="1214">
        <v>74801</v>
      </c>
      <c r="I22" s="1214">
        <v>82363</v>
      </c>
      <c r="J22" s="1214">
        <v>91555</v>
      </c>
      <c r="K22" s="1214">
        <v>98895</v>
      </c>
      <c r="L22" s="1214">
        <v>83051</v>
      </c>
      <c r="M22" s="1214">
        <v>91656</v>
      </c>
      <c r="N22" s="1214">
        <v>96885</v>
      </c>
      <c r="O22" s="1214">
        <v>92224</v>
      </c>
      <c r="P22" s="1214">
        <v>75628</v>
      </c>
      <c r="Q22" s="1214">
        <v>92222</v>
      </c>
      <c r="R22" s="1214">
        <v>99208</v>
      </c>
      <c r="S22" s="1214">
        <v>99994</v>
      </c>
      <c r="T22" s="1214">
        <v>100719</v>
      </c>
      <c r="U22" s="1214">
        <v>115672</v>
      </c>
      <c r="V22" s="1214">
        <v>125391</v>
      </c>
      <c r="W22" s="1214">
        <v>133214</v>
      </c>
      <c r="X22" s="1214">
        <v>137809</v>
      </c>
      <c r="Y22" s="1214">
        <v>154775</v>
      </c>
      <c r="Z22" s="1214">
        <v>160150</v>
      </c>
      <c r="AA22" s="1214">
        <v>208400.32807236814</v>
      </c>
      <c r="AB22" s="1214">
        <v>256515.52</v>
      </c>
      <c r="AC22" s="1214">
        <v>253709.2</v>
      </c>
      <c r="AD22" s="1232">
        <v>225444.5245159709</v>
      </c>
      <c r="AE22" s="1245"/>
    </row>
    <row r="23" spans="2:31" ht="21">
      <c r="B23" s="1211"/>
      <c r="C23" s="1215"/>
      <c r="D23" s="1215"/>
      <c r="E23" s="1215"/>
      <c r="F23" s="1215"/>
      <c r="G23" s="1215"/>
      <c r="H23" s="1215"/>
      <c r="I23" s="1215"/>
      <c r="J23" s="1215"/>
      <c r="K23" s="1215"/>
      <c r="L23" s="1215"/>
      <c r="M23" s="1215"/>
      <c r="N23" s="1215"/>
      <c r="O23" s="1215"/>
      <c r="P23" s="1215"/>
      <c r="Q23" s="1215"/>
      <c r="R23" s="1215"/>
      <c r="S23" s="1215"/>
      <c r="T23" s="1215"/>
      <c r="U23" s="1215"/>
      <c r="V23" s="1215"/>
      <c r="W23" s="1215"/>
      <c r="X23" s="1215"/>
      <c r="Y23" s="1215"/>
      <c r="Z23" s="1215"/>
      <c r="AA23" s="1215"/>
      <c r="AB23" s="1215"/>
      <c r="AC23" s="1215"/>
      <c r="AD23" s="1215"/>
      <c r="AE23" s="1243"/>
    </row>
    <row r="24" spans="2:31" ht="21">
      <c r="B24" s="1213" t="s">
        <v>53</v>
      </c>
      <c r="C24" s="1214">
        <f t="shared" ref="C24:AA24" si="7">SUM(C26:C34)</f>
        <v>36834</v>
      </c>
      <c r="D24" s="1214">
        <f t="shared" si="7"/>
        <v>22711</v>
      </c>
      <c r="E24" s="1214">
        <f t="shared" si="7"/>
        <v>24711</v>
      </c>
      <c r="F24" s="1214">
        <f t="shared" si="7"/>
        <v>29663</v>
      </c>
      <c r="G24" s="1214">
        <f t="shared" si="7"/>
        <v>29653</v>
      </c>
      <c r="H24" s="1214">
        <f t="shared" si="7"/>
        <v>28917</v>
      </c>
      <c r="I24" s="1214">
        <f t="shared" si="7"/>
        <v>31771</v>
      </c>
      <c r="J24" s="1214">
        <f t="shared" si="7"/>
        <v>31811</v>
      </c>
      <c r="K24" s="1214">
        <f t="shared" si="7"/>
        <v>30855</v>
      </c>
      <c r="L24" s="1214">
        <f t="shared" si="7"/>
        <v>61143</v>
      </c>
      <c r="M24" s="1214">
        <f t="shared" si="7"/>
        <v>48774</v>
      </c>
      <c r="N24" s="1214">
        <f t="shared" si="7"/>
        <v>51467</v>
      </c>
      <c r="O24" s="1214">
        <f t="shared" si="7"/>
        <v>49274</v>
      </c>
      <c r="P24" s="1214">
        <f t="shared" si="7"/>
        <v>44211</v>
      </c>
      <c r="Q24" s="1214">
        <f t="shared" si="7"/>
        <v>33140</v>
      </c>
      <c r="R24" s="1214">
        <f t="shared" si="7"/>
        <v>33257</v>
      </c>
      <c r="S24" s="1214">
        <f t="shared" si="7"/>
        <v>31941</v>
      </c>
      <c r="T24" s="1214">
        <f t="shared" si="7"/>
        <v>30529</v>
      </c>
      <c r="U24" s="1214">
        <f t="shared" si="7"/>
        <v>30714</v>
      </c>
      <c r="V24" s="1214">
        <f t="shared" si="7"/>
        <v>31734</v>
      </c>
      <c r="W24" s="1214">
        <f t="shared" si="7"/>
        <v>32170</v>
      </c>
      <c r="X24" s="1214">
        <f t="shared" si="7"/>
        <v>30884</v>
      </c>
      <c r="Y24" s="1214">
        <f t="shared" si="7"/>
        <v>37522</v>
      </c>
      <c r="Z24" s="1214">
        <f t="shared" si="7"/>
        <v>36992</v>
      </c>
      <c r="AA24" s="1214">
        <f t="shared" si="7"/>
        <v>34419.6635786427</v>
      </c>
      <c r="AB24" s="1214">
        <f>SUM(AB26:AB34)</f>
        <v>36282.19</v>
      </c>
      <c r="AC24" s="1214">
        <f>SUM(AC26:AC34)</f>
        <v>62275.540000000008</v>
      </c>
      <c r="AD24" s="1214">
        <f>SUM(AD26:AD34)</f>
        <v>80843.847428521112</v>
      </c>
      <c r="AE24" s="1243"/>
    </row>
    <row r="25" spans="2:31" ht="21">
      <c r="B25" s="1216"/>
      <c r="C25" s="1214"/>
      <c r="D25" s="1214"/>
      <c r="E25" s="1214"/>
      <c r="F25" s="1214"/>
      <c r="G25" s="1214"/>
      <c r="H25" s="1214"/>
      <c r="I25" s="1214"/>
      <c r="J25" s="1214"/>
      <c r="K25" s="1214"/>
      <c r="L25" s="1214"/>
      <c r="M25" s="1214"/>
      <c r="N25" s="1214"/>
      <c r="O25" s="1214"/>
      <c r="P25" s="1214"/>
      <c r="Q25" s="1214"/>
      <c r="R25" s="1214"/>
      <c r="S25" s="1214"/>
      <c r="T25" s="1214"/>
      <c r="U25" s="1214"/>
      <c r="V25" s="1214"/>
      <c r="W25" s="1214"/>
      <c r="X25" s="1214"/>
      <c r="Y25" s="1214"/>
      <c r="Z25" s="1214"/>
      <c r="AA25" s="1214"/>
      <c r="AB25" s="1214"/>
      <c r="AC25" s="1214"/>
      <c r="AD25" s="1214"/>
      <c r="AE25" s="1243"/>
    </row>
    <row r="26" spans="2:31" ht="21">
      <c r="B26" s="148" t="s">
        <v>261</v>
      </c>
      <c r="C26" s="1217">
        <v>0</v>
      </c>
      <c r="D26" s="1217">
        <v>0</v>
      </c>
      <c r="E26" s="1217">
        <v>0</v>
      </c>
      <c r="F26" s="1217">
        <v>0</v>
      </c>
      <c r="G26" s="1217">
        <v>0</v>
      </c>
      <c r="H26" s="1217">
        <v>0</v>
      </c>
      <c r="I26" s="1217">
        <v>0</v>
      </c>
      <c r="J26" s="1217">
        <v>0</v>
      </c>
      <c r="K26" s="1217">
        <v>0</v>
      </c>
      <c r="L26" s="1214">
        <v>21284</v>
      </c>
      <c r="M26" s="1214">
        <v>11636</v>
      </c>
      <c r="N26" s="1214">
        <v>14124</v>
      </c>
      <c r="O26" s="1214">
        <v>14646</v>
      </c>
      <c r="P26" s="1214">
        <v>14269</v>
      </c>
      <c r="Q26" s="1214">
        <v>13981</v>
      </c>
      <c r="R26" s="1214">
        <v>13037</v>
      </c>
      <c r="S26" s="1214">
        <v>11995</v>
      </c>
      <c r="T26" s="1214">
        <v>4541</v>
      </c>
      <c r="U26" s="1214">
        <v>4425</v>
      </c>
      <c r="V26" s="1214">
        <v>4121</v>
      </c>
      <c r="W26" s="1214">
        <v>3753</v>
      </c>
      <c r="X26" s="1214">
        <v>3035</v>
      </c>
      <c r="Y26" s="1214">
        <v>2877</v>
      </c>
      <c r="Z26" s="1214">
        <v>2076</v>
      </c>
      <c r="AA26" s="1214">
        <v>1844.6747305615399</v>
      </c>
      <c r="AB26" s="1214">
        <v>1139.31</v>
      </c>
      <c r="AC26" s="1214">
        <v>683.54</v>
      </c>
      <c r="AD26" s="1232">
        <v>640.32504701061919</v>
      </c>
      <c r="AE26" s="1243"/>
    </row>
    <row r="27" spans="2:31" ht="21">
      <c r="B27" s="148"/>
      <c r="C27" s="1214"/>
      <c r="D27" s="1214"/>
      <c r="E27" s="1214"/>
      <c r="F27" s="1214"/>
      <c r="G27" s="1214"/>
      <c r="H27" s="1214"/>
      <c r="I27" s="1214"/>
      <c r="J27" s="1214"/>
      <c r="K27" s="1214"/>
      <c r="L27" s="1214"/>
      <c r="M27" s="1214"/>
      <c r="N27" s="1214"/>
      <c r="O27" s="1214"/>
      <c r="P27" s="1214"/>
      <c r="Q27" s="1214"/>
      <c r="R27" s="1214"/>
      <c r="S27" s="1214"/>
      <c r="T27" s="1214"/>
      <c r="U27" s="1214"/>
      <c r="V27" s="1214"/>
      <c r="W27" s="1214"/>
      <c r="X27" s="1214"/>
      <c r="Y27" s="1214"/>
      <c r="Z27" s="1214"/>
      <c r="AA27" s="1214"/>
      <c r="AB27" s="1214"/>
      <c r="AC27" s="1214"/>
      <c r="AD27" s="1232"/>
      <c r="AE27" s="1243"/>
    </row>
    <row r="28" spans="2:31" ht="21">
      <c r="B28" s="148" t="s">
        <v>270</v>
      </c>
      <c r="C28" s="1214">
        <v>7279</v>
      </c>
      <c r="D28" s="1214">
        <v>10944</v>
      </c>
      <c r="E28" s="1214">
        <v>11627</v>
      </c>
      <c r="F28" s="1214">
        <v>14862</v>
      </c>
      <c r="G28" s="1214">
        <v>16257</v>
      </c>
      <c r="H28" s="1214">
        <v>16795</v>
      </c>
      <c r="I28" s="1214">
        <v>19167</v>
      </c>
      <c r="J28" s="1214">
        <v>20311</v>
      </c>
      <c r="K28" s="1214">
        <v>21757</v>
      </c>
      <c r="L28" s="1214">
        <v>32357</v>
      </c>
      <c r="M28" s="1214">
        <v>31376</v>
      </c>
      <c r="N28" s="1214">
        <v>32115</v>
      </c>
      <c r="O28" s="1214">
        <v>30601</v>
      </c>
      <c r="P28" s="1214">
        <v>25260</v>
      </c>
      <c r="Q28" s="1214">
        <v>15155</v>
      </c>
      <c r="R28" s="1214">
        <v>15050</v>
      </c>
      <c r="S28" s="1214">
        <v>14769</v>
      </c>
      <c r="T28" s="1214">
        <v>16209</v>
      </c>
      <c r="U28" s="1214">
        <v>16958</v>
      </c>
      <c r="V28" s="1214">
        <v>17935</v>
      </c>
      <c r="W28" s="1214">
        <v>18335</v>
      </c>
      <c r="X28" s="1214">
        <v>19394</v>
      </c>
      <c r="Y28" s="1214">
        <v>19857</v>
      </c>
      <c r="Z28" s="1214">
        <v>19768</v>
      </c>
      <c r="AA28" s="1214">
        <v>20230.497711465719</v>
      </c>
      <c r="AB28" s="1214">
        <v>21326.95</v>
      </c>
      <c r="AC28" s="1214">
        <v>51037.440000000002</v>
      </c>
      <c r="AD28" s="1232">
        <v>68000.788456716706</v>
      </c>
      <c r="AE28" s="1243"/>
    </row>
    <row r="29" spans="2:31" ht="21">
      <c r="B29" s="146"/>
      <c r="C29" s="1215"/>
      <c r="D29" s="1215"/>
      <c r="E29" s="1215"/>
      <c r="F29" s="1215"/>
      <c r="G29" s="1215"/>
      <c r="H29" s="1215"/>
      <c r="I29" s="1215"/>
      <c r="J29" s="1215"/>
      <c r="K29" s="1215"/>
      <c r="L29" s="1215"/>
      <c r="M29" s="1215"/>
      <c r="N29" s="1215"/>
      <c r="O29" s="1215"/>
      <c r="P29" s="1215"/>
      <c r="Q29" s="1215"/>
      <c r="R29" s="1215"/>
      <c r="S29" s="1215"/>
      <c r="T29" s="1215"/>
      <c r="U29" s="1215"/>
      <c r="V29" s="1215"/>
      <c r="W29" s="1215"/>
      <c r="X29" s="1215"/>
      <c r="Y29" s="1215"/>
      <c r="Z29" s="1215"/>
      <c r="AA29" s="1215"/>
      <c r="AB29" s="1215"/>
      <c r="AC29" s="1215"/>
      <c r="AD29" s="1233"/>
      <c r="AE29" s="1243"/>
    </row>
    <row r="30" spans="2:31" ht="21">
      <c r="B30" s="148" t="s">
        <v>269</v>
      </c>
      <c r="C30" s="1214">
        <v>7380</v>
      </c>
      <c r="D30" s="1214">
        <v>9698</v>
      </c>
      <c r="E30" s="1214">
        <v>10870</v>
      </c>
      <c r="F30" s="1214">
        <v>11904</v>
      </c>
      <c r="G30" s="1214">
        <v>10063</v>
      </c>
      <c r="H30" s="1214">
        <v>8311</v>
      </c>
      <c r="I30" s="1214">
        <v>7634</v>
      </c>
      <c r="J30" s="1214">
        <v>6258</v>
      </c>
      <c r="K30" s="1214">
        <v>5017</v>
      </c>
      <c r="L30" s="1214">
        <v>5876</v>
      </c>
      <c r="M30" s="1214">
        <v>4935</v>
      </c>
      <c r="N30" s="1214">
        <v>4428</v>
      </c>
      <c r="O30" s="1214">
        <v>3389</v>
      </c>
      <c r="P30" s="1214">
        <v>2952</v>
      </c>
      <c r="Q30" s="1214">
        <v>1606</v>
      </c>
      <c r="R30" s="1214">
        <v>1907</v>
      </c>
      <c r="S30" s="1214">
        <v>1275</v>
      </c>
      <c r="T30" s="1214">
        <v>1749</v>
      </c>
      <c r="U30" s="1214">
        <v>1479</v>
      </c>
      <c r="V30" s="1214">
        <v>1410</v>
      </c>
      <c r="W30" s="1214">
        <v>849</v>
      </c>
      <c r="X30" s="1214">
        <v>767</v>
      </c>
      <c r="Y30" s="1214">
        <v>9026</v>
      </c>
      <c r="Z30" s="1214">
        <v>9183</v>
      </c>
      <c r="AA30" s="1214">
        <v>7844.7181501198802</v>
      </c>
      <c r="AB30" s="1214">
        <v>8280.3799999999992</v>
      </c>
      <c r="AC30" s="1214">
        <v>6912.17</v>
      </c>
      <c r="AD30" s="1232">
        <v>5398.0723095353451</v>
      </c>
      <c r="AE30" s="1243"/>
    </row>
    <row r="31" spans="2:31" ht="21">
      <c r="B31" s="146"/>
      <c r="C31" s="1215"/>
      <c r="D31" s="1215"/>
      <c r="E31" s="1215"/>
      <c r="F31" s="1215"/>
      <c r="G31" s="1215"/>
      <c r="H31" s="1215"/>
      <c r="I31" s="1215"/>
      <c r="J31" s="1215"/>
      <c r="K31" s="1215"/>
      <c r="L31" s="1215"/>
      <c r="M31" s="1215"/>
      <c r="N31" s="1215"/>
      <c r="O31" s="1215"/>
      <c r="P31" s="1215"/>
      <c r="Q31" s="1215"/>
      <c r="R31" s="1215"/>
      <c r="S31" s="1215"/>
      <c r="T31" s="1215"/>
      <c r="U31" s="1215"/>
      <c r="V31" s="1215"/>
      <c r="W31" s="1215"/>
      <c r="X31" s="1215"/>
      <c r="Y31" s="1215"/>
      <c r="Z31" s="1215"/>
      <c r="AA31" s="1215"/>
      <c r="AB31" s="1215"/>
      <c r="AC31" s="1215"/>
      <c r="AD31" s="1233"/>
      <c r="AE31" s="1243"/>
    </row>
    <row r="32" spans="2:31" ht="21">
      <c r="B32" s="167" t="s">
        <v>271</v>
      </c>
      <c r="C32" s="1214">
        <v>21736</v>
      </c>
      <c r="D32" s="1214">
        <v>1564</v>
      </c>
      <c r="E32" s="1214">
        <v>1702</v>
      </c>
      <c r="F32" s="1214">
        <v>1908</v>
      </c>
      <c r="G32" s="1214">
        <v>2280</v>
      </c>
      <c r="H32" s="1214">
        <v>2366</v>
      </c>
      <c r="I32" s="1214">
        <v>3585</v>
      </c>
      <c r="J32" s="1214">
        <v>3655</v>
      </c>
      <c r="K32" s="1214">
        <v>2168</v>
      </c>
      <c r="L32" s="1214">
        <v>715</v>
      </c>
      <c r="M32" s="1214">
        <v>563</v>
      </c>
      <c r="N32" s="1214">
        <v>527</v>
      </c>
      <c r="O32" s="1214">
        <v>396</v>
      </c>
      <c r="P32" s="1214">
        <v>294</v>
      </c>
      <c r="Q32" s="1214">
        <v>859</v>
      </c>
      <c r="R32" s="1214">
        <v>1165</v>
      </c>
      <c r="S32" s="1214">
        <v>1453</v>
      </c>
      <c r="T32" s="1214">
        <v>5102</v>
      </c>
      <c r="U32" s="1214">
        <v>6055</v>
      </c>
      <c r="V32" s="1214">
        <v>6586</v>
      </c>
      <c r="W32" s="1214">
        <v>7273</v>
      </c>
      <c r="X32" s="1214">
        <v>4702</v>
      </c>
      <c r="Y32" s="1214">
        <v>4221</v>
      </c>
      <c r="Z32" s="1214">
        <v>3126</v>
      </c>
      <c r="AA32" s="1214">
        <v>1068.5918814818372</v>
      </c>
      <c r="AB32" s="1214">
        <v>2434.14</v>
      </c>
      <c r="AC32" s="1214">
        <v>1194.1600000000001</v>
      </c>
      <c r="AD32" s="1232">
        <v>2784.8971948301191</v>
      </c>
      <c r="AE32" s="1243"/>
    </row>
    <row r="33" spans="2:31" ht="21">
      <c r="B33" s="1218"/>
      <c r="C33" s="1214"/>
      <c r="D33" s="1214"/>
      <c r="E33" s="1214"/>
      <c r="F33" s="1214"/>
      <c r="G33" s="1214"/>
      <c r="H33" s="1214"/>
      <c r="I33" s="1214"/>
      <c r="J33" s="1214"/>
      <c r="K33" s="1214"/>
      <c r="L33" s="1214"/>
      <c r="M33" s="1214"/>
      <c r="N33" s="1214"/>
      <c r="O33" s="1214"/>
      <c r="P33" s="1214"/>
      <c r="Q33" s="1214"/>
      <c r="R33" s="1214"/>
      <c r="S33" s="1214"/>
      <c r="T33" s="1214"/>
      <c r="U33" s="1214"/>
      <c r="V33" s="1214"/>
      <c r="W33" s="1214"/>
      <c r="X33" s="1214"/>
      <c r="Y33" s="1214"/>
      <c r="Z33" s="1214"/>
      <c r="AA33" s="1214"/>
      <c r="AB33" s="1214"/>
      <c r="AC33" s="1214"/>
      <c r="AD33" s="1232"/>
      <c r="AE33" s="1243"/>
    </row>
    <row r="34" spans="2:31" ht="21">
      <c r="B34" s="148" t="s">
        <v>876</v>
      </c>
      <c r="C34" s="1214">
        <v>439</v>
      </c>
      <c r="D34" s="1214">
        <v>505</v>
      </c>
      <c r="E34" s="1214">
        <v>512</v>
      </c>
      <c r="F34" s="1214">
        <v>989</v>
      </c>
      <c r="G34" s="1214">
        <v>1053</v>
      </c>
      <c r="H34" s="1214">
        <v>1445</v>
      </c>
      <c r="I34" s="1214">
        <v>1385</v>
      </c>
      <c r="J34" s="1214">
        <v>1587</v>
      </c>
      <c r="K34" s="1214">
        <v>1913</v>
      </c>
      <c r="L34" s="1214">
        <v>911</v>
      </c>
      <c r="M34" s="1214">
        <v>264</v>
      </c>
      <c r="N34" s="1214">
        <v>273</v>
      </c>
      <c r="O34" s="1214">
        <v>242</v>
      </c>
      <c r="P34" s="1214">
        <v>1436</v>
      </c>
      <c r="Q34" s="1214">
        <v>1539</v>
      </c>
      <c r="R34" s="1214">
        <v>2098</v>
      </c>
      <c r="S34" s="1214">
        <v>2449</v>
      </c>
      <c r="T34" s="1214">
        <v>2928</v>
      </c>
      <c r="U34" s="1214">
        <v>1797</v>
      </c>
      <c r="V34" s="1214">
        <v>1682</v>
      </c>
      <c r="W34" s="1214">
        <v>1960</v>
      </c>
      <c r="X34" s="1214">
        <v>2986</v>
      </c>
      <c r="Y34" s="1214">
        <v>1541</v>
      </c>
      <c r="Z34" s="1214">
        <v>2839</v>
      </c>
      <c r="AA34" s="1214">
        <v>3431.1811050137248</v>
      </c>
      <c r="AB34" s="1214">
        <v>3101.41</v>
      </c>
      <c r="AC34" s="1214">
        <v>2448.23</v>
      </c>
      <c r="AD34" s="1232">
        <v>4019.7644204283224</v>
      </c>
      <c r="AE34" s="1243"/>
    </row>
    <row r="35" spans="2:31" ht="21">
      <c r="B35" s="147"/>
      <c r="C35" s="1214"/>
      <c r="D35" s="1214"/>
      <c r="E35" s="1214"/>
      <c r="F35" s="1214"/>
      <c r="G35" s="1214"/>
      <c r="H35" s="1214"/>
      <c r="I35" s="1214"/>
      <c r="J35" s="1214"/>
      <c r="K35" s="1214"/>
      <c r="L35" s="1214"/>
      <c r="M35" s="1214"/>
      <c r="N35" s="1214"/>
      <c r="O35" s="1214"/>
      <c r="P35" s="1214"/>
      <c r="Q35" s="1214"/>
      <c r="R35" s="1214"/>
      <c r="S35" s="1214"/>
      <c r="T35" s="1214"/>
      <c r="U35" s="1214"/>
      <c r="V35" s="1214"/>
      <c r="W35" s="1214"/>
      <c r="X35" s="1214"/>
      <c r="Y35" s="1214"/>
      <c r="Z35" s="1214"/>
      <c r="AA35" s="1214"/>
      <c r="AB35" s="1214"/>
      <c r="AC35" s="1214"/>
      <c r="AD35" s="1232"/>
      <c r="AE35" s="1243"/>
    </row>
    <row r="36" spans="2:31" ht="21">
      <c r="B36" s="1213" t="s">
        <v>239</v>
      </c>
      <c r="C36" s="1217">
        <v>0</v>
      </c>
      <c r="D36" s="1217">
        <v>0</v>
      </c>
      <c r="E36" s="1217">
        <v>0</v>
      </c>
      <c r="F36" s="1217">
        <v>0</v>
      </c>
      <c r="G36" s="1217">
        <v>0</v>
      </c>
      <c r="H36" s="1217">
        <v>0</v>
      </c>
      <c r="I36" s="1217">
        <v>0</v>
      </c>
      <c r="J36" s="1217">
        <v>0</v>
      </c>
      <c r="K36" s="1217">
        <v>0</v>
      </c>
      <c r="L36" s="1217">
        <v>0</v>
      </c>
      <c r="M36" s="1214">
        <v>1079</v>
      </c>
      <c r="N36" s="1214">
        <v>2526</v>
      </c>
      <c r="O36" s="1214">
        <v>4468</v>
      </c>
      <c r="P36" s="1214">
        <v>5263</v>
      </c>
      <c r="Q36" s="1214">
        <v>5986</v>
      </c>
      <c r="R36" s="1214">
        <v>6774</v>
      </c>
      <c r="S36" s="1214">
        <v>7700</v>
      </c>
      <c r="T36" s="1214">
        <v>9626</v>
      </c>
      <c r="U36" s="1214">
        <v>11615</v>
      </c>
      <c r="V36" s="1214">
        <v>15597</v>
      </c>
      <c r="W36" s="1214">
        <v>25972</v>
      </c>
      <c r="X36" s="1214">
        <v>28002</v>
      </c>
      <c r="Y36" s="1214">
        <v>29402</v>
      </c>
      <c r="Z36" s="1214">
        <v>25517</v>
      </c>
      <c r="AA36" s="1214">
        <v>24115.153121096289</v>
      </c>
      <c r="AB36" s="1214">
        <v>25153.14</v>
      </c>
      <c r="AC36" s="1214">
        <v>13296.82</v>
      </c>
      <c r="AD36" s="1232">
        <v>14237.081559395607</v>
      </c>
      <c r="AE36" s="1243"/>
    </row>
    <row r="37" spans="2:31" ht="21">
      <c r="B37" s="1211"/>
      <c r="C37" s="1215"/>
      <c r="D37" s="1215"/>
      <c r="E37" s="1215"/>
      <c r="F37" s="1215"/>
      <c r="G37" s="1215"/>
      <c r="H37" s="1215"/>
      <c r="I37" s="1215"/>
      <c r="J37" s="1215"/>
      <c r="K37" s="1215"/>
      <c r="L37" s="1215"/>
      <c r="M37" s="1215"/>
      <c r="N37" s="1215"/>
      <c r="O37" s="1215"/>
      <c r="P37" s="1215"/>
      <c r="Q37" s="1215"/>
      <c r="R37" s="1215"/>
      <c r="S37" s="1215"/>
      <c r="T37" s="1215"/>
      <c r="U37" s="1215"/>
      <c r="V37" s="1215"/>
      <c r="W37" s="1215"/>
      <c r="X37" s="1215"/>
      <c r="Y37" s="1215"/>
      <c r="Z37" s="1215"/>
      <c r="AA37" s="1215"/>
      <c r="AB37" s="1215"/>
      <c r="AC37" s="1215"/>
      <c r="AD37" s="1215"/>
      <c r="AE37" s="1243"/>
    </row>
    <row r="38" spans="2:31" ht="21">
      <c r="B38" s="1209" t="s">
        <v>877</v>
      </c>
      <c r="C38" s="1219">
        <v>9232</v>
      </c>
      <c r="D38" s="1220">
        <v>0</v>
      </c>
      <c r="E38" s="1220">
        <v>0</v>
      </c>
      <c r="F38" s="1220">
        <v>0</v>
      </c>
      <c r="G38" s="1220">
        <v>0</v>
      </c>
      <c r="H38" s="1220">
        <v>0</v>
      </c>
      <c r="I38" s="1220">
        <v>0</v>
      </c>
      <c r="J38" s="1220">
        <v>0</v>
      </c>
      <c r="K38" s="1220">
        <v>0</v>
      </c>
      <c r="L38" s="1219">
        <v>28</v>
      </c>
      <c r="M38" s="1219">
        <v>11704.2516</v>
      </c>
      <c r="N38" s="1219">
        <v>28434.741300000002</v>
      </c>
      <c r="O38" s="1219">
        <v>46195.8292</v>
      </c>
      <c r="P38" s="1219">
        <v>5157.8648000000003</v>
      </c>
      <c r="Q38" s="1219">
        <v>6750.8945999999996</v>
      </c>
      <c r="R38" s="1219">
        <v>7271.2358999999997</v>
      </c>
      <c r="S38" s="1219">
        <v>8461.1905200000001</v>
      </c>
      <c r="T38" s="1219">
        <v>8678.4854999999989</v>
      </c>
      <c r="U38" s="1219">
        <v>9062.1741000000002</v>
      </c>
      <c r="V38" s="1219">
        <v>9265.5751199999995</v>
      </c>
      <c r="W38" s="1219">
        <v>9376.5017900000003</v>
      </c>
      <c r="X38" s="1219">
        <v>9440.1029199999994</v>
      </c>
      <c r="Y38" s="1219">
        <v>49</v>
      </c>
      <c r="Z38" s="1219">
        <v>44</v>
      </c>
      <c r="AA38" s="1219">
        <v>42.906828052374316</v>
      </c>
      <c r="AB38" s="1219">
        <v>107.43</v>
      </c>
      <c r="AC38" s="1219">
        <v>104.84</v>
      </c>
      <c r="AD38" s="1219">
        <v>103.9552346598757</v>
      </c>
      <c r="AE38" s="1243"/>
    </row>
    <row r="39" spans="2:31" ht="21.5" thickBot="1">
      <c r="B39" s="1221"/>
      <c r="C39" s="1222"/>
      <c r="D39" s="1222"/>
      <c r="E39" s="1222"/>
      <c r="F39" s="1222"/>
      <c r="G39" s="1222"/>
      <c r="H39" s="1222"/>
      <c r="I39" s="1222"/>
      <c r="J39" s="1222"/>
      <c r="K39" s="1222"/>
      <c r="L39" s="1222"/>
      <c r="M39" s="1222"/>
      <c r="N39" s="1222"/>
      <c r="O39" s="1222"/>
      <c r="P39" s="1222"/>
      <c r="Q39" s="1222"/>
      <c r="R39" s="1222"/>
      <c r="S39" s="1222"/>
      <c r="T39" s="1222"/>
      <c r="U39" s="1222"/>
      <c r="V39" s="1222"/>
      <c r="W39" s="1222"/>
      <c r="X39" s="1222"/>
      <c r="Y39" s="1222"/>
      <c r="Z39" s="1222"/>
      <c r="AA39" s="1222"/>
      <c r="AB39" s="1222"/>
      <c r="AC39" s="1222"/>
      <c r="AD39" s="1222"/>
      <c r="AE39" s="1243"/>
    </row>
    <row r="40" spans="2:31" ht="21.5" thickTop="1">
      <c r="B40" s="1209" t="s">
        <v>878</v>
      </c>
      <c r="C40" s="1210">
        <v>0</v>
      </c>
      <c r="D40" s="1210">
        <v>0</v>
      </c>
      <c r="E40" s="1210">
        <v>0</v>
      </c>
      <c r="F40" s="1210">
        <v>0</v>
      </c>
      <c r="G40" s="1210">
        <v>0</v>
      </c>
      <c r="H40" s="1210">
        <v>0</v>
      </c>
      <c r="I40" s="1210">
        <v>0</v>
      </c>
      <c r="J40" s="1210">
        <v>0</v>
      </c>
      <c r="K40" s="1210">
        <v>0</v>
      </c>
      <c r="L40" s="1210">
        <v>0</v>
      </c>
      <c r="M40" s="1210">
        <f>+M42+M44+M46</f>
        <v>5</v>
      </c>
      <c r="N40" s="1210">
        <f t="shared" ref="N40:AD40" si="8">+N42+N44+N46</f>
        <v>41</v>
      </c>
      <c r="O40" s="1210">
        <f t="shared" si="8"/>
        <v>132</v>
      </c>
      <c r="P40" s="1210">
        <f t="shared" si="8"/>
        <v>24011</v>
      </c>
      <c r="Q40" s="1210">
        <f t="shared" si="8"/>
        <v>27012</v>
      </c>
      <c r="R40" s="1210">
        <f t="shared" si="8"/>
        <v>30360</v>
      </c>
      <c r="S40" s="1210">
        <f t="shared" si="8"/>
        <v>31036</v>
      </c>
      <c r="T40" s="1210">
        <f t="shared" si="8"/>
        <v>32531</v>
      </c>
      <c r="U40" s="1210">
        <f t="shared" si="8"/>
        <v>14558</v>
      </c>
      <c r="V40" s="1210">
        <f t="shared" si="8"/>
        <v>15168</v>
      </c>
      <c r="W40" s="1210">
        <f t="shared" si="8"/>
        <v>16189</v>
      </c>
      <c r="X40" s="1210">
        <f t="shared" si="8"/>
        <v>17305</v>
      </c>
      <c r="Y40" s="1210">
        <f t="shared" si="8"/>
        <v>17577</v>
      </c>
      <c r="Z40" s="1210">
        <f t="shared" si="8"/>
        <v>17962</v>
      </c>
      <c r="AA40" s="1210">
        <f t="shared" si="8"/>
        <v>8468.0772239075977</v>
      </c>
      <c r="AB40" s="1210">
        <f t="shared" si="8"/>
        <v>2876.51</v>
      </c>
      <c r="AC40" s="1210">
        <f t="shared" ref="AC40" si="9">+AC42+AC44+AC46</f>
        <v>2805.42</v>
      </c>
      <c r="AD40" s="1210">
        <f t="shared" si="8"/>
        <v>2435.2095195111228</v>
      </c>
      <c r="AE40" s="1243"/>
    </row>
    <row r="41" spans="2:31" ht="21">
      <c r="B41" s="1223"/>
      <c r="C41" s="1224"/>
      <c r="D41" s="1224"/>
      <c r="E41" s="1224"/>
      <c r="F41" s="1224"/>
      <c r="G41" s="1224"/>
      <c r="H41" s="1224"/>
      <c r="I41" s="1224"/>
      <c r="J41" s="1224"/>
      <c r="K41" s="1224"/>
      <c r="L41" s="1224"/>
      <c r="M41" s="1224"/>
      <c r="N41" s="1224"/>
      <c r="O41" s="1224"/>
      <c r="P41" s="1225"/>
      <c r="Q41" s="1224"/>
      <c r="R41" s="1224"/>
      <c r="S41" s="1224"/>
      <c r="T41" s="1224"/>
      <c r="U41" s="1224"/>
      <c r="V41" s="1224"/>
      <c r="W41" s="1224"/>
      <c r="X41" s="1224"/>
      <c r="Y41" s="1224"/>
      <c r="Z41" s="1224"/>
      <c r="AA41" s="1224"/>
      <c r="AB41" s="1224"/>
      <c r="AC41" s="1224"/>
      <c r="AD41" s="1224"/>
    </row>
    <row r="42" spans="2:31" ht="21">
      <c r="B42" s="148" t="s">
        <v>276</v>
      </c>
      <c r="C42" s="1224"/>
      <c r="D42" s="1224"/>
      <c r="E42" s="1224"/>
      <c r="F42" s="1224"/>
      <c r="G42" s="1224"/>
      <c r="H42" s="1224"/>
      <c r="I42" s="1224"/>
      <c r="J42" s="1224"/>
      <c r="K42" s="1224"/>
      <c r="L42" s="1224"/>
      <c r="M42" s="1214">
        <v>0</v>
      </c>
      <c r="N42" s="1214">
        <v>0</v>
      </c>
      <c r="O42" s="1214">
        <v>0</v>
      </c>
      <c r="P42" s="1214">
        <v>17966</v>
      </c>
      <c r="Q42" s="1214">
        <v>19119</v>
      </c>
      <c r="R42" s="1214">
        <v>20459</v>
      </c>
      <c r="S42" s="1214">
        <v>19956</v>
      </c>
      <c r="T42" s="1214">
        <v>20108</v>
      </c>
      <c r="U42" s="1214">
        <v>6809</v>
      </c>
      <c r="V42" s="1214">
        <v>6579</v>
      </c>
      <c r="W42" s="1214">
        <v>6608</v>
      </c>
      <c r="X42" s="1214">
        <v>6670</v>
      </c>
      <c r="Y42" s="1214">
        <v>6352</v>
      </c>
      <c r="Z42" s="1214">
        <v>6101</v>
      </c>
      <c r="AA42" s="1214">
        <v>3613.9821638567914</v>
      </c>
      <c r="AB42" s="1214">
        <v>1258.4000000000001</v>
      </c>
      <c r="AC42" s="1214">
        <v>1218.78</v>
      </c>
      <c r="AD42" s="1232">
        <v>1058.0797299730589</v>
      </c>
    </row>
    <row r="43" spans="2:31" ht="21">
      <c r="B43" s="1223"/>
      <c r="C43" s="1224"/>
      <c r="D43" s="1224"/>
      <c r="E43" s="1224"/>
      <c r="F43" s="1224"/>
      <c r="G43" s="1224"/>
      <c r="H43" s="1224"/>
      <c r="I43" s="1224"/>
      <c r="J43" s="1224"/>
      <c r="K43" s="1224"/>
      <c r="L43" s="1224"/>
      <c r="M43" s="1214"/>
      <c r="N43" s="1214"/>
      <c r="O43" s="1214"/>
      <c r="P43" s="1214"/>
      <c r="Q43" s="1214"/>
      <c r="R43" s="1214"/>
      <c r="S43" s="1214"/>
      <c r="T43" s="1214"/>
      <c r="U43" s="1214"/>
      <c r="V43" s="1214"/>
      <c r="W43" s="1214"/>
      <c r="X43" s="1214"/>
      <c r="Y43" s="1214"/>
      <c r="Z43" s="1214"/>
      <c r="AA43" s="1214"/>
      <c r="AB43" s="1214"/>
      <c r="AC43" s="1214"/>
      <c r="AD43" s="1232"/>
    </row>
    <row r="44" spans="2:31" ht="21">
      <c r="B44" s="148" t="s">
        <v>879</v>
      </c>
      <c r="C44" s="1224"/>
      <c r="D44" s="1224"/>
      <c r="E44" s="1224"/>
      <c r="F44" s="1224"/>
      <c r="G44" s="1224"/>
      <c r="H44" s="1224"/>
      <c r="I44" s="1224"/>
      <c r="J44" s="1224"/>
      <c r="K44" s="1224"/>
      <c r="L44" s="1224"/>
      <c r="M44" s="1214">
        <v>0</v>
      </c>
      <c r="N44" s="1214">
        <v>0</v>
      </c>
      <c r="O44" s="1214">
        <v>0</v>
      </c>
      <c r="P44" s="1214">
        <v>5591</v>
      </c>
      <c r="Q44" s="1214">
        <v>6958</v>
      </c>
      <c r="R44" s="1214">
        <v>8398</v>
      </c>
      <c r="S44" s="1214">
        <v>9028</v>
      </c>
      <c r="T44" s="1214">
        <v>9700</v>
      </c>
      <c r="U44" s="1214">
        <v>4409</v>
      </c>
      <c r="V44" s="1214">
        <v>4599</v>
      </c>
      <c r="W44" s="1214">
        <v>4874</v>
      </c>
      <c r="X44" s="1214">
        <v>5168</v>
      </c>
      <c r="Y44" s="1214">
        <v>5280</v>
      </c>
      <c r="Z44" s="1214">
        <v>5420</v>
      </c>
      <c r="AA44" s="1214">
        <v>2510.288551352709</v>
      </c>
      <c r="AB44" s="1214">
        <v>1022.69</v>
      </c>
      <c r="AC44" s="1214">
        <v>1012.57</v>
      </c>
      <c r="AD44" s="1232">
        <v>863.85757424961264</v>
      </c>
    </row>
    <row r="45" spans="2:31" ht="21">
      <c r="B45" s="1223"/>
      <c r="C45" s="1224"/>
      <c r="D45" s="1224"/>
      <c r="E45" s="1224"/>
      <c r="F45" s="1224"/>
      <c r="G45" s="1224"/>
      <c r="H45" s="1224"/>
      <c r="I45" s="1224"/>
      <c r="J45" s="1224"/>
      <c r="K45" s="1224"/>
      <c r="L45" s="1224"/>
      <c r="M45" s="1214"/>
      <c r="N45" s="1214"/>
      <c r="O45" s="1214"/>
      <c r="P45" s="1214"/>
      <c r="Q45" s="1214"/>
      <c r="R45" s="1214"/>
      <c r="S45" s="1214"/>
      <c r="T45" s="1214"/>
      <c r="U45" s="1214"/>
      <c r="V45" s="1214"/>
      <c r="W45" s="1214"/>
      <c r="X45" s="1214"/>
      <c r="Y45" s="1214"/>
      <c r="Z45" s="1214"/>
      <c r="AA45" s="1214"/>
      <c r="AB45" s="1214"/>
      <c r="AC45" s="1214"/>
      <c r="AD45" s="1232"/>
    </row>
    <row r="46" spans="2:31" ht="21">
      <c r="B46" s="148" t="s">
        <v>880</v>
      </c>
      <c r="C46" s="1224"/>
      <c r="D46" s="1224"/>
      <c r="E46" s="1224"/>
      <c r="F46" s="1224"/>
      <c r="G46" s="1224"/>
      <c r="H46" s="1224"/>
      <c r="I46" s="1224"/>
      <c r="J46" s="1224"/>
      <c r="K46" s="1224"/>
      <c r="L46" s="1224"/>
      <c r="M46" s="1214">
        <v>5</v>
      </c>
      <c r="N46" s="1214">
        <v>41</v>
      </c>
      <c r="O46" s="1214">
        <v>132</v>
      </c>
      <c r="P46" s="1214">
        <v>454</v>
      </c>
      <c r="Q46" s="1214">
        <v>935</v>
      </c>
      <c r="R46" s="1214">
        <v>1503</v>
      </c>
      <c r="S46" s="1214">
        <v>2052</v>
      </c>
      <c r="T46" s="1214">
        <v>2723</v>
      </c>
      <c r="U46" s="1214">
        <v>3340</v>
      </c>
      <c r="V46" s="1214">
        <v>3990</v>
      </c>
      <c r="W46" s="1214">
        <v>4707</v>
      </c>
      <c r="X46" s="1214">
        <v>5467</v>
      </c>
      <c r="Y46" s="1214">
        <v>5945</v>
      </c>
      <c r="Z46" s="1214">
        <v>6441</v>
      </c>
      <c r="AA46" s="1214">
        <v>2343.8065086980969</v>
      </c>
      <c r="AB46" s="1214">
        <v>595.41999999999996</v>
      </c>
      <c r="AC46" s="1214">
        <v>574.07000000000005</v>
      </c>
      <c r="AD46" s="1232">
        <v>513.27221528845132</v>
      </c>
    </row>
    <row r="47" spans="2:31" ht="21.5" thickBot="1">
      <c r="B47" s="13"/>
      <c r="C47" s="1222"/>
      <c r="D47" s="1222"/>
      <c r="E47" s="1222"/>
      <c r="F47" s="1222"/>
      <c r="G47" s="1222"/>
      <c r="H47" s="1222"/>
      <c r="I47" s="1222"/>
      <c r="J47" s="1222"/>
      <c r="K47" s="1222"/>
      <c r="L47" s="1222"/>
      <c r="M47" s="1222"/>
      <c r="N47" s="1222"/>
      <c r="O47" s="1222"/>
      <c r="P47" s="1222"/>
      <c r="Q47" s="1222"/>
      <c r="R47" s="1222"/>
      <c r="S47" s="1222"/>
      <c r="T47" s="1222"/>
      <c r="U47" s="1222"/>
      <c r="V47" s="1222"/>
      <c r="W47" s="1222"/>
      <c r="X47" s="1222"/>
      <c r="Y47" s="1222"/>
      <c r="Z47" s="1222"/>
      <c r="AA47" s="1222"/>
      <c r="AB47" s="1222"/>
      <c r="AC47" s="1222"/>
      <c r="AD47" s="1222"/>
    </row>
    <row r="48" spans="2:31" ht="14" thickTop="1" thickBot="1">
      <c r="B48" s="122"/>
      <c r="C48" s="171"/>
      <c r="D48" s="171"/>
      <c r="E48" s="171"/>
      <c r="F48" s="171"/>
      <c r="G48" s="171"/>
      <c r="H48" s="171"/>
      <c r="I48" s="171"/>
      <c r="J48" s="171"/>
      <c r="K48" s="171"/>
      <c r="L48" s="171"/>
      <c r="M48" s="171"/>
      <c r="N48" s="171"/>
      <c r="O48" s="171"/>
      <c r="P48" s="5"/>
      <c r="Q48" s="5"/>
      <c r="R48" s="1189"/>
      <c r="S48" s="1189"/>
      <c r="T48" s="1189"/>
      <c r="U48" s="1189"/>
      <c r="V48" s="1189"/>
      <c r="W48" s="1189"/>
      <c r="X48" s="1189"/>
    </row>
    <row r="49" spans="2:30" ht="21.5" thickTop="1">
      <c r="B49" s="57"/>
      <c r="C49" s="1226"/>
      <c r="D49" s="1226"/>
      <c r="E49" s="1226"/>
      <c r="F49" s="1226"/>
      <c r="G49" s="1226"/>
      <c r="H49" s="1226"/>
      <c r="I49" s="1226"/>
      <c r="J49" s="1226"/>
      <c r="K49" s="1226"/>
      <c r="L49" s="1226"/>
      <c r="M49" s="1226"/>
      <c r="N49" s="1226"/>
      <c r="O49" s="1226"/>
      <c r="P49" s="1226"/>
      <c r="Q49" s="1226"/>
      <c r="R49" s="1226"/>
      <c r="S49" s="1226"/>
      <c r="T49" s="1226"/>
      <c r="U49" s="1226"/>
      <c r="V49" s="1226"/>
      <c r="W49" s="1226"/>
      <c r="X49" s="1226"/>
      <c r="Y49" s="1226"/>
      <c r="Z49" s="1226"/>
      <c r="AA49" s="1226"/>
      <c r="AB49" s="1226"/>
      <c r="AC49" s="1226"/>
      <c r="AD49" s="1226"/>
    </row>
    <row r="50" spans="2:30" ht="23.25" customHeight="1">
      <c r="B50" s="1209" t="s">
        <v>881</v>
      </c>
      <c r="C50" s="1227">
        <v>0</v>
      </c>
      <c r="D50" s="1227">
        <v>0</v>
      </c>
      <c r="E50" s="1227">
        <v>0</v>
      </c>
      <c r="F50" s="1227">
        <v>0</v>
      </c>
      <c r="G50" s="1227">
        <v>0</v>
      </c>
      <c r="H50" s="1227">
        <v>0</v>
      </c>
      <c r="I50" s="1227">
        <v>0</v>
      </c>
      <c r="J50" s="1227">
        <v>0</v>
      </c>
      <c r="K50" s="1227">
        <v>0</v>
      </c>
      <c r="L50" s="1227">
        <v>0</v>
      </c>
      <c r="M50" s="1227">
        <v>0</v>
      </c>
      <c r="N50" s="1227">
        <v>0</v>
      </c>
      <c r="O50" s="1227">
        <v>0</v>
      </c>
      <c r="P50" s="1227">
        <v>28784.425908667123</v>
      </c>
      <c r="Q50" s="1227">
        <v>29052.852289651546</v>
      </c>
      <c r="R50" s="1227">
        <v>28175.633335788727</v>
      </c>
      <c r="S50" s="1227">
        <v>19871.955707853253</v>
      </c>
      <c r="T50" s="1227">
        <v>18112.885342126716</v>
      </c>
      <c r="U50" s="1227">
        <v>22730.046015211505</v>
      </c>
      <c r="V50" s="1227">
        <v>19725.328368584986</v>
      </c>
      <c r="W50" s="1227">
        <v>15942.38523076158</v>
      </c>
      <c r="X50" s="1227">
        <v>15761.737947904438</v>
      </c>
      <c r="Y50" s="1227">
        <v>14430.352181927505</v>
      </c>
      <c r="Z50" s="1227">
        <v>13324.15054701199</v>
      </c>
      <c r="AA50" s="1227">
        <v>13001.693956529345</v>
      </c>
      <c r="AB50" s="1227">
        <v>13772.18</v>
      </c>
      <c r="AC50" s="1227">
        <v>13192.94</v>
      </c>
      <c r="AD50" s="1227">
        <v>12962.731781384884</v>
      </c>
    </row>
    <row r="51" spans="2:30" ht="21.5" thickBot="1">
      <c r="B51" s="13"/>
      <c r="C51" s="1222"/>
      <c r="D51" s="1222"/>
      <c r="E51" s="1222"/>
      <c r="F51" s="1222"/>
      <c r="G51" s="1222"/>
      <c r="H51" s="1222"/>
      <c r="I51" s="1222"/>
      <c r="J51" s="1222"/>
      <c r="K51" s="1222"/>
      <c r="L51" s="1222"/>
      <c r="M51" s="1222"/>
      <c r="N51" s="1222"/>
      <c r="O51" s="1222"/>
      <c r="P51" s="1222"/>
      <c r="Q51" s="1222"/>
      <c r="R51" s="1222"/>
      <c r="S51" s="1222"/>
      <c r="T51" s="1222"/>
      <c r="U51" s="1222"/>
      <c r="V51" s="1222"/>
      <c r="W51" s="1222"/>
      <c r="X51" s="1222"/>
      <c r="Y51" s="1222"/>
      <c r="Z51" s="1222"/>
      <c r="AA51" s="1222"/>
      <c r="AB51" s="1222"/>
      <c r="AC51" s="1222"/>
      <c r="AD51" s="1222"/>
    </row>
    <row r="52" spans="2:30" ht="13.5" thickTop="1">
      <c r="B52" s="1186" t="s">
        <v>882</v>
      </c>
      <c r="C52" s="5"/>
      <c r="D52" s="5"/>
      <c r="E52" s="5"/>
      <c r="F52" s="5"/>
      <c r="G52" s="5"/>
      <c r="H52" s="5"/>
      <c r="I52" s="5"/>
      <c r="J52" s="5"/>
      <c r="K52" s="5"/>
      <c r="L52" s="5"/>
      <c r="M52" s="159"/>
      <c r="N52" s="5"/>
      <c r="O52" s="5"/>
      <c r="P52" s="5"/>
      <c r="Q52" s="5"/>
      <c r="R52" s="1189"/>
      <c r="S52" s="1189"/>
      <c r="T52" s="1189"/>
      <c r="U52" s="1189"/>
      <c r="V52" s="1189"/>
      <c r="W52" s="1189"/>
      <c r="X52" s="1189"/>
    </row>
    <row r="53" spans="2:30">
      <c r="B53" s="1186" t="s">
        <v>883</v>
      </c>
    </row>
    <row r="54" spans="2:30">
      <c r="B54" s="1228" t="s">
        <v>884</v>
      </c>
    </row>
    <row r="55" spans="2:30">
      <c r="Q55" s="1229"/>
    </row>
    <row r="58" spans="2:30">
      <c r="C58" s="1229"/>
      <c r="D58" s="1229"/>
      <c r="E58" s="1229"/>
      <c r="F58" s="1229"/>
      <c r="G58" s="1229"/>
      <c r="H58" s="1229"/>
      <c r="I58" s="1229"/>
      <c r="J58" s="1229"/>
      <c r="K58" s="1229"/>
      <c r="L58" s="1229"/>
      <c r="M58" s="1229"/>
      <c r="N58" s="1229"/>
      <c r="O58" s="1229"/>
      <c r="P58" s="1229"/>
      <c r="Q58" s="1229"/>
      <c r="R58" s="1229"/>
      <c r="S58" s="1229"/>
      <c r="T58" s="1229"/>
      <c r="U58" s="1229"/>
      <c r="V58" s="1229"/>
      <c r="W58" s="1229"/>
      <c r="X58" s="1229"/>
      <c r="Y58" s="1229"/>
      <c r="Z58" s="1229"/>
      <c r="AA58" s="1229"/>
      <c r="AB58" s="1229"/>
      <c r="AC58" s="1229"/>
      <c r="AD58" s="1229"/>
    </row>
  </sheetData>
  <mergeCells count="5">
    <mergeCell ref="B6:AA6"/>
    <mergeCell ref="B7:AA7"/>
    <mergeCell ref="B8:AA8"/>
    <mergeCell ref="B11:B12"/>
    <mergeCell ref="C11:AD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sheetPr>
    <tabColor theme="3" tint="0.79998168889431442"/>
    <pageSetUpPr fitToPage="1"/>
  </sheetPr>
  <dimension ref="A1:AE107"/>
  <sheetViews>
    <sheetView showGridLines="0" showRuler="0" zoomScale="85" zoomScaleNormal="85" zoomScaleSheetLayoutView="76" workbookViewId="0"/>
  </sheetViews>
  <sheetFormatPr baseColWidth="10" defaultColWidth="11.453125" defaultRowHeight="15.5"/>
  <cols>
    <col min="1" max="1" width="6.81640625" style="5" customWidth="1"/>
    <col min="2" max="2" width="37.81640625" style="129" customWidth="1"/>
    <col min="3" max="15" width="16" style="129" customWidth="1"/>
    <col min="16" max="16" width="19.26953125" style="129" bestFit="1" customWidth="1"/>
    <col min="17" max="27" width="16.54296875" style="129" customWidth="1"/>
    <col min="28" max="16384" width="11.453125" style="129"/>
  </cols>
  <sheetData>
    <row r="1" spans="1:31">
      <c r="A1" s="738" t="s">
        <v>219</v>
      </c>
      <c r="B1" s="190"/>
      <c r="C1" s="135"/>
    </row>
    <row r="2" spans="1:31" s="130" customFormat="1" ht="15" customHeight="1">
      <c r="A2" s="42"/>
      <c r="B2" s="386" t="str">
        <f>+INDICE!B2</f>
        <v>MINISTERIO DE ECONOMÍA</v>
      </c>
      <c r="C2" s="131"/>
      <c r="D2" s="131"/>
      <c r="E2" s="131"/>
      <c r="F2" s="131"/>
      <c r="G2" s="131"/>
      <c r="H2" s="131"/>
      <c r="I2" s="131"/>
      <c r="J2" s="131"/>
      <c r="K2" s="131"/>
      <c r="L2" s="131"/>
      <c r="M2" s="131"/>
      <c r="N2" s="131"/>
      <c r="O2" s="131"/>
      <c r="P2" s="135"/>
      <c r="Q2" s="135"/>
      <c r="R2" s="135"/>
      <c r="S2" s="135"/>
      <c r="T2" s="135"/>
      <c r="U2" s="135"/>
      <c r="V2" s="135"/>
      <c r="W2" s="135"/>
      <c r="X2" s="135"/>
      <c r="Y2" s="135"/>
      <c r="Z2" s="135"/>
      <c r="AA2" s="135"/>
    </row>
    <row r="3" spans="1:31" s="130" customFormat="1" ht="15" customHeight="1">
      <c r="A3" s="42"/>
      <c r="B3" s="386" t="str">
        <f>+A.2.4!B3</f>
        <v>SECRETARÍA DE FINANZAS</v>
      </c>
      <c r="C3" s="132"/>
      <c r="D3" s="132"/>
      <c r="E3" s="132"/>
      <c r="F3" s="132"/>
      <c r="G3" s="132"/>
      <c r="H3" s="132"/>
      <c r="I3" s="132"/>
      <c r="J3" s="132"/>
      <c r="K3" s="132"/>
      <c r="L3" s="132"/>
      <c r="M3" s="132"/>
      <c r="N3" s="132"/>
      <c r="O3" s="132"/>
      <c r="P3" s="135"/>
      <c r="Q3" s="135"/>
      <c r="R3" s="135"/>
      <c r="S3" s="135"/>
      <c r="T3" s="135"/>
      <c r="U3" s="135"/>
      <c r="V3" s="135"/>
      <c r="W3" s="135"/>
      <c r="X3" s="135"/>
      <c r="Y3" s="135"/>
      <c r="Z3" s="135"/>
      <c r="AA3" s="135"/>
    </row>
    <row r="4" spans="1:31" s="35" customFormat="1">
      <c r="B4" s="431"/>
      <c r="C4" s="431"/>
      <c r="D4" s="431"/>
      <c r="E4" s="431"/>
      <c r="F4" s="431"/>
      <c r="G4" s="431"/>
      <c r="H4" s="431"/>
      <c r="I4" s="431"/>
      <c r="J4" s="431"/>
      <c r="K4" s="431"/>
      <c r="L4" s="431"/>
      <c r="M4" s="431"/>
      <c r="N4" s="431"/>
      <c r="O4" s="431"/>
      <c r="P4" s="135"/>
      <c r="Q4" s="135"/>
      <c r="R4" s="135"/>
      <c r="S4" s="135"/>
      <c r="T4" s="135"/>
      <c r="U4" s="135"/>
      <c r="V4" s="135"/>
      <c r="W4" s="135"/>
      <c r="X4" s="135"/>
      <c r="Y4" s="135"/>
      <c r="Z4" s="135"/>
      <c r="AA4" s="135"/>
    </row>
    <row r="5" spans="1:31" s="35" customFormat="1">
      <c r="B5" s="431"/>
      <c r="C5" s="431"/>
      <c r="D5" s="431"/>
      <c r="E5" s="431"/>
      <c r="F5" s="431"/>
      <c r="G5" s="431"/>
      <c r="H5" s="431"/>
      <c r="I5" s="431"/>
      <c r="J5" s="431"/>
      <c r="K5" s="431"/>
      <c r="L5" s="431"/>
      <c r="M5" s="431"/>
      <c r="N5" s="431"/>
      <c r="O5" s="431"/>
      <c r="P5" s="135"/>
      <c r="Q5" s="135"/>
      <c r="R5" s="135"/>
      <c r="S5" s="135"/>
      <c r="T5" s="135"/>
      <c r="U5" s="135"/>
      <c r="V5" s="135"/>
      <c r="W5" s="135"/>
      <c r="X5" s="135"/>
      <c r="Y5" s="135"/>
      <c r="Z5" s="135"/>
      <c r="AA5" s="135"/>
    </row>
    <row r="6" spans="1:31" s="133" customFormat="1" ht="17">
      <c r="B6" s="1476" t="s">
        <v>782</v>
      </c>
      <c r="C6" s="1476"/>
      <c r="D6" s="1476"/>
      <c r="E6" s="1476"/>
      <c r="F6" s="1476"/>
      <c r="G6" s="1476"/>
      <c r="H6" s="1476"/>
      <c r="I6" s="1476"/>
      <c r="J6" s="1476"/>
      <c r="K6" s="1476"/>
      <c r="L6" s="1476"/>
      <c r="M6" s="1476"/>
      <c r="N6" s="1476"/>
      <c r="O6" s="1476"/>
      <c r="P6" s="135"/>
      <c r="Q6" s="135"/>
      <c r="R6" s="135"/>
      <c r="S6" s="135"/>
      <c r="T6" s="135"/>
      <c r="U6" s="135"/>
      <c r="V6" s="135"/>
      <c r="W6" s="135"/>
      <c r="X6" s="135"/>
      <c r="Y6" s="135"/>
      <c r="Z6" s="135"/>
      <c r="AA6" s="135"/>
    </row>
    <row r="7" spans="1:31" s="830" customFormat="1" ht="17">
      <c r="B7" s="1480" t="s">
        <v>916</v>
      </c>
      <c r="C7" s="1480"/>
      <c r="D7" s="1480"/>
      <c r="E7" s="1480"/>
      <c r="F7" s="1480"/>
      <c r="G7" s="1480"/>
      <c r="H7" s="1480"/>
      <c r="I7" s="1480"/>
      <c r="J7" s="1480"/>
      <c r="K7" s="1480"/>
      <c r="L7" s="1480"/>
      <c r="M7" s="1480"/>
      <c r="N7" s="1480"/>
      <c r="O7" s="1480"/>
      <c r="P7" s="135"/>
      <c r="Q7" s="135"/>
      <c r="R7" s="135"/>
      <c r="S7" s="135"/>
      <c r="T7" s="135"/>
      <c r="U7" s="135"/>
      <c r="V7" s="135"/>
      <c r="W7" s="135"/>
      <c r="X7" s="135"/>
      <c r="Y7" s="135"/>
      <c r="Z7" s="135"/>
      <c r="AA7" s="135"/>
    </row>
    <row r="8" spans="1:31">
      <c r="B8" s="1479" t="s">
        <v>343</v>
      </c>
      <c r="C8" s="1479"/>
      <c r="D8" s="1479"/>
      <c r="E8" s="1479"/>
      <c r="F8" s="1479"/>
      <c r="G8" s="1479"/>
      <c r="H8" s="1479"/>
      <c r="I8" s="1479"/>
      <c r="J8" s="1479"/>
      <c r="K8" s="1479"/>
      <c r="L8" s="1479"/>
      <c r="M8" s="1479"/>
      <c r="N8" s="1479"/>
      <c r="O8" s="1479"/>
      <c r="P8" s="135"/>
      <c r="Q8" s="135"/>
      <c r="R8" s="135"/>
      <c r="S8" s="135"/>
      <c r="T8" s="135"/>
      <c r="U8" s="135"/>
      <c r="V8" s="135"/>
      <c r="W8" s="135"/>
      <c r="X8" s="135"/>
      <c r="Y8" s="135"/>
      <c r="Z8" s="135"/>
      <c r="AA8" s="135"/>
    </row>
    <row r="9" spans="1:31" s="198" customFormat="1">
      <c r="A9" s="35"/>
      <c r="B9" s="452"/>
      <c r="C9" s="453"/>
      <c r="D9" s="453"/>
      <c r="E9" s="453"/>
      <c r="F9" s="453"/>
      <c r="G9" s="453"/>
      <c r="H9" s="453"/>
      <c r="I9" s="453"/>
      <c r="J9" s="453"/>
      <c r="K9" s="453"/>
      <c r="L9" s="453"/>
      <c r="M9" s="453"/>
      <c r="N9" s="453"/>
      <c r="O9" s="453"/>
      <c r="P9" s="135"/>
      <c r="Q9" s="135"/>
      <c r="R9" s="135"/>
      <c r="S9" s="135"/>
      <c r="T9" s="135"/>
      <c r="U9" s="135"/>
      <c r="V9" s="135"/>
      <c r="W9" s="135"/>
      <c r="X9" s="135"/>
      <c r="Y9" s="135"/>
      <c r="Z9" s="135"/>
      <c r="AA9" s="135"/>
    </row>
    <row r="10" spans="1:31" ht="16" thickBot="1">
      <c r="A10" s="1"/>
      <c r="B10" s="831" t="s">
        <v>911</v>
      </c>
      <c r="C10" s="739"/>
      <c r="D10" s="739"/>
      <c r="E10" s="739"/>
      <c r="F10" s="739"/>
      <c r="G10" s="739"/>
      <c r="H10" s="739"/>
      <c r="I10" s="739"/>
      <c r="J10" s="739"/>
      <c r="K10" s="739"/>
      <c r="L10" s="739"/>
      <c r="M10" s="739"/>
      <c r="N10" s="739"/>
      <c r="O10" s="739"/>
      <c r="P10" s="135"/>
      <c r="Q10" s="135"/>
      <c r="R10" s="135"/>
      <c r="S10" s="135"/>
      <c r="T10" s="135"/>
      <c r="U10" s="135"/>
      <c r="V10" s="135"/>
      <c r="W10" s="135"/>
      <c r="X10" s="135"/>
      <c r="Y10" s="135"/>
      <c r="Z10" s="135"/>
      <c r="AA10" s="135"/>
    </row>
    <row r="11" spans="1:31" s="42" customFormat="1" ht="16.5" thickTop="1" thickBot="1">
      <c r="B11" s="1477"/>
      <c r="C11" s="1481">
        <v>2020</v>
      </c>
      <c r="D11" s="1482"/>
      <c r="E11" s="1482"/>
      <c r="F11" s="1482"/>
      <c r="G11" s="1482"/>
      <c r="H11" s="1482"/>
      <c r="I11" s="1482"/>
      <c r="J11" s="1482"/>
      <c r="K11" s="1482"/>
      <c r="L11" s="1482"/>
      <c r="M11" s="1482"/>
      <c r="N11" s="1483"/>
      <c r="O11" s="1140" t="s">
        <v>292</v>
      </c>
      <c r="P11" s="135"/>
      <c r="Q11" s="135"/>
      <c r="R11" s="135"/>
      <c r="S11" s="135"/>
      <c r="T11" s="135"/>
      <c r="U11" s="135"/>
      <c r="V11" s="135"/>
      <c r="W11" s="135"/>
      <c r="X11" s="135"/>
      <c r="Y11" s="135"/>
      <c r="Z11" s="135"/>
      <c r="AA11" s="135"/>
    </row>
    <row r="12" spans="1:31" s="42" customFormat="1" ht="16.5" thickTop="1" thickBot="1">
      <c r="B12" s="1478"/>
      <c r="C12" s="1141" t="s">
        <v>625</v>
      </c>
      <c r="D12" s="1141" t="s">
        <v>157</v>
      </c>
      <c r="E12" s="1141" t="s">
        <v>135</v>
      </c>
      <c r="F12" s="1141" t="s">
        <v>154</v>
      </c>
      <c r="G12" s="1141" t="s">
        <v>158</v>
      </c>
      <c r="H12" s="1141" t="s">
        <v>301</v>
      </c>
      <c r="I12" s="1142" t="s">
        <v>502</v>
      </c>
      <c r="J12" s="1142" t="s">
        <v>503</v>
      </c>
      <c r="K12" s="1141" t="s">
        <v>504</v>
      </c>
      <c r="L12" s="1141" t="s">
        <v>155</v>
      </c>
      <c r="M12" s="1141" t="s">
        <v>156</v>
      </c>
      <c r="N12" s="1141" t="s">
        <v>136</v>
      </c>
      <c r="O12" s="1143">
        <v>2020</v>
      </c>
      <c r="P12" s="135"/>
      <c r="Q12" s="135"/>
      <c r="R12" s="135"/>
      <c r="S12" s="135"/>
      <c r="T12" s="135"/>
      <c r="U12" s="135"/>
      <c r="V12" s="135"/>
      <c r="W12" s="135"/>
      <c r="X12" s="135"/>
      <c r="Y12" s="135"/>
      <c r="Z12" s="135"/>
      <c r="AA12" s="135"/>
    </row>
    <row r="13" spans="1:31" ht="16" thickTop="1">
      <c r="B13" s="1144"/>
      <c r="C13" s="1145"/>
      <c r="D13" s="1145"/>
      <c r="E13" s="1145"/>
      <c r="F13" s="1145"/>
      <c r="G13" s="1145"/>
      <c r="H13" s="1145"/>
      <c r="I13" s="1145"/>
      <c r="J13" s="1145"/>
      <c r="K13" s="1145"/>
      <c r="L13" s="1145"/>
      <c r="M13" s="1145"/>
      <c r="N13" s="1145"/>
      <c r="O13" s="1146"/>
      <c r="P13" s="135"/>
      <c r="Q13" s="135"/>
      <c r="R13" s="135"/>
      <c r="S13" s="135"/>
      <c r="T13" s="135"/>
      <c r="U13" s="135"/>
      <c r="V13" s="135"/>
      <c r="W13" s="135"/>
      <c r="X13" s="135"/>
      <c r="Y13" s="135"/>
      <c r="Z13" s="135"/>
      <c r="AA13" s="135"/>
    </row>
    <row r="14" spans="1:31">
      <c r="A14" s="1"/>
      <c r="B14" s="1147" t="s">
        <v>237</v>
      </c>
      <c r="C14" s="1148">
        <f t="shared" ref="C14:N14" si="0">+SUM(C15:C16)</f>
        <v>1167749.8108899998</v>
      </c>
      <c r="D14" s="1148">
        <f t="shared" si="0"/>
        <v>1947290.55504</v>
      </c>
      <c r="E14" s="1148">
        <f t="shared" si="0"/>
        <v>2258001.7309900001</v>
      </c>
      <c r="F14" s="1148">
        <f t="shared" si="0"/>
        <v>6637122.5802999996</v>
      </c>
      <c r="G14" s="1148">
        <f t="shared" si="0"/>
        <v>4278635.6779899998</v>
      </c>
      <c r="H14" s="1148">
        <f t="shared" si="0"/>
        <v>4635967.8770700004</v>
      </c>
      <c r="I14" s="1148">
        <f t="shared" ref="I14:K14" si="1">+SUM(I15:I16)</f>
        <v>927689.7009099999</v>
      </c>
      <c r="J14" s="1148">
        <f t="shared" si="1"/>
        <v>192356.83562</v>
      </c>
      <c r="K14" s="1148">
        <f t="shared" si="1"/>
        <v>431296.67030999996</v>
      </c>
      <c r="L14" s="1148">
        <f t="shared" si="0"/>
        <v>4712874.4497299995</v>
      </c>
      <c r="M14" s="1148">
        <f t="shared" si="0"/>
        <v>2827732.75777</v>
      </c>
      <c r="N14" s="1148">
        <f t="shared" si="0"/>
        <v>2428678.6095899995</v>
      </c>
      <c r="O14" s="1149">
        <f>+O15+O16</f>
        <v>32445397.256209999</v>
      </c>
      <c r="P14" s="802"/>
      <c r="Q14" s="802"/>
      <c r="R14" s="802"/>
      <c r="S14" s="802"/>
      <c r="T14" s="802"/>
      <c r="U14" s="802"/>
      <c r="V14" s="802"/>
      <c r="W14" s="802"/>
      <c r="X14" s="802"/>
      <c r="Y14" s="802"/>
      <c r="Z14" s="802"/>
      <c r="AA14" s="802"/>
      <c r="AB14" s="802"/>
      <c r="AC14" s="802"/>
      <c r="AD14" s="802"/>
      <c r="AE14" s="802"/>
    </row>
    <row r="15" spans="1:31">
      <c r="A15" s="1"/>
      <c r="B15" s="1150" t="s">
        <v>276</v>
      </c>
      <c r="C15" s="1148">
        <v>87064.48507000001</v>
      </c>
      <c r="D15" s="1148">
        <v>1699553.97376</v>
      </c>
      <c r="E15" s="1148">
        <v>1437546.2493199999</v>
      </c>
      <c r="F15" s="1148">
        <v>5311737.3390600001</v>
      </c>
      <c r="G15" s="1148">
        <v>3508223.1666000001</v>
      </c>
      <c r="H15" s="1148">
        <v>2438891.8592300001</v>
      </c>
      <c r="I15" s="1148">
        <v>72848.291849999994</v>
      </c>
      <c r="J15" s="1148">
        <v>61815.033729999996</v>
      </c>
      <c r="K15" s="1148">
        <v>62001.04703999999</v>
      </c>
      <c r="L15" s="1148">
        <v>3433959.0849499996</v>
      </c>
      <c r="M15" s="1148">
        <v>2145848.1030299999</v>
      </c>
      <c r="N15" s="1148">
        <v>653532.63010999991</v>
      </c>
      <c r="O15" s="1149">
        <f t="shared" ref="O15:O16" si="2">SUM(C15:N15)</f>
        <v>20913021.263750002</v>
      </c>
      <c r="P15" s="802"/>
      <c r="Q15" s="802"/>
      <c r="R15" s="802"/>
      <c r="S15" s="802"/>
      <c r="T15" s="802"/>
      <c r="U15" s="802"/>
      <c r="V15" s="802"/>
      <c r="W15" s="802"/>
      <c r="X15" s="802"/>
      <c r="Y15" s="802"/>
      <c r="Z15" s="802"/>
      <c r="AA15" s="802"/>
      <c r="AB15" s="802"/>
      <c r="AC15" s="802"/>
      <c r="AD15" s="802"/>
      <c r="AE15" s="802"/>
    </row>
    <row r="16" spans="1:31">
      <c r="A16" s="1"/>
      <c r="B16" s="1150" t="s">
        <v>306</v>
      </c>
      <c r="C16" s="1148">
        <v>1080685.3258199999</v>
      </c>
      <c r="D16" s="1148">
        <v>247736.58128000004</v>
      </c>
      <c r="E16" s="1148">
        <v>820455.48167000001</v>
      </c>
      <c r="F16" s="1148">
        <v>1325385.2412399997</v>
      </c>
      <c r="G16" s="1148">
        <v>770412.51138999988</v>
      </c>
      <c r="H16" s="1148">
        <v>2197076.0178399999</v>
      </c>
      <c r="I16" s="1148">
        <v>854841.40905999986</v>
      </c>
      <c r="J16" s="1148">
        <v>130541.80189</v>
      </c>
      <c r="K16" s="1148">
        <v>369295.62326999998</v>
      </c>
      <c r="L16" s="1148">
        <v>1278915.3647799997</v>
      </c>
      <c r="M16" s="1148">
        <v>681884.65473999991</v>
      </c>
      <c r="N16" s="1148">
        <v>1775145.9794799995</v>
      </c>
      <c r="O16" s="1149">
        <f t="shared" si="2"/>
        <v>11532375.992459999</v>
      </c>
      <c r="P16" s="802"/>
      <c r="Q16" s="802"/>
      <c r="R16" s="802"/>
      <c r="S16" s="802"/>
      <c r="T16" s="802"/>
      <c r="U16" s="802"/>
      <c r="V16" s="802"/>
      <c r="W16" s="802"/>
      <c r="X16" s="802"/>
      <c r="Y16" s="802"/>
      <c r="Z16" s="802"/>
      <c r="AA16" s="802"/>
      <c r="AB16" s="802"/>
      <c r="AC16" s="802"/>
      <c r="AD16" s="802"/>
      <c r="AE16" s="802"/>
    </row>
    <row r="17" spans="1:31">
      <c r="A17" s="1"/>
      <c r="B17" s="1151"/>
      <c r="C17" s="1152"/>
      <c r="D17" s="1152"/>
      <c r="E17" s="1152"/>
      <c r="F17" s="1152"/>
      <c r="G17" s="1152"/>
      <c r="H17" s="1152"/>
      <c r="I17" s="1152"/>
      <c r="J17" s="1152"/>
      <c r="K17" s="1152"/>
      <c r="L17" s="1152"/>
      <c r="M17" s="1152"/>
      <c r="N17" s="1152"/>
      <c r="O17" s="1153"/>
      <c r="P17" s="802"/>
      <c r="Q17" s="802"/>
      <c r="R17" s="802"/>
      <c r="S17" s="802"/>
      <c r="T17" s="802"/>
      <c r="U17" s="802"/>
      <c r="V17" s="802"/>
      <c r="W17" s="802"/>
      <c r="X17" s="802"/>
      <c r="Y17" s="802"/>
      <c r="Z17" s="802"/>
      <c r="AA17" s="802"/>
      <c r="AB17" s="802"/>
      <c r="AC17" s="802"/>
      <c r="AD17" s="802"/>
      <c r="AE17" s="802"/>
    </row>
    <row r="18" spans="1:31">
      <c r="A18" s="129"/>
      <c r="B18" s="1147"/>
      <c r="C18" s="1148"/>
      <c r="D18" s="1148"/>
      <c r="E18" s="1148"/>
      <c r="F18" s="1148"/>
      <c r="G18" s="1148"/>
      <c r="H18" s="1148"/>
      <c r="I18" s="1148"/>
      <c r="J18" s="1148"/>
      <c r="K18" s="1148"/>
      <c r="L18" s="1148"/>
      <c r="M18" s="1148"/>
      <c r="N18" s="1148"/>
      <c r="O18" s="1149"/>
      <c r="P18" s="802"/>
      <c r="Q18" s="802"/>
      <c r="R18" s="802"/>
      <c r="S18" s="802"/>
      <c r="T18" s="802"/>
      <c r="U18" s="802"/>
      <c r="V18" s="802"/>
      <c r="W18" s="802"/>
      <c r="X18" s="802"/>
      <c r="Y18" s="802"/>
      <c r="Z18" s="802"/>
      <c r="AA18" s="802"/>
      <c r="AB18" s="802"/>
      <c r="AC18" s="802"/>
      <c r="AD18" s="802"/>
      <c r="AE18" s="802"/>
    </row>
    <row r="19" spans="1:31">
      <c r="A19" s="129"/>
      <c r="B19" s="1147" t="s">
        <v>238</v>
      </c>
      <c r="C19" s="1148">
        <f t="shared" ref="C19:N19" si="3">+SUM(C20:C21)</f>
        <v>749066.66832000006</v>
      </c>
      <c r="D19" s="1148">
        <f t="shared" si="3"/>
        <v>1196032.9533199999</v>
      </c>
      <c r="E19" s="1148">
        <f t="shared" si="3"/>
        <v>3686995.4516500002</v>
      </c>
      <c r="F19" s="1148">
        <f t="shared" si="3"/>
        <v>2519760.5952499998</v>
      </c>
      <c r="G19" s="1148">
        <f t="shared" si="3"/>
        <v>1984442.7038400003</v>
      </c>
      <c r="H19" s="1148">
        <f t="shared" si="3"/>
        <v>2385897.9776899996</v>
      </c>
      <c r="I19" s="1148">
        <f t="shared" ref="I19:K19" si="4">+SUM(I20:I21)</f>
        <v>789910.06536000001</v>
      </c>
      <c r="J19" s="1148">
        <f t="shared" si="4"/>
        <v>9350934.5349699985</v>
      </c>
      <c r="K19" s="1148">
        <f t="shared" si="4"/>
        <v>185335.30013999998</v>
      </c>
      <c r="L19" s="1148">
        <f t="shared" si="3"/>
        <v>923210.26500000001</v>
      </c>
      <c r="M19" s="1148">
        <f t="shared" si="3"/>
        <v>0</v>
      </c>
      <c r="N19" s="1148">
        <f t="shared" si="3"/>
        <v>243892.625</v>
      </c>
      <c r="O19" s="1149">
        <f>+O20+O21</f>
        <v>24015479.140540004</v>
      </c>
      <c r="P19" s="802"/>
      <c r="Q19" s="802"/>
      <c r="R19" s="802"/>
      <c r="S19" s="802"/>
      <c r="T19" s="802"/>
      <c r="U19" s="802"/>
      <c r="V19" s="802"/>
      <c r="W19" s="802"/>
      <c r="X19" s="802"/>
      <c r="Y19" s="802"/>
      <c r="Z19" s="802"/>
      <c r="AA19" s="802"/>
      <c r="AB19" s="802"/>
      <c r="AC19" s="802"/>
      <c r="AD19" s="802"/>
      <c r="AE19" s="802"/>
    </row>
    <row r="20" spans="1:31">
      <c r="A20" s="129"/>
      <c r="B20" s="1150" t="s">
        <v>276</v>
      </c>
      <c r="C20" s="1148">
        <v>692456.00851000007</v>
      </c>
      <c r="D20" s="1148">
        <v>1138990.1663199998</v>
      </c>
      <c r="E20" s="1148">
        <v>3594818.2604900002</v>
      </c>
      <c r="F20" s="1148">
        <v>2430121.1267599999</v>
      </c>
      <c r="G20" s="1148">
        <v>1940589.5905100002</v>
      </c>
      <c r="H20" s="1148">
        <v>1939560.9876699997</v>
      </c>
      <c r="I20" s="1148">
        <v>789910.06536000001</v>
      </c>
      <c r="J20" s="1148">
        <v>9350742.3578899987</v>
      </c>
      <c r="K20" s="1148">
        <v>185335.30013999998</v>
      </c>
      <c r="L20" s="1148">
        <v>923210.26500000001</v>
      </c>
      <c r="M20" s="1148">
        <v>0</v>
      </c>
      <c r="N20" s="1148">
        <v>243892.625</v>
      </c>
      <c r="O20" s="1149">
        <f t="shared" ref="O20:O21" si="5">SUM(C20:N20)</f>
        <v>23229626.753650002</v>
      </c>
      <c r="P20" s="802"/>
      <c r="Q20" s="802"/>
      <c r="R20" s="802"/>
      <c r="S20" s="802"/>
      <c r="T20" s="802"/>
      <c r="U20" s="802"/>
      <c r="V20" s="802"/>
      <c r="W20" s="802"/>
      <c r="X20" s="802"/>
      <c r="Y20" s="802"/>
      <c r="Z20" s="802"/>
      <c r="AA20" s="802"/>
      <c r="AB20" s="802"/>
      <c r="AC20" s="802"/>
      <c r="AD20" s="802"/>
      <c r="AE20" s="802"/>
    </row>
    <row r="21" spans="1:31">
      <c r="A21" s="129"/>
      <c r="B21" s="1150" t="s">
        <v>306</v>
      </c>
      <c r="C21" s="1148">
        <v>56610.659810000012</v>
      </c>
      <c r="D21" s="1148">
        <v>57042.787000000004</v>
      </c>
      <c r="E21" s="1148">
        <v>92177.191160000002</v>
      </c>
      <c r="F21" s="1148">
        <v>89639.468489999999</v>
      </c>
      <c r="G21" s="1148">
        <v>43853.11333</v>
      </c>
      <c r="H21" s="1148">
        <v>446336.99002000003</v>
      </c>
      <c r="I21" s="1148">
        <v>0</v>
      </c>
      <c r="J21" s="1148">
        <v>192.17707999999999</v>
      </c>
      <c r="K21" s="1148">
        <v>0</v>
      </c>
      <c r="L21" s="1148">
        <v>0</v>
      </c>
      <c r="M21" s="1148">
        <v>0</v>
      </c>
      <c r="N21" s="1148">
        <v>0</v>
      </c>
      <c r="O21" s="1149">
        <f t="shared" si="5"/>
        <v>785852.3868900002</v>
      </c>
      <c r="P21" s="802"/>
      <c r="Q21" s="802"/>
      <c r="R21" s="802"/>
      <c r="S21" s="802"/>
      <c r="T21" s="802"/>
      <c r="U21" s="802"/>
      <c r="V21" s="802"/>
      <c r="W21" s="802"/>
      <c r="X21" s="802"/>
      <c r="Y21" s="802"/>
      <c r="Z21" s="802"/>
      <c r="AA21" s="802"/>
      <c r="AB21" s="802"/>
      <c r="AC21" s="802"/>
      <c r="AD21" s="802"/>
      <c r="AE21" s="802"/>
    </row>
    <row r="22" spans="1:31">
      <c r="A22" s="129"/>
      <c r="B22" s="1147"/>
      <c r="C22" s="1148"/>
      <c r="D22" s="1148"/>
      <c r="E22" s="1148"/>
      <c r="F22" s="1148"/>
      <c r="G22" s="1148"/>
      <c r="H22" s="1148"/>
      <c r="I22" s="1148"/>
      <c r="J22" s="1148"/>
      <c r="K22" s="1148"/>
      <c r="L22" s="1148"/>
      <c r="M22" s="1148"/>
      <c r="N22" s="1148"/>
      <c r="O22" s="1153"/>
      <c r="P22" s="802"/>
      <c r="Q22" s="802"/>
      <c r="R22" s="802"/>
      <c r="S22" s="802"/>
      <c r="T22" s="802"/>
      <c r="U22" s="802"/>
      <c r="V22" s="802"/>
      <c r="W22" s="802"/>
      <c r="X22" s="802"/>
      <c r="Y22" s="802"/>
      <c r="Z22" s="802"/>
      <c r="AA22" s="802"/>
      <c r="AB22" s="802"/>
      <c r="AC22" s="802"/>
      <c r="AD22" s="802"/>
      <c r="AE22" s="802"/>
    </row>
    <row r="23" spans="1:31">
      <c r="A23" s="129"/>
      <c r="B23" s="1154"/>
      <c r="C23" s="1155"/>
      <c r="D23" s="1155"/>
      <c r="E23" s="1155"/>
      <c r="F23" s="1155"/>
      <c r="G23" s="1155"/>
      <c r="H23" s="1155"/>
      <c r="I23" s="1155"/>
      <c r="J23" s="1155"/>
      <c r="K23" s="1155"/>
      <c r="L23" s="1155"/>
      <c r="M23" s="1155"/>
      <c r="N23" s="1155"/>
      <c r="O23" s="1149"/>
      <c r="P23" s="802"/>
      <c r="Q23" s="802"/>
      <c r="R23" s="802"/>
      <c r="S23" s="802"/>
      <c r="T23" s="802"/>
      <c r="U23" s="802"/>
      <c r="V23" s="802"/>
      <c r="W23" s="802"/>
      <c r="X23" s="802"/>
      <c r="Y23" s="802"/>
      <c r="Z23" s="802"/>
      <c r="AA23" s="802"/>
      <c r="AB23" s="802"/>
      <c r="AC23" s="802"/>
      <c r="AD23" s="802"/>
      <c r="AE23" s="802"/>
    </row>
    <row r="24" spans="1:31">
      <c r="A24" s="129"/>
      <c r="B24" s="1147" t="s">
        <v>161</v>
      </c>
      <c r="C24" s="1148">
        <f t="shared" ref="C24:N24" si="6">+SUM(C25:C26)</f>
        <v>150366.36496000001</v>
      </c>
      <c r="D24" s="1148">
        <f t="shared" si="6"/>
        <v>559541.10299000004</v>
      </c>
      <c r="E24" s="1148">
        <f t="shared" si="6"/>
        <v>382375.57380000001</v>
      </c>
      <c r="F24" s="1148">
        <f t="shared" si="6"/>
        <v>164138.24229000005</v>
      </c>
      <c r="G24" s="1148">
        <f t="shared" si="6"/>
        <v>627987.90380999993</v>
      </c>
      <c r="H24" s="1148">
        <f t="shared" si="6"/>
        <v>222718.34548999992</v>
      </c>
      <c r="I24" s="1148">
        <f t="shared" ref="I24:K24" si="7">+SUM(I25:I26)</f>
        <v>146707.22134000002</v>
      </c>
      <c r="J24" s="1148">
        <f t="shared" si="7"/>
        <v>575745.89030999993</v>
      </c>
      <c r="K24" s="1148">
        <f t="shared" si="7"/>
        <v>351966.65969999996</v>
      </c>
      <c r="L24" s="1148">
        <f t="shared" si="6"/>
        <v>159560.06303000002</v>
      </c>
      <c r="M24" s="1148">
        <f t="shared" si="6"/>
        <v>635040.78720999986</v>
      </c>
      <c r="N24" s="1148">
        <f t="shared" si="6"/>
        <v>216318.80684999996</v>
      </c>
      <c r="O24" s="1149">
        <f>+O25+O26</f>
        <v>4192466.9617799995</v>
      </c>
      <c r="P24" s="802"/>
      <c r="Q24" s="802"/>
      <c r="R24" s="802"/>
      <c r="S24" s="802"/>
      <c r="T24" s="802"/>
      <c r="U24" s="802"/>
      <c r="V24" s="802"/>
      <c r="W24" s="802"/>
      <c r="X24" s="802"/>
      <c r="Y24" s="802"/>
      <c r="Z24" s="802"/>
      <c r="AA24" s="802"/>
      <c r="AB24" s="802"/>
      <c r="AC24" s="802"/>
      <c r="AD24" s="802"/>
      <c r="AE24" s="802"/>
    </row>
    <row r="25" spans="1:31">
      <c r="A25" s="129"/>
      <c r="B25" s="1150" t="s">
        <v>276</v>
      </c>
      <c r="C25" s="1148">
        <v>106512.54873000002</v>
      </c>
      <c r="D25" s="1148">
        <v>139604.15516999998</v>
      </c>
      <c r="E25" s="1148">
        <v>266660.61555000005</v>
      </c>
      <c r="F25" s="1148">
        <v>114675.49331000002</v>
      </c>
      <c r="G25" s="1148">
        <v>146276.00016999998</v>
      </c>
      <c r="H25" s="1148">
        <v>169310.23790999994</v>
      </c>
      <c r="I25" s="1148">
        <v>106511.44673000003</v>
      </c>
      <c r="J25" s="1148">
        <v>140395.48262999998</v>
      </c>
      <c r="K25" s="1148">
        <v>239587.92453999995</v>
      </c>
      <c r="L25" s="1148">
        <v>111952.94593</v>
      </c>
      <c r="M25" s="1148">
        <v>146378.43535999997</v>
      </c>
      <c r="N25" s="1148">
        <v>165684.94749999995</v>
      </c>
      <c r="O25" s="1149">
        <f t="shared" ref="O25:O26" si="8">SUM(C25:N25)</f>
        <v>1853550.2335300001</v>
      </c>
      <c r="P25" s="802"/>
      <c r="Q25" s="802"/>
      <c r="R25" s="802"/>
      <c r="S25" s="802"/>
      <c r="T25" s="802"/>
      <c r="U25" s="802"/>
      <c r="V25" s="802"/>
      <c r="W25" s="802"/>
      <c r="X25" s="802"/>
      <c r="Y25" s="802"/>
      <c r="Z25" s="802"/>
      <c r="AA25" s="802"/>
      <c r="AB25" s="802"/>
      <c r="AC25" s="802"/>
      <c r="AD25" s="802"/>
      <c r="AE25" s="802"/>
    </row>
    <row r="26" spans="1:31">
      <c r="A26" s="129"/>
      <c r="B26" s="1150" t="s">
        <v>306</v>
      </c>
      <c r="C26" s="1148">
        <v>43853.816229999989</v>
      </c>
      <c r="D26" s="1148">
        <v>419936.94782000012</v>
      </c>
      <c r="E26" s="1148">
        <v>115714.95824999997</v>
      </c>
      <c r="F26" s="1148">
        <v>49462.748980000026</v>
      </c>
      <c r="G26" s="1148">
        <v>481711.90363999997</v>
      </c>
      <c r="H26" s="1148">
        <v>53408.107579999989</v>
      </c>
      <c r="I26" s="1148">
        <v>40195.774609999986</v>
      </c>
      <c r="J26" s="1148">
        <v>435350.40768</v>
      </c>
      <c r="K26" s="1148">
        <v>112378.73516000001</v>
      </c>
      <c r="L26" s="1148">
        <v>47607.117100000018</v>
      </c>
      <c r="M26" s="1148">
        <v>488662.35184999992</v>
      </c>
      <c r="N26" s="1148">
        <v>50633.859350000013</v>
      </c>
      <c r="O26" s="1149">
        <f t="shared" si="8"/>
        <v>2338916.7282499997</v>
      </c>
      <c r="P26" s="802"/>
      <c r="Q26" s="802"/>
      <c r="R26" s="802"/>
      <c r="S26" s="802"/>
      <c r="T26" s="802"/>
      <c r="U26" s="802"/>
      <c r="V26" s="802"/>
      <c r="W26" s="802"/>
      <c r="X26" s="802"/>
      <c r="Y26" s="802"/>
      <c r="Z26" s="802"/>
      <c r="AA26" s="802"/>
      <c r="AB26" s="802"/>
      <c r="AC26" s="802"/>
      <c r="AD26" s="802"/>
      <c r="AE26" s="802"/>
    </row>
    <row r="27" spans="1:31">
      <c r="A27" s="129"/>
      <c r="B27" s="1151"/>
      <c r="C27" s="1152"/>
      <c r="D27" s="1152"/>
      <c r="E27" s="1152"/>
      <c r="F27" s="1152"/>
      <c r="G27" s="1152"/>
      <c r="H27" s="1152"/>
      <c r="I27" s="1152"/>
      <c r="J27" s="1152"/>
      <c r="K27" s="1152"/>
      <c r="L27" s="1152"/>
      <c r="M27" s="1152"/>
      <c r="N27" s="1152"/>
      <c r="O27" s="1153"/>
      <c r="P27" s="802"/>
      <c r="Q27" s="802"/>
      <c r="R27" s="802"/>
      <c r="S27" s="802"/>
      <c r="T27" s="802"/>
      <c r="U27" s="802"/>
      <c r="V27" s="802"/>
      <c r="W27" s="802"/>
      <c r="X27" s="802"/>
      <c r="Y27" s="802"/>
      <c r="Z27" s="802"/>
      <c r="AA27" s="802"/>
      <c r="AB27" s="802"/>
      <c r="AC27" s="802"/>
      <c r="AD27" s="802"/>
      <c r="AE27" s="802"/>
    </row>
    <row r="28" spans="1:31">
      <c r="A28" s="129"/>
      <c r="B28" s="1147"/>
      <c r="C28" s="1148"/>
      <c r="D28" s="1148"/>
      <c r="E28" s="1148"/>
      <c r="F28" s="1148"/>
      <c r="G28" s="1148"/>
      <c r="H28" s="1148"/>
      <c r="I28" s="1148"/>
      <c r="J28" s="1148"/>
      <c r="K28" s="1148"/>
      <c r="L28" s="1148"/>
      <c r="M28" s="1148"/>
      <c r="N28" s="1148"/>
      <c r="O28" s="1149"/>
      <c r="P28" s="802"/>
      <c r="Q28" s="802"/>
      <c r="R28" s="802"/>
      <c r="S28" s="802"/>
      <c r="T28" s="802"/>
      <c r="U28" s="802"/>
      <c r="V28" s="802"/>
      <c r="W28" s="802"/>
      <c r="X28" s="802"/>
      <c r="Y28" s="802"/>
      <c r="Z28" s="802"/>
      <c r="AA28" s="802"/>
      <c r="AB28" s="802"/>
      <c r="AC28" s="802"/>
      <c r="AD28" s="802"/>
      <c r="AE28" s="802"/>
    </row>
    <row r="29" spans="1:31">
      <c r="A29" s="129"/>
      <c r="B29" s="1147" t="s">
        <v>163</v>
      </c>
      <c r="C29" s="1148">
        <f t="shared" ref="C29:N29" si="9">+SUM(C30:C31)</f>
        <v>158087.06834000003</v>
      </c>
      <c r="D29" s="1148">
        <f t="shared" si="9"/>
        <v>112.29725000000001</v>
      </c>
      <c r="E29" s="1148">
        <f t="shared" si="9"/>
        <v>2925.7067700000002</v>
      </c>
      <c r="F29" s="1148">
        <f t="shared" si="9"/>
        <v>20533.421920000001</v>
      </c>
      <c r="G29" s="1148">
        <f t="shared" si="9"/>
        <v>2125042.9696400007</v>
      </c>
      <c r="H29" s="1148">
        <f t="shared" si="9"/>
        <v>38547.866919999993</v>
      </c>
      <c r="I29" s="1148">
        <f t="shared" ref="I29:K29" si="10">+SUM(I30:I31)</f>
        <v>196349.03003000002</v>
      </c>
      <c r="J29" s="1148">
        <f t="shared" si="10"/>
        <v>111.11836000000001</v>
      </c>
      <c r="K29" s="1148">
        <f t="shared" si="10"/>
        <v>1276.2304299999998</v>
      </c>
      <c r="L29" s="1148">
        <f t="shared" si="9"/>
        <v>20532.900330000004</v>
      </c>
      <c r="M29" s="1148">
        <f t="shared" si="9"/>
        <v>8300.325060000001</v>
      </c>
      <c r="N29" s="1148">
        <f t="shared" si="9"/>
        <v>36781.922569999995</v>
      </c>
      <c r="O29" s="1149">
        <f>+O30+O31</f>
        <v>2608600.8576200013</v>
      </c>
      <c r="P29" s="802"/>
      <c r="Q29" s="802"/>
      <c r="R29" s="802"/>
      <c r="S29" s="802"/>
      <c r="T29" s="802"/>
      <c r="U29" s="802"/>
      <c r="V29" s="802"/>
      <c r="W29" s="802"/>
      <c r="X29" s="802"/>
      <c r="Y29" s="802"/>
      <c r="Z29" s="802"/>
      <c r="AA29" s="802"/>
      <c r="AB29" s="802"/>
      <c r="AC29" s="802"/>
      <c r="AD29" s="802"/>
      <c r="AE29" s="802"/>
    </row>
    <row r="30" spans="1:31">
      <c r="A30" s="129"/>
      <c r="B30" s="1150" t="s">
        <v>276</v>
      </c>
      <c r="C30" s="1148">
        <v>111186.06993000001</v>
      </c>
      <c r="D30" s="1148">
        <v>0</v>
      </c>
      <c r="E30" s="1148">
        <v>1274.6468100000002</v>
      </c>
      <c r="F30" s="1148">
        <v>19976.344670000002</v>
      </c>
      <c r="G30" s="1148">
        <v>1948875.9058100008</v>
      </c>
      <c r="H30" s="1148">
        <v>420.75657000000001</v>
      </c>
      <c r="I30" s="1148">
        <v>149979.90110000002</v>
      </c>
      <c r="J30" s="1148">
        <v>0</v>
      </c>
      <c r="K30" s="1148">
        <v>121.29997</v>
      </c>
      <c r="L30" s="1148">
        <v>19976.344670000002</v>
      </c>
      <c r="M30" s="1148">
        <v>7595.7079400000002</v>
      </c>
      <c r="N30" s="1148">
        <v>420.75657000000001</v>
      </c>
      <c r="O30" s="1149">
        <f t="shared" ref="O30:O31" si="11">SUM(C30:N30)</f>
        <v>2259827.7340400014</v>
      </c>
      <c r="P30" s="802"/>
      <c r="Q30" s="802"/>
      <c r="R30" s="802"/>
      <c r="S30" s="802"/>
      <c r="T30" s="802"/>
      <c r="U30" s="802"/>
      <c r="V30" s="802"/>
      <c r="W30" s="802"/>
      <c r="X30" s="802"/>
      <c r="Y30" s="802"/>
      <c r="Z30" s="802"/>
      <c r="AA30" s="802"/>
      <c r="AB30" s="802"/>
      <c r="AC30" s="802"/>
      <c r="AD30" s="802"/>
      <c r="AE30" s="802"/>
    </row>
    <row r="31" spans="1:31">
      <c r="A31" s="129"/>
      <c r="B31" s="1150" t="s">
        <v>306</v>
      </c>
      <c r="C31" s="1148">
        <v>46900.998410000007</v>
      </c>
      <c r="D31" s="1148">
        <v>112.29725000000001</v>
      </c>
      <c r="E31" s="1148">
        <v>1651.05996</v>
      </c>
      <c r="F31" s="1148">
        <v>557.07724999999994</v>
      </c>
      <c r="G31" s="1148">
        <v>176167.06382999997</v>
      </c>
      <c r="H31" s="1148">
        <v>38127.110349999995</v>
      </c>
      <c r="I31" s="1148">
        <v>46369.128929999999</v>
      </c>
      <c r="J31" s="1148">
        <v>111.11836000000001</v>
      </c>
      <c r="K31" s="1148">
        <v>1154.9304599999998</v>
      </c>
      <c r="L31" s="1148">
        <v>556.55565999999999</v>
      </c>
      <c r="M31" s="1148">
        <v>704.61712</v>
      </c>
      <c r="N31" s="1148">
        <v>36361.165999999997</v>
      </c>
      <c r="O31" s="1149">
        <f t="shared" si="11"/>
        <v>348773.12358000001</v>
      </c>
      <c r="P31" s="802"/>
      <c r="Q31" s="802"/>
      <c r="R31" s="802"/>
      <c r="S31" s="802"/>
      <c r="T31" s="802"/>
      <c r="U31" s="802"/>
      <c r="V31" s="802"/>
      <c r="W31" s="802"/>
      <c r="X31" s="802"/>
      <c r="Y31" s="802"/>
      <c r="Z31" s="802"/>
      <c r="AA31" s="802"/>
      <c r="AB31" s="802"/>
      <c r="AC31" s="802"/>
      <c r="AD31" s="802"/>
      <c r="AE31" s="802"/>
    </row>
    <row r="32" spans="1:31">
      <c r="A32" s="129"/>
      <c r="B32" s="1151"/>
      <c r="C32" s="1152"/>
      <c r="D32" s="1152"/>
      <c r="E32" s="1152"/>
      <c r="F32" s="1152"/>
      <c r="G32" s="1152"/>
      <c r="H32" s="1152"/>
      <c r="I32" s="1152"/>
      <c r="J32" s="1152"/>
      <c r="K32" s="1152"/>
      <c r="L32" s="1152"/>
      <c r="M32" s="1152"/>
      <c r="N32" s="1152"/>
      <c r="O32" s="1153"/>
      <c r="P32" s="802"/>
      <c r="Q32" s="802"/>
      <c r="R32" s="802"/>
      <c r="S32" s="802"/>
      <c r="T32" s="802"/>
      <c r="U32" s="802"/>
      <c r="V32" s="802"/>
      <c r="W32" s="802"/>
      <c r="X32" s="802"/>
      <c r="Y32" s="802"/>
      <c r="Z32" s="802"/>
      <c r="AA32" s="802"/>
      <c r="AB32" s="802"/>
      <c r="AC32" s="802"/>
      <c r="AD32" s="802"/>
      <c r="AE32" s="802"/>
    </row>
    <row r="33" spans="1:31">
      <c r="A33" s="129"/>
      <c r="B33" s="1147"/>
      <c r="C33" s="1148"/>
      <c r="D33" s="1148"/>
      <c r="E33" s="1148"/>
      <c r="F33" s="1148"/>
      <c r="G33" s="1148"/>
      <c r="H33" s="1148"/>
      <c r="I33" s="1148"/>
      <c r="J33" s="1148"/>
      <c r="K33" s="1148"/>
      <c r="L33" s="1148"/>
      <c r="M33" s="1148"/>
      <c r="N33" s="1148"/>
      <c r="O33" s="1149"/>
      <c r="P33" s="802"/>
      <c r="Q33" s="802"/>
      <c r="R33" s="802"/>
      <c r="S33" s="802"/>
      <c r="T33" s="802"/>
      <c r="U33" s="802"/>
      <c r="V33" s="802"/>
      <c r="W33" s="802"/>
      <c r="X33" s="802"/>
      <c r="Y33" s="802"/>
      <c r="Z33" s="802"/>
      <c r="AA33" s="802"/>
      <c r="AB33" s="802"/>
      <c r="AC33" s="802"/>
      <c r="AD33" s="802"/>
      <c r="AE33" s="802"/>
    </row>
    <row r="34" spans="1:31">
      <c r="A34" s="129"/>
      <c r="B34" s="1147" t="s">
        <v>669</v>
      </c>
      <c r="C34" s="1148">
        <f t="shared" ref="C34:N34" si="12">+SUM(C35:C36)</f>
        <v>2732.1887099999999</v>
      </c>
      <c r="D34" s="1148">
        <f t="shared" si="12"/>
        <v>19544.525059999996</v>
      </c>
      <c r="E34" s="1148">
        <f t="shared" si="12"/>
        <v>2533.78746</v>
      </c>
      <c r="F34" s="1148">
        <f t="shared" si="12"/>
        <v>2662.1373100000001</v>
      </c>
      <c r="G34" s="1148">
        <f t="shared" si="12"/>
        <v>2597.9623899999997</v>
      </c>
      <c r="H34" s="1148">
        <f t="shared" si="12"/>
        <v>2662.1373100000001</v>
      </c>
      <c r="I34" s="1148">
        <f t="shared" ref="I34:K34" si="13">+SUM(I35:I36)</f>
        <v>2597.9623899999997</v>
      </c>
      <c r="J34" s="1148">
        <f t="shared" si="13"/>
        <v>2662.1373100000001</v>
      </c>
      <c r="K34" s="1148">
        <f t="shared" si="13"/>
        <v>2662.1373100000001</v>
      </c>
      <c r="L34" s="1148">
        <f t="shared" si="12"/>
        <v>2597.9623899999997</v>
      </c>
      <c r="M34" s="1148">
        <f t="shared" si="12"/>
        <v>2662.1373100000001</v>
      </c>
      <c r="N34" s="1148">
        <f t="shared" si="12"/>
        <v>2597.9623899999997</v>
      </c>
      <c r="O34" s="1149">
        <f>+O35+O36</f>
        <v>48513.037339999995</v>
      </c>
      <c r="P34" s="802"/>
      <c r="Q34" s="802"/>
      <c r="R34" s="802"/>
      <c r="S34" s="802"/>
      <c r="T34" s="802"/>
      <c r="U34" s="802"/>
      <c r="V34" s="802"/>
      <c r="W34" s="802"/>
      <c r="X34" s="802"/>
      <c r="Y34" s="802"/>
      <c r="Z34" s="802"/>
      <c r="AA34" s="802"/>
      <c r="AB34" s="802"/>
      <c r="AC34" s="802"/>
      <c r="AD34" s="802"/>
      <c r="AE34" s="802"/>
    </row>
    <row r="35" spans="1:31">
      <c r="A35" s="129"/>
      <c r="B35" s="1150" t="s">
        <v>276</v>
      </c>
      <c r="C35" s="1148">
        <v>0</v>
      </c>
      <c r="D35" s="1148">
        <v>16812.336349999998</v>
      </c>
      <c r="E35" s="1148">
        <v>0</v>
      </c>
      <c r="F35" s="1148">
        <v>0</v>
      </c>
      <c r="G35" s="1148">
        <v>0</v>
      </c>
      <c r="H35" s="1148">
        <v>0</v>
      </c>
      <c r="I35" s="1148">
        <v>0</v>
      </c>
      <c r="J35" s="1148">
        <v>0</v>
      </c>
      <c r="K35" s="1148">
        <v>0</v>
      </c>
      <c r="L35" s="1148">
        <v>0</v>
      </c>
      <c r="M35" s="1148">
        <v>0</v>
      </c>
      <c r="N35" s="1148">
        <v>0</v>
      </c>
      <c r="O35" s="1149">
        <f t="shared" ref="O35:O36" si="14">SUM(C35:N35)</f>
        <v>16812.336349999998</v>
      </c>
      <c r="P35" s="802"/>
      <c r="Q35" s="802"/>
      <c r="R35" s="802"/>
      <c r="S35" s="802"/>
      <c r="T35" s="802"/>
      <c r="U35" s="802"/>
      <c r="V35" s="802"/>
      <c r="W35" s="802"/>
      <c r="X35" s="802"/>
      <c r="Y35" s="802"/>
      <c r="Z35" s="802"/>
      <c r="AA35" s="802"/>
      <c r="AB35" s="802"/>
      <c r="AC35" s="802"/>
      <c r="AD35" s="802"/>
      <c r="AE35" s="802"/>
    </row>
    <row r="36" spans="1:31">
      <c r="A36" s="129"/>
      <c r="B36" s="1150" t="s">
        <v>306</v>
      </c>
      <c r="C36" s="1148">
        <v>2732.1887099999999</v>
      </c>
      <c r="D36" s="1148">
        <v>2732.1887099999999</v>
      </c>
      <c r="E36" s="1148">
        <v>2533.78746</v>
      </c>
      <c r="F36" s="1148">
        <v>2662.1373100000001</v>
      </c>
      <c r="G36" s="1148">
        <v>2597.9623899999997</v>
      </c>
      <c r="H36" s="1148">
        <v>2662.1373100000001</v>
      </c>
      <c r="I36" s="1148">
        <v>2597.9623899999997</v>
      </c>
      <c r="J36" s="1148">
        <v>2662.1373100000001</v>
      </c>
      <c r="K36" s="1148">
        <v>2662.1373100000001</v>
      </c>
      <c r="L36" s="1148">
        <v>2597.9623899999997</v>
      </c>
      <c r="M36" s="1148">
        <v>2662.1373100000001</v>
      </c>
      <c r="N36" s="1148">
        <v>2597.9623899999997</v>
      </c>
      <c r="O36" s="1149">
        <f t="shared" si="14"/>
        <v>31700.700989999998</v>
      </c>
      <c r="P36" s="802"/>
      <c r="Q36" s="802"/>
      <c r="R36" s="802"/>
      <c r="S36" s="802"/>
      <c r="T36" s="802"/>
      <c r="U36" s="802"/>
      <c r="V36" s="802"/>
      <c r="W36" s="802"/>
      <c r="X36" s="802"/>
      <c r="Y36" s="802"/>
      <c r="Z36" s="802"/>
      <c r="AA36" s="802"/>
      <c r="AB36" s="802"/>
      <c r="AC36" s="802"/>
      <c r="AD36" s="802"/>
      <c r="AE36" s="802"/>
    </row>
    <row r="37" spans="1:31">
      <c r="A37" s="129"/>
      <c r="B37" s="1151"/>
      <c r="C37" s="1152"/>
      <c r="D37" s="1152"/>
      <c r="E37" s="1152"/>
      <c r="F37" s="1152"/>
      <c r="G37" s="1152"/>
      <c r="H37" s="1152"/>
      <c r="I37" s="1152"/>
      <c r="J37" s="1152"/>
      <c r="K37" s="1152"/>
      <c r="L37" s="1152"/>
      <c r="M37" s="1152"/>
      <c r="N37" s="1152"/>
      <c r="O37" s="1153"/>
      <c r="P37" s="802"/>
      <c r="Q37" s="802"/>
      <c r="R37" s="802"/>
      <c r="S37" s="802"/>
      <c r="T37" s="802"/>
      <c r="U37" s="802"/>
      <c r="V37" s="802"/>
      <c r="W37" s="802"/>
      <c r="X37" s="802"/>
      <c r="Y37" s="802"/>
      <c r="Z37" s="802"/>
      <c r="AA37" s="802"/>
      <c r="AB37" s="802"/>
      <c r="AC37" s="802"/>
      <c r="AD37" s="802"/>
      <c r="AE37" s="802"/>
    </row>
    <row r="38" spans="1:31">
      <c r="A38" s="129"/>
      <c r="B38" s="1150"/>
      <c r="C38" s="1148"/>
      <c r="D38" s="1148"/>
      <c r="E38" s="1148"/>
      <c r="F38" s="1148"/>
      <c r="G38" s="1148"/>
      <c r="H38" s="1148"/>
      <c r="I38" s="1148"/>
      <c r="J38" s="1148"/>
      <c r="K38" s="1148"/>
      <c r="L38" s="1148"/>
      <c r="M38" s="1148"/>
      <c r="N38" s="1148"/>
      <c r="O38" s="1149"/>
      <c r="P38" s="802"/>
      <c r="Q38" s="802"/>
      <c r="R38" s="802"/>
      <c r="S38" s="802"/>
      <c r="T38" s="802"/>
      <c r="U38" s="802"/>
      <c r="V38" s="802"/>
      <c r="W38" s="802"/>
      <c r="X38" s="802"/>
      <c r="Y38" s="802"/>
      <c r="Z38" s="802"/>
      <c r="AA38" s="802"/>
      <c r="AB38" s="802"/>
      <c r="AC38" s="802"/>
      <c r="AD38" s="802"/>
      <c r="AE38" s="802"/>
    </row>
    <row r="39" spans="1:31">
      <c r="A39" s="129"/>
      <c r="B39" s="1150" t="s">
        <v>164</v>
      </c>
      <c r="C39" s="1148">
        <f t="shared" ref="C39:N39" si="15">+SUM(C40:C41)</f>
        <v>68658.928459999981</v>
      </c>
      <c r="D39" s="1148">
        <f t="shared" si="15"/>
        <v>944.87011000000007</v>
      </c>
      <c r="E39" s="1148">
        <f t="shared" si="15"/>
        <v>177.86755000000002</v>
      </c>
      <c r="F39" s="1148">
        <f t="shared" si="15"/>
        <v>569535.46240000008</v>
      </c>
      <c r="G39" s="1148">
        <f t="shared" si="15"/>
        <v>17964.083429999999</v>
      </c>
      <c r="H39" s="1148">
        <f t="shared" si="15"/>
        <v>15.144309999999999</v>
      </c>
      <c r="I39" s="1148">
        <f t="shared" ref="I39:K39" si="16">+SUM(I40:I41)</f>
        <v>15.144310000000001</v>
      </c>
      <c r="J39" s="1148">
        <f t="shared" si="16"/>
        <v>894.97829000000013</v>
      </c>
      <c r="K39" s="1148">
        <f t="shared" si="16"/>
        <v>15.14432</v>
      </c>
      <c r="L39" s="1148">
        <f t="shared" si="15"/>
        <v>15.144310000000001</v>
      </c>
      <c r="M39" s="1148">
        <f t="shared" si="15"/>
        <v>18963.229769999998</v>
      </c>
      <c r="N39" s="1148">
        <f t="shared" si="15"/>
        <v>2003521.2800499999</v>
      </c>
      <c r="O39" s="1149">
        <f>+O40+O41</f>
        <v>2680721.2773099998</v>
      </c>
      <c r="P39" s="802"/>
      <c r="Q39" s="802"/>
      <c r="R39" s="802"/>
      <c r="S39" s="802"/>
      <c r="T39" s="802"/>
      <c r="U39" s="802"/>
      <c r="V39" s="802"/>
      <c r="W39" s="802"/>
      <c r="X39" s="802"/>
      <c r="Y39" s="802"/>
      <c r="Z39" s="802"/>
      <c r="AA39" s="802"/>
      <c r="AB39" s="802"/>
      <c r="AC39" s="802"/>
      <c r="AD39" s="802"/>
      <c r="AE39" s="802"/>
    </row>
    <row r="40" spans="1:31">
      <c r="A40" s="129"/>
      <c r="B40" s="1150" t="s">
        <v>276</v>
      </c>
      <c r="C40" s="1148">
        <v>11.551350000000001</v>
      </c>
      <c r="D40" s="1148">
        <v>763.63058000000012</v>
      </c>
      <c r="E40" s="1148">
        <v>11.843390000000001</v>
      </c>
      <c r="F40" s="1148">
        <v>500888.28964000003</v>
      </c>
      <c r="G40" s="1148">
        <v>16383.312089999998</v>
      </c>
      <c r="H40" s="1148">
        <v>11.89378</v>
      </c>
      <c r="I40" s="1148">
        <v>12.03425</v>
      </c>
      <c r="J40" s="1148">
        <v>781.03441000000009</v>
      </c>
      <c r="K40" s="1148">
        <v>12.103670000000001</v>
      </c>
      <c r="L40" s="1148">
        <v>12.23977</v>
      </c>
      <c r="M40" s="1148">
        <v>17378.145209999999</v>
      </c>
      <c r="N40" s="1148">
        <v>2003518.5146299999</v>
      </c>
      <c r="O40" s="1149">
        <f t="shared" ref="O40:O41" si="17">SUM(C40:N40)</f>
        <v>2539784.59277</v>
      </c>
      <c r="P40" s="802"/>
      <c r="Q40" s="802"/>
      <c r="R40" s="802"/>
      <c r="S40" s="802"/>
      <c r="T40" s="802"/>
      <c r="U40" s="802"/>
      <c r="V40" s="802"/>
      <c r="W40" s="802"/>
      <c r="X40" s="802"/>
      <c r="Y40" s="802"/>
      <c r="Z40" s="802"/>
      <c r="AA40" s="802"/>
      <c r="AB40" s="802"/>
      <c r="AC40" s="802"/>
      <c r="AD40" s="802"/>
      <c r="AE40" s="802"/>
    </row>
    <row r="41" spans="1:31">
      <c r="A41" s="129"/>
      <c r="B41" s="1150" t="s">
        <v>306</v>
      </c>
      <c r="C41" s="1148">
        <v>68647.377109999987</v>
      </c>
      <c r="D41" s="1148">
        <v>181.23953</v>
      </c>
      <c r="E41" s="1148">
        <v>166.02416000000002</v>
      </c>
      <c r="F41" s="1148">
        <v>68647.172760000001</v>
      </c>
      <c r="G41" s="1148">
        <v>1580.77134</v>
      </c>
      <c r="H41" s="1148">
        <v>3.2505299999999995</v>
      </c>
      <c r="I41" s="1148">
        <v>3.1100600000000003</v>
      </c>
      <c r="J41" s="1148">
        <v>113.94387999999999</v>
      </c>
      <c r="K41" s="1148">
        <v>3.0406500000000003</v>
      </c>
      <c r="L41" s="1148">
        <v>2.9045399999999999</v>
      </c>
      <c r="M41" s="1148">
        <v>1585.0845600000002</v>
      </c>
      <c r="N41" s="1148">
        <v>2.7654200000000002</v>
      </c>
      <c r="O41" s="1149">
        <f t="shared" si="17"/>
        <v>140936.68453999999</v>
      </c>
      <c r="P41" s="802"/>
      <c r="Q41" s="802"/>
      <c r="R41" s="802"/>
      <c r="S41" s="802"/>
      <c r="T41" s="802"/>
      <c r="U41" s="802"/>
      <c r="V41" s="802"/>
      <c r="W41" s="802"/>
      <c r="X41" s="802"/>
      <c r="Y41" s="802"/>
      <c r="Z41" s="802"/>
      <c r="AA41" s="802"/>
      <c r="AB41" s="802"/>
      <c r="AC41" s="802"/>
      <c r="AD41" s="802"/>
      <c r="AE41" s="802"/>
    </row>
    <row r="42" spans="1:31">
      <c r="A42" s="129"/>
      <c r="B42" s="1156"/>
      <c r="C42" s="1152"/>
      <c r="D42" s="1152"/>
      <c r="E42" s="1152"/>
      <c r="F42" s="1152"/>
      <c r="G42" s="1152"/>
      <c r="H42" s="1152"/>
      <c r="I42" s="1152"/>
      <c r="J42" s="1152"/>
      <c r="K42" s="1152"/>
      <c r="L42" s="1152"/>
      <c r="M42" s="1152"/>
      <c r="N42" s="1152"/>
      <c r="O42" s="1153"/>
      <c r="P42" s="802"/>
      <c r="Q42" s="802"/>
      <c r="R42" s="802"/>
      <c r="S42" s="802"/>
      <c r="T42" s="802"/>
      <c r="U42" s="802"/>
      <c r="V42" s="802"/>
      <c r="W42" s="802"/>
      <c r="X42" s="802"/>
      <c r="Y42" s="802"/>
      <c r="Z42" s="802"/>
      <c r="AA42" s="802"/>
      <c r="AB42" s="802"/>
      <c r="AC42" s="802"/>
      <c r="AD42" s="802"/>
      <c r="AE42" s="802"/>
    </row>
    <row r="43" spans="1:31">
      <c r="A43" s="129"/>
      <c r="B43" s="1150"/>
      <c r="C43" s="1148"/>
      <c r="D43" s="1148"/>
      <c r="E43" s="1148"/>
      <c r="F43" s="1148"/>
      <c r="G43" s="1148"/>
      <c r="H43" s="1148"/>
      <c r="I43" s="1148"/>
      <c r="J43" s="1148"/>
      <c r="K43" s="1148"/>
      <c r="L43" s="1148"/>
      <c r="M43" s="1148"/>
      <c r="N43" s="1148"/>
      <c r="O43" s="1149"/>
      <c r="P43" s="802"/>
      <c r="Q43" s="802"/>
      <c r="R43" s="802"/>
      <c r="S43" s="802"/>
      <c r="T43" s="802"/>
      <c r="U43" s="802"/>
      <c r="V43" s="802"/>
      <c r="W43" s="802"/>
      <c r="X43" s="802"/>
      <c r="Y43" s="802"/>
      <c r="Z43" s="802"/>
      <c r="AA43" s="802"/>
      <c r="AB43" s="802"/>
      <c r="AC43" s="802"/>
      <c r="AD43" s="802"/>
      <c r="AE43" s="802"/>
    </row>
    <row r="44" spans="1:31">
      <c r="A44" s="129"/>
      <c r="B44" s="1157" t="s">
        <v>823</v>
      </c>
      <c r="C44" s="1148">
        <f t="shared" ref="C44:N44" si="18">+SUM(C45:C46)</f>
        <v>60686.534490000005</v>
      </c>
      <c r="D44" s="1148">
        <f t="shared" si="18"/>
        <v>9954.1335099999997</v>
      </c>
      <c r="E44" s="1148">
        <f t="shared" si="18"/>
        <v>15945.380290000001</v>
      </c>
      <c r="F44" s="1148">
        <f t="shared" si="18"/>
        <v>6025.77088</v>
      </c>
      <c r="G44" s="1148">
        <f t="shared" si="18"/>
        <v>5976.0384799999993</v>
      </c>
      <c r="H44" s="1148">
        <f t="shared" si="18"/>
        <v>11912.09274</v>
      </c>
      <c r="I44" s="1148">
        <f t="shared" ref="I44:K44" si="19">+SUM(I45:I46)</f>
        <v>2061.3746799999999</v>
      </c>
      <c r="J44" s="1148">
        <f t="shared" si="19"/>
        <v>11821.38092</v>
      </c>
      <c r="K44" s="1148">
        <f t="shared" si="19"/>
        <v>18059.512350000001</v>
      </c>
      <c r="L44" s="1148">
        <f t="shared" si="18"/>
        <v>8820.2365100000006</v>
      </c>
      <c r="M44" s="1148">
        <f t="shared" si="18"/>
        <v>8894.6983199999995</v>
      </c>
      <c r="N44" s="1148">
        <f t="shared" si="18"/>
        <v>2002928.9949300003</v>
      </c>
      <c r="O44" s="1149">
        <f>+O45+O46</f>
        <v>2163086.1481000003</v>
      </c>
      <c r="P44" s="802"/>
      <c r="Q44" s="802"/>
      <c r="R44" s="802"/>
      <c r="S44" s="802"/>
      <c r="T44" s="802"/>
      <c r="U44" s="802"/>
      <c r="V44" s="802"/>
      <c r="W44" s="802"/>
      <c r="X44" s="802"/>
      <c r="Y44" s="802"/>
      <c r="Z44" s="802"/>
      <c r="AA44" s="802"/>
      <c r="AB44" s="802"/>
      <c r="AC44" s="802"/>
      <c r="AD44" s="802"/>
      <c r="AE44" s="802"/>
    </row>
    <row r="45" spans="1:31">
      <c r="A45" s="129"/>
      <c r="B45" s="1150" t="s">
        <v>276</v>
      </c>
      <c r="C45" s="1148">
        <v>24551.769980000001</v>
      </c>
      <c r="D45" s="1148">
        <v>6994.4573300000002</v>
      </c>
      <c r="E45" s="1148">
        <v>11668.664320000002</v>
      </c>
      <c r="F45" s="1148">
        <v>4057.0071399999997</v>
      </c>
      <c r="G45" s="1148">
        <v>4122.2045499999995</v>
      </c>
      <c r="H45" s="1148">
        <v>8859.2127799999998</v>
      </c>
      <c r="I45" s="1148">
        <v>1021.2573599999999</v>
      </c>
      <c r="J45" s="1148">
        <v>9105.3434500000003</v>
      </c>
      <c r="K45" s="1148">
        <v>14306.446290000002</v>
      </c>
      <c r="L45" s="1148">
        <v>7044.8463400000001</v>
      </c>
      <c r="M45" s="1148">
        <v>7285.477789999999</v>
      </c>
      <c r="N45" s="1148">
        <v>2000272.5714600002</v>
      </c>
      <c r="O45" s="1149">
        <f t="shared" ref="O45:O46" si="20">SUM(C45:N45)</f>
        <v>2099289.2587900003</v>
      </c>
      <c r="P45" s="802"/>
      <c r="Q45" s="802"/>
      <c r="R45" s="802"/>
      <c r="S45" s="802"/>
      <c r="T45" s="802"/>
      <c r="U45" s="802"/>
      <c r="V45" s="802"/>
      <c r="W45" s="802"/>
      <c r="X45" s="802"/>
      <c r="Y45" s="802"/>
      <c r="Z45" s="802"/>
      <c r="AA45" s="802"/>
      <c r="AB45" s="802"/>
      <c r="AC45" s="802"/>
      <c r="AD45" s="802"/>
      <c r="AE45" s="802"/>
    </row>
    <row r="46" spans="1:31">
      <c r="A46" s="129"/>
      <c r="B46" s="1150" t="s">
        <v>306</v>
      </c>
      <c r="C46" s="1148">
        <v>36134.764510000001</v>
      </c>
      <c r="D46" s="1148">
        <v>2959.6761800000004</v>
      </c>
      <c r="E46" s="1148">
        <v>4276.7159700000002</v>
      </c>
      <c r="F46" s="1148">
        <v>1968.7637400000001</v>
      </c>
      <c r="G46" s="1148">
        <v>1853.83393</v>
      </c>
      <c r="H46" s="1148">
        <v>3052.8799599999998</v>
      </c>
      <c r="I46" s="1148">
        <v>1040.1173200000001</v>
      </c>
      <c r="J46" s="1148">
        <v>2716.0374700000002</v>
      </c>
      <c r="K46" s="1148">
        <v>3753.0660600000001</v>
      </c>
      <c r="L46" s="1148">
        <v>1775.3901700000001</v>
      </c>
      <c r="M46" s="1148">
        <v>1609.2205299999998</v>
      </c>
      <c r="N46" s="1148">
        <v>2656.4234700000002</v>
      </c>
      <c r="O46" s="1149">
        <f t="shared" si="20"/>
        <v>63796.889309999999</v>
      </c>
      <c r="P46" s="802"/>
      <c r="Q46" s="802"/>
      <c r="R46" s="802"/>
      <c r="S46" s="802"/>
      <c r="T46" s="802"/>
      <c r="U46" s="802"/>
      <c r="V46" s="802"/>
      <c r="W46" s="802"/>
      <c r="X46" s="802"/>
      <c r="Y46" s="802"/>
      <c r="Z46" s="802"/>
      <c r="AA46" s="802"/>
      <c r="AB46" s="802"/>
      <c r="AC46" s="802"/>
      <c r="AD46" s="802"/>
      <c r="AE46" s="802"/>
    </row>
    <row r="47" spans="1:31">
      <c r="A47" s="129"/>
      <c r="B47" s="1156"/>
      <c r="C47" s="1152"/>
      <c r="D47" s="1152"/>
      <c r="E47" s="1152"/>
      <c r="F47" s="1152"/>
      <c r="G47" s="1152"/>
      <c r="H47" s="1152"/>
      <c r="I47" s="1152"/>
      <c r="J47" s="1152"/>
      <c r="K47" s="1152"/>
      <c r="L47" s="1152"/>
      <c r="M47" s="1152"/>
      <c r="N47" s="1152"/>
      <c r="O47" s="1153"/>
      <c r="P47" s="802"/>
      <c r="Q47" s="802"/>
      <c r="R47" s="802"/>
      <c r="S47" s="802"/>
      <c r="T47" s="802"/>
      <c r="U47" s="802"/>
      <c r="V47" s="802"/>
      <c r="W47" s="802"/>
      <c r="X47" s="802"/>
      <c r="Y47" s="802"/>
      <c r="Z47" s="802"/>
      <c r="AA47" s="802"/>
      <c r="AB47" s="802"/>
      <c r="AC47" s="802"/>
      <c r="AD47" s="802"/>
      <c r="AE47" s="802"/>
    </row>
    <row r="48" spans="1:31">
      <c r="A48" s="129"/>
      <c r="B48" s="1150"/>
      <c r="C48" s="1148"/>
      <c r="D48" s="1148"/>
      <c r="E48" s="1148"/>
      <c r="F48" s="1148"/>
      <c r="G48" s="1148"/>
      <c r="H48" s="1148"/>
      <c r="I48" s="1148"/>
      <c r="J48" s="1148"/>
      <c r="K48" s="1148"/>
      <c r="L48" s="1148"/>
      <c r="M48" s="1148"/>
      <c r="N48" s="1148"/>
      <c r="O48" s="1149"/>
      <c r="P48" s="802"/>
      <c r="Q48" s="802"/>
      <c r="R48" s="802"/>
      <c r="S48" s="802"/>
      <c r="T48" s="802"/>
      <c r="U48" s="802"/>
      <c r="V48" s="802"/>
      <c r="W48" s="802"/>
      <c r="X48" s="802"/>
      <c r="Y48" s="802"/>
      <c r="Z48" s="802"/>
      <c r="AA48" s="802"/>
      <c r="AB48" s="802"/>
      <c r="AC48" s="802"/>
      <c r="AD48" s="802"/>
      <c r="AE48" s="802"/>
    </row>
    <row r="49" spans="1:31">
      <c r="A49" s="129"/>
      <c r="B49" s="1157" t="s">
        <v>670</v>
      </c>
      <c r="C49" s="1148">
        <f t="shared" ref="C49:N49" si="21">+SUM(C50:C51)</f>
        <v>1311.41023</v>
      </c>
      <c r="D49" s="1148">
        <f t="shared" si="21"/>
        <v>12885.991669999999</v>
      </c>
      <c r="E49" s="1148">
        <f t="shared" si="21"/>
        <v>1293373.63038</v>
      </c>
      <c r="F49" s="1148">
        <f t="shared" si="21"/>
        <v>0</v>
      </c>
      <c r="G49" s="1148">
        <f t="shared" si="21"/>
        <v>0</v>
      </c>
      <c r="H49" s="1148">
        <f t="shared" si="21"/>
        <v>0</v>
      </c>
      <c r="I49" s="1148">
        <f t="shared" ref="I49:K49" si="22">+SUM(I50:I51)</f>
        <v>1267.7281499999999</v>
      </c>
      <c r="J49" s="1148">
        <f t="shared" si="22"/>
        <v>0</v>
      </c>
      <c r="K49" s="1148">
        <f t="shared" si="22"/>
        <v>2781.7612799999997</v>
      </c>
      <c r="L49" s="1148">
        <f t="shared" si="21"/>
        <v>0</v>
      </c>
      <c r="M49" s="1148">
        <f t="shared" si="21"/>
        <v>0</v>
      </c>
      <c r="N49" s="1148">
        <f t="shared" si="21"/>
        <v>1224.3235</v>
      </c>
      <c r="O49" s="1149">
        <f>+O50+O51</f>
        <v>1312844.8452099999</v>
      </c>
      <c r="P49" s="802"/>
      <c r="Q49" s="802"/>
      <c r="R49" s="802"/>
      <c r="S49" s="802"/>
      <c r="T49" s="802"/>
      <c r="U49" s="802"/>
      <c r="V49" s="802"/>
      <c r="W49" s="802"/>
      <c r="X49" s="802"/>
      <c r="Y49" s="802"/>
      <c r="Z49" s="802"/>
      <c r="AA49" s="802"/>
      <c r="AB49" s="802"/>
      <c r="AC49" s="802"/>
      <c r="AD49" s="802"/>
      <c r="AE49" s="802"/>
    </row>
    <row r="50" spans="1:31">
      <c r="A50" s="129"/>
      <c r="B50" s="1150" t="s">
        <v>276</v>
      </c>
      <c r="C50" s="1148">
        <v>1311.41023</v>
      </c>
      <c r="D50" s="1148">
        <v>12885.991669999999</v>
      </c>
      <c r="E50" s="1148">
        <v>1290591.8691</v>
      </c>
      <c r="F50" s="1148">
        <v>0</v>
      </c>
      <c r="G50" s="1148">
        <v>0</v>
      </c>
      <c r="H50" s="1148">
        <v>0</v>
      </c>
      <c r="I50" s="1148">
        <v>1267.7281499999999</v>
      </c>
      <c r="J50" s="1148">
        <v>0</v>
      </c>
      <c r="K50" s="1148">
        <v>0</v>
      </c>
      <c r="L50" s="1148">
        <v>0</v>
      </c>
      <c r="M50" s="1148">
        <v>0</v>
      </c>
      <c r="N50" s="1148">
        <v>1224.3235</v>
      </c>
      <c r="O50" s="1149">
        <f t="shared" ref="O50:O51" si="23">SUM(C50:N50)</f>
        <v>1307281.32265</v>
      </c>
      <c r="P50" s="802"/>
      <c r="Q50" s="802"/>
      <c r="R50" s="802"/>
      <c r="S50" s="802"/>
      <c r="T50" s="802"/>
      <c r="U50" s="802"/>
      <c r="V50" s="802"/>
      <c r="W50" s="802"/>
      <c r="X50" s="802"/>
      <c r="Y50" s="802"/>
      <c r="Z50" s="802"/>
      <c r="AA50" s="802"/>
      <c r="AB50" s="802"/>
      <c r="AC50" s="802"/>
      <c r="AD50" s="802"/>
      <c r="AE50" s="802"/>
    </row>
    <row r="51" spans="1:31">
      <c r="A51" s="129"/>
      <c r="B51" s="1150" t="s">
        <v>306</v>
      </c>
      <c r="C51" s="1148">
        <v>0</v>
      </c>
      <c r="D51" s="1148">
        <v>0</v>
      </c>
      <c r="E51" s="1148">
        <v>2781.7612799999997</v>
      </c>
      <c r="F51" s="1148">
        <v>0</v>
      </c>
      <c r="G51" s="1148">
        <v>0</v>
      </c>
      <c r="H51" s="1148">
        <v>0</v>
      </c>
      <c r="I51" s="1148">
        <v>0</v>
      </c>
      <c r="J51" s="1148">
        <v>0</v>
      </c>
      <c r="K51" s="1148">
        <v>2781.7612799999997</v>
      </c>
      <c r="L51" s="1148">
        <v>0</v>
      </c>
      <c r="M51" s="1148">
        <v>0</v>
      </c>
      <c r="N51" s="1148">
        <v>0</v>
      </c>
      <c r="O51" s="1149">
        <f t="shared" si="23"/>
        <v>5563.5225599999994</v>
      </c>
      <c r="P51" s="802"/>
      <c r="Q51" s="802"/>
      <c r="R51" s="802"/>
      <c r="S51" s="802"/>
      <c r="T51" s="802"/>
      <c r="U51" s="802"/>
      <c r="V51" s="802"/>
      <c r="W51" s="802"/>
      <c r="X51" s="802"/>
      <c r="Y51" s="802"/>
      <c r="Z51" s="802"/>
      <c r="AA51" s="802"/>
      <c r="AB51" s="802"/>
      <c r="AC51" s="802"/>
      <c r="AD51" s="802"/>
      <c r="AE51" s="802"/>
    </row>
    <row r="52" spans="1:31">
      <c r="A52" s="129"/>
      <c r="B52" s="1156"/>
      <c r="C52" s="1152"/>
      <c r="D52" s="1152"/>
      <c r="E52" s="1152"/>
      <c r="F52" s="1152"/>
      <c r="G52" s="1152"/>
      <c r="H52" s="1152"/>
      <c r="I52" s="1152"/>
      <c r="J52" s="1152"/>
      <c r="K52" s="1152"/>
      <c r="L52" s="1152"/>
      <c r="M52" s="1152"/>
      <c r="N52" s="1152"/>
      <c r="O52" s="1153"/>
      <c r="P52" s="802"/>
      <c r="Q52" s="802"/>
      <c r="R52" s="802"/>
      <c r="S52" s="802"/>
      <c r="T52" s="802"/>
      <c r="U52" s="802"/>
      <c r="V52" s="802"/>
      <c r="W52" s="802"/>
      <c r="X52" s="802"/>
      <c r="Y52" s="802"/>
      <c r="Z52" s="802"/>
      <c r="AA52" s="802"/>
      <c r="AB52" s="802"/>
      <c r="AC52" s="802"/>
      <c r="AD52" s="802"/>
      <c r="AE52" s="802"/>
    </row>
    <row r="53" spans="1:31">
      <c r="A53" s="129"/>
      <c r="B53" s="1157"/>
      <c r="C53" s="1148"/>
      <c r="D53" s="1148"/>
      <c r="E53" s="1148"/>
      <c r="F53" s="1148"/>
      <c r="G53" s="1148"/>
      <c r="H53" s="1148"/>
      <c r="I53" s="1148"/>
      <c r="J53" s="1148"/>
      <c r="K53" s="1148"/>
      <c r="L53" s="1148"/>
      <c r="M53" s="1148"/>
      <c r="N53" s="1148"/>
      <c r="O53" s="1149"/>
      <c r="P53" s="802"/>
      <c r="Q53" s="802"/>
      <c r="R53" s="802"/>
      <c r="S53" s="802"/>
      <c r="T53" s="802"/>
      <c r="U53" s="802"/>
      <c r="V53" s="802"/>
      <c r="W53" s="802"/>
      <c r="X53" s="802"/>
      <c r="Y53" s="802"/>
      <c r="Z53" s="802"/>
      <c r="AA53" s="802"/>
      <c r="AB53" s="802"/>
      <c r="AC53" s="802"/>
      <c r="AD53" s="802"/>
      <c r="AE53" s="802"/>
    </row>
    <row r="54" spans="1:31">
      <c r="A54" s="129"/>
      <c r="B54" s="1147" t="s">
        <v>162</v>
      </c>
      <c r="C54" s="1148">
        <f t="shared" ref="C54:N54" si="24">+SUM(C55:C56)</f>
        <v>422405.87695000001</v>
      </c>
      <c r="D54" s="1148">
        <f t="shared" si="24"/>
        <v>325569.74706000002</v>
      </c>
      <c r="E54" s="1148">
        <f t="shared" si="24"/>
        <v>1010101.0101000001</v>
      </c>
      <c r="F54" s="1148">
        <f t="shared" si="24"/>
        <v>511728.85884</v>
      </c>
      <c r="G54" s="1148">
        <f t="shared" si="24"/>
        <v>887386.25928999996</v>
      </c>
      <c r="H54" s="1148">
        <f t="shared" si="24"/>
        <v>679522.49770000007</v>
      </c>
      <c r="I54" s="1148">
        <f t="shared" ref="I54:K54" si="25">+SUM(I55:I56)</f>
        <v>233742.38250000001</v>
      </c>
      <c r="J54" s="1148">
        <f t="shared" si="25"/>
        <v>0</v>
      </c>
      <c r="K54" s="1148">
        <f t="shared" si="25"/>
        <v>189999.16521000001</v>
      </c>
      <c r="L54" s="1148">
        <f t="shared" si="24"/>
        <v>413724.01702999999</v>
      </c>
      <c r="M54" s="1148">
        <f t="shared" si="24"/>
        <v>3853744.0520900004</v>
      </c>
      <c r="N54" s="1148">
        <f t="shared" si="24"/>
        <v>867351.19792999991</v>
      </c>
      <c r="O54" s="1149">
        <f>+O55+O56</f>
        <v>9395275.0647</v>
      </c>
      <c r="P54" s="802"/>
      <c r="Q54" s="802"/>
      <c r="R54" s="802"/>
      <c r="S54" s="802"/>
      <c r="T54" s="802"/>
      <c r="U54" s="802"/>
      <c r="V54" s="802"/>
      <c r="W54" s="802"/>
      <c r="X54" s="802"/>
      <c r="Y54" s="802"/>
      <c r="Z54" s="802"/>
      <c r="AA54" s="802"/>
      <c r="AB54" s="802"/>
      <c r="AC54" s="802"/>
      <c r="AD54" s="802"/>
      <c r="AE54" s="802"/>
    </row>
    <row r="55" spans="1:31">
      <c r="A55" s="129"/>
      <c r="B55" s="1150" t="s">
        <v>276</v>
      </c>
      <c r="C55" s="1148">
        <v>422405.87695000001</v>
      </c>
      <c r="D55" s="1148">
        <v>325569.74706000002</v>
      </c>
      <c r="E55" s="1148">
        <v>1010101.0101000001</v>
      </c>
      <c r="F55" s="1148">
        <v>511728.85884</v>
      </c>
      <c r="G55" s="1148">
        <v>887386.25928999996</v>
      </c>
      <c r="H55" s="1148">
        <v>679522.49770000007</v>
      </c>
      <c r="I55" s="1148">
        <v>233742.38250000001</v>
      </c>
      <c r="J55" s="1148">
        <v>0</v>
      </c>
      <c r="K55" s="1148">
        <v>189999.16521000001</v>
      </c>
      <c r="L55" s="1148">
        <v>413724.01702999999</v>
      </c>
      <c r="M55" s="1148">
        <v>3853744.0520900004</v>
      </c>
      <c r="N55" s="1148">
        <v>867351.19792999991</v>
      </c>
      <c r="O55" s="1149">
        <f t="shared" ref="O55:O56" si="26">SUM(C55:N55)</f>
        <v>9395275.0647</v>
      </c>
      <c r="P55" s="802"/>
      <c r="Q55" s="802"/>
      <c r="R55" s="802"/>
      <c r="S55" s="802"/>
      <c r="T55" s="802"/>
      <c r="U55" s="802"/>
      <c r="V55" s="802"/>
      <c r="W55" s="802"/>
      <c r="X55" s="802"/>
      <c r="Y55" s="802"/>
      <c r="Z55" s="802"/>
      <c r="AA55" s="802"/>
      <c r="AB55" s="802"/>
      <c r="AC55" s="802"/>
      <c r="AD55" s="802"/>
      <c r="AE55" s="802"/>
    </row>
    <row r="56" spans="1:31">
      <c r="A56" s="129"/>
      <c r="B56" s="1150" t="s">
        <v>306</v>
      </c>
      <c r="C56" s="1148">
        <v>0</v>
      </c>
      <c r="D56" s="1148">
        <v>0</v>
      </c>
      <c r="E56" s="1148">
        <v>0</v>
      </c>
      <c r="F56" s="1148">
        <v>0</v>
      </c>
      <c r="G56" s="1148">
        <v>0</v>
      </c>
      <c r="H56" s="1148">
        <v>0</v>
      </c>
      <c r="I56" s="1148">
        <v>0</v>
      </c>
      <c r="J56" s="1148">
        <v>0</v>
      </c>
      <c r="K56" s="1148">
        <v>0</v>
      </c>
      <c r="L56" s="1148">
        <v>0</v>
      </c>
      <c r="M56" s="1148">
        <v>0</v>
      </c>
      <c r="N56" s="1148">
        <v>0</v>
      </c>
      <c r="O56" s="1149">
        <f t="shared" si="26"/>
        <v>0</v>
      </c>
      <c r="P56" s="802"/>
      <c r="Q56" s="802"/>
      <c r="R56" s="802"/>
      <c r="S56" s="802"/>
      <c r="T56" s="802"/>
      <c r="U56" s="802"/>
      <c r="V56" s="802"/>
      <c r="W56" s="802"/>
      <c r="X56" s="802"/>
      <c r="Y56" s="802"/>
      <c r="Z56" s="802"/>
      <c r="AA56" s="802"/>
      <c r="AB56" s="802"/>
      <c r="AC56" s="802"/>
      <c r="AD56" s="802"/>
      <c r="AE56" s="802"/>
    </row>
    <row r="57" spans="1:31" ht="16" thickBot="1">
      <c r="A57" s="129"/>
      <c r="B57" s="1158"/>
      <c r="C57" s="1159"/>
      <c r="D57" s="1159"/>
      <c r="E57" s="1159"/>
      <c r="F57" s="1159"/>
      <c r="G57" s="1159"/>
      <c r="H57" s="1159"/>
      <c r="I57" s="1159"/>
      <c r="J57" s="1159"/>
      <c r="K57" s="1159"/>
      <c r="L57" s="1159"/>
      <c r="M57" s="1159"/>
      <c r="N57" s="1159"/>
      <c r="O57" s="1159"/>
      <c r="P57" s="802"/>
      <c r="Q57" s="802"/>
      <c r="R57" s="802"/>
      <c r="S57" s="802"/>
      <c r="T57" s="802"/>
      <c r="U57" s="802"/>
      <c r="V57" s="802"/>
      <c r="W57" s="802"/>
      <c r="X57" s="802"/>
      <c r="Y57" s="802"/>
      <c r="Z57" s="802"/>
      <c r="AA57" s="802"/>
      <c r="AB57" s="802"/>
      <c r="AC57" s="802"/>
      <c r="AD57" s="802"/>
      <c r="AE57" s="802"/>
    </row>
    <row r="58" spans="1:31" ht="16" thickTop="1">
      <c r="A58" s="129"/>
      <c r="B58" s="1160"/>
      <c r="C58" s="1161"/>
      <c r="D58" s="1161"/>
      <c r="E58" s="1161"/>
      <c r="F58" s="1161"/>
      <c r="G58" s="1161"/>
      <c r="H58" s="1161"/>
      <c r="I58" s="1161"/>
      <c r="J58" s="1161"/>
      <c r="K58" s="1161"/>
      <c r="L58" s="1161"/>
      <c r="M58" s="1161"/>
      <c r="N58" s="1161"/>
      <c r="O58" s="1161"/>
      <c r="P58" s="802"/>
      <c r="Q58" s="802"/>
      <c r="R58" s="802"/>
      <c r="S58" s="802"/>
      <c r="T58" s="802"/>
      <c r="U58" s="802"/>
      <c r="V58" s="802"/>
      <c r="W58" s="802"/>
      <c r="X58" s="802"/>
      <c r="Y58" s="802"/>
      <c r="Z58" s="802"/>
      <c r="AA58" s="802"/>
      <c r="AB58" s="802"/>
      <c r="AC58" s="802"/>
      <c r="AD58" s="802"/>
      <c r="AE58" s="802"/>
    </row>
    <row r="59" spans="1:31">
      <c r="A59" s="129"/>
      <c r="B59" s="1162" t="s">
        <v>748</v>
      </c>
      <c r="C59" s="1163">
        <f t="shared" ref="C59:N59" si="27">+C60+C61</f>
        <v>2781064.8513500001</v>
      </c>
      <c r="D59" s="1163">
        <f t="shared" si="27"/>
        <v>4071876.1760100001</v>
      </c>
      <c r="E59" s="1163">
        <f t="shared" si="27"/>
        <v>8652430.1389899999</v>
      </c>
      <c r="F59" s="1163">
        <f t="shared" si="27"/>
        <v>10431507.069189999</v>
      </c>
      <c r="G59" s="1163">
        <f t="shared" si="27"/>
        <v>9930033.5988700017</v>
      </c>
      <c r="H59" s="1163">
        <f t="shared" si="27"/>
        <v>7977243.9392299987</v>
      </c>
      <c r="I59" s="1163">
        <f t="shared" ref="I59:K59" si="28">+I60+I61</f>
        <v>2300340.6096699997</v>
      </c>
      <c r="J59" s="1163">
        <f t="shared" si="28"/>
        <v>10134526.875779999</v>
      </c>
      <c r="K59" s="1163">
        <f t="shared" si="28"/>
        <v>1183392.5810499999</v>
      </c>
      <c r="L59" s="1163">
        <f t="shared" si="27"/>
        <v>6241335.038329999</v>
      </c>
      <c r="M59" s="1163">
        <f t="shared" si="27"/>
        <v>7355337.9875300005</v>
      </c>
      <c r="N59" s="1163">
        <f t="shared" si="27"/>
        <v>7803295.7228099992</v>
      </c>
      <c r="O59" s="1163">
        <f>+O60+O61</f>
        <v>78862384.588809982</v>
      </c>
      <c r="P59" s="964"/>
      <c r="Q59" s="802"/>
      <c r="R59" s="802"/>
      <c r="S59" s="802"/>
      <c r="T59" s="802"/>
      <c r="U59" s="802"/>
      <c r="V59" s="802"/>
      <c r="W59" s="802"/>
      <c r="X59" s="802"/>
      <c r="Y59" s="802"/>
      <c r="Z59" s="802"/>
      <c r="AA59" s="802"/>
      <c r="AB59" s="802"/>
      <c r="AC59" s="802"/>
      <c r="AD59" s="802"/>
      <c r="AE59" s="802"/>
    </row>
    <row r="60" spans="1:31">
      <c r="A60" s="129"/>
      <c r="B60" s="1164" t="s">
        <v>276</v>
      </c>
      <c r="C60" s="1165">
        <f t="shared" ref="C60:N61" si="29">+C15+C20+C25+C30+C35+C40+C45+C50+C55</f>
        <v>1445499.7207500001</v>
      </c>
      <c r="D60" s="1165">
        <f t="shared" si="29"/>
        <v>3341174.4582400001</v>
      </c>
      <c r="E60" s="1165">
        <f t="shared" si="29"/>
        <v>7612673.1590800006</v>
      </c>
      <c r="F60" s="1165">
        <f t="shared" si="29"/>
        <v>8893184.4594199993</v>
      </c>
      <c r="G60" s="1165">
        <f t="shared" si="29"/>
        <v>8451856.4390200023</v>
      </c>
      <c r="H60" s="1165">
        <f t="shared" si="29"/>
        <v>5236577.4456399987</v>
      </c>
      <c r="I60" s="1165">
        <f t="shared" ref="I60:K60" si="30">+I15+I20+I25+I30+I35+I40+I45+I50+I55</f>
        <v>1355293.1073</v>
      </c>
      <c r="J60" s="1165">
        <f t="shared" si="30"/>
        <v>9562839.2521099988</v>
      </c>
      <c r="K60" s="1165">
        <f t="shared" si="30"/>
        <v>691363.28685999988</v>
      </c>
      <c r="L60" s="1165">
        <f t="shared" si="29"/>
        <v>4909879.743689999</v>
      </c>
      <c r="M60" s="1165">
        <f t="shared" si="29"/>
        <v>6178229.9214200005</v>
      </c>
      <c r="N60" s="1165">
        <f t="shared" si="29"/>
        <v>5935897.5666999994</v>
      </c>
      <c r="O60" s="1149">
        <f t="shared" ref="O60:O61" si="31">SUM(C60:N60)</f>
        <v>63614468.560229987</v>
      </c>
      <c r="P60" s="802"/>
      <c r="Q60" s="802"/>
      <c r="R60" s="802"/>
      <c r="S60" s="802"/>
      <c r="T60" s="802"/>
      <c r="U60" s="802"/>
      <c r="V60" s="802"/>
      <c r="W60" s="802"/>
      <c r="X60" s="802"/>
      <c r="Y60" s="802"/>
      <c r="Z60" s="802"/>
      <c r="AA60" s="802"/>
      <c r="AB60" s="802"/>
      <c r="AC60" s="802"/>
      <c r="AD60" s="802"/>
      <c r="AE60" s="802"/>
    </row>
    <row r="61" spans="1:31">
      <c r="A61" s="129"/>
      <c r="B61" s="1164" t="s">
        <v>306</v>
      </c>
      <c r="C61" s="1165">
        <f t="shared" si="29"/>
        <v>1335565.1305999998</v>
      </c>
      <c r="D61" s="1165">
        <f t="shared" si="29"/>
        <v>730701.7177700001</v>
      </c>
      <c r="E61" s="1165">
        <f t="shared" si="29"/>
        <v>1039756.97991</v>
      </c>
      <c r="F61" s="1165">
        <f t="shared" si="29"/>
        <v>1538322.6097699997</v>
      </c>
      <c r="G61" s="1165">
        <f t="shared" si="29"/>
        <v>1478177.1598499997</v>
      </c>
      <c r="H61" s="1165">
        <f t="shared" si="29"/>
        <v>2740666.4935900001</v>
      </c>
      <c r="I61" s="1165">
        <f t="shared" ref="I61:K61" si="32">+I16+I21+I26+I31+I36+I41+I46+I51+I56</f>
        <v>945047.50236999977</v>
      </c>
      <c r="J61" s="1165">
        <f t="shared" si="32"/>
        <v>571687.62367</v>
      </c>
      <c r="K61" s="1165">
        <f t="shared" si="32"/>
        <v>492029.29418999999</v>
      </c>
      <c r="L61" s="1165">
        <f t="shared" si="29"/>
        <v>1331455.2946399997</v>
      </c>
      <c r="M61" s="1165">
        <f t="shared" si="29"/>
        <v>1177108.06611</v>
      </c>
      <c r="N61" s="1165">
        <f t="shared" si="29"/>
        <v>1867398.1561099996</v>
      </c>
      <c r="O61" s="1149">
        <f t="shared" si="31"/>
        <v>15247916.028580001</v>
      </c>
      <c r="P61" s="802"/>
      <c r="Q61" s="802"/>
      <c r="R61" s="802"/>
      <c r="S61" s="802"/>
      <c r="T61" s="802"/>
      <c r="U61" s="802"/>
      <c r="V61" s="802"/>
      <c r="W61" s="802"/>
      <c r="X61" s="802"/>
      <c r="Y61" s="802"/>
      <c r="Z61" s="802"/>
      <c r="AA61" s="802"/>
      <c r="AB61" s="802"/>
      <c r="AC61" s="802"/>
      <c r="AD61" s="802"/>
      <c r="AE61" s="802"/>
    </row>
    <row r="62" spans="1:31" ht="16" thickBot="1">
      <c r="A62" s="129"/>
      <c r="B62" s="1166"/>
      <c r="C62" s="1167"/>
      <c r="D62" s="1167"/>
      <c r="E62" s="1167"/>
      <c r="F62" s="1167"/>
      <c r="G62" s="1167"/>
      <c r="H62" s="1167"/>
      <c r="I62" s="1167"/>
      <c r="J62" s="1167"/>
      <c r="K62" s="1167"/>
      <c r="L62" s="1167"/>
      <c r="M62" s="1167"/>
      <c r="N62" s="1167"/>
      <c r="O62" s="1167"/>
      <c r="P62" s="802"/>
      <c r="Q62" s="802"/>
      <c r="R62" s="802"/>
      <c r="S62" s="802"/>
      <c r="T62" s="802"/>
      <c r="U62" s="802"/>
      <c r="V62" s="802"/>
      <c r="W62" s="802"/>
      <c r="X62" s="802"/>
      <c r="Y62" s="802"/>
      <c r="Z62" s="802"/>
      <c r="AA62" s="802"/>
      <c r="AB62" s="802"/>
      <c r="AC62" s="802"/>
      <c r="AD62" s="802"/>
      <c r="AE62" s="802"/>
    </row>
    <row r="63" spans="1:31" ht="16" thickTop="1">
      <c r="A63" s="129"/>
      <c r="B63" s="112"/>
      <c r="C63" s="136"/>
      <c r="D63" s="136"/>
      <c r="E63" s="136"/>
      <c r="F63" s="136"/>
      <c r="G63" s="136"/>
      <c r="H63" s="136"/>
      <c r="I63" s="136"/>
      <c r="J63" s="136"/>
      <c r="K63" s="136"/>
      <c r="L63" s="136"/>
      <c r="M63" s="136"/>
      <c r="N63" s="136"/>
      <c r="O63" s="136"/>
      <c r="P63" s="135"/>
      <c r="Q63" s="135"/>
      <c r="R63" s="135"/>
      <c r="S63" s="135"/>
      <c r="T63" s="135"/>
      <c r="U63" s="135"/>
      <c r="V63" s="135"/>
      <c r="W63" s="135"/>
      <c r="X63" s="135"/>
      <c r="Y63" s="135"/>
      <c r="Z63" s="135"/>
      <c r="AA63" s="135"/>
    </row>
    <row r="64" spans="1:31">
      <c r="A64" s="129"/>
      <c r="B64" s="691" t="s">
        <v>370</v>
      </c>
      <c r="C64" s="791"/>
      <c r="D64" s="791"/>
      <c r="E64" s="137"/>
      <c r="F64" s="791"/>
      <c r="G64" s="791"/>
      <c r="H64" s="791"/>
      <c r="I64" s="791"/>
      <c r="J64" s="791"/>
      <c r="K64" s="791"/>
      <c r="L64" s="791"/>
      <c r="M64" s="791"/>
      <c r="N64" s="791"/>
      <c r="O64" s="792"/>
      <c r="P64" s="135"/>
      <c r="Q64" s="135"/>
      <c r="R64" s="135"/>
      <c r="S64" s="135"/>
      <c r="T64" s="135"/>
      <c r="U64" s="135"/>
      <c r="V64" s="135"/>
      <c r="W64" s="135"/>
      <c r="X64" s="135"/>
      <c r="Y64" s="135"/>
      <c r="Z64" s="135"/>
      <c r="AA64" s="135"/>
    </row>
    <row r="65" spans="1:27">
      <c r="A65" s="129"/>
      <c r="B65" s="137"/>
      <c r="C65" s="137"/>
      <c r="D65" s="1063"/>
      <c r="E65" s="1063"/>
      <c r="F65" s="137"/>
      <c r="G65" s="137"/>
      <c r="H65" s="137"/>
      <c r="I65" s="137"/>
      <c r="J65" s="137"/>
      <c r="K65" s="137"/>
      <c r="L65" s="137"/>
      <c r="M65" s="137"/>
      <c r="N65" s="137"/>
      <c r="O65" s="792"/>
      <c r="P65" s="135"/>
      <c r="Q65" s="135"/>
      <c r="R65" s="135"/>
      <c r="S65" s="135"/>
      <c r="T65" s="135"/>
      <c r="U65" s="135"/>
      <c r="V65" s="135"/>
      <c r="W65" s="135"/>
      <c r="X65" s="135"/>
      <c r="Y65" s="135"/>
      <c r="Z65" s="135"/>
      <c r="AA65" s="135"/>
    </row>
    <row r="66" spans="1:27">
      <c r="A66" s="129"/>
      <c r="C66" s="135"/>
      <c r="D66" s="135"/>
      <c r="E66" s="135"/>
      <c r="F66" s="135"/>
      <c r="G66" s="135"/>
      <c r="H66" s="135"/>
      <c r="I66" s="135"/>
      <c r="J66" s="135"/>
      <c r="K66" s="135"/>
      <c r="L66" s="135"/>
      <c r="M66" s="135"/>
      <c r="N66" s="135"/>
      <c r="O66" s="135"/>
    </row>
    <row r="67" spans="1:27">
      <c r="A67" s="129"/>
      <c r="C67" s="135"/>
      <c r="D67" s="135"/>
      <c r="E67" s="135"/>
      <c r="F67" s="135"/>
      <c r="G67" s="135"/>
      <c r="H67" s="135"/>
      <c r="I67" s="135"/>
      <c r="J67" s="135"/>
      <c r="K67" s="135"/>
      <c r="L67" s="135"/>
      <c r="M67" s="135"/>
      <c r="N67" s="135"/>
      <c r="O67" s="135"/>
    </row>
    <row r="68" spans="1:27">
      <c r="A68" s="129"/>
      <c r="B68" s="1051"/>
      <c r="C68" s="135"/>
      <c r="D68" s="135"/>
      <c r="E68" s="135"/>
      <c r="F68" s="135"/>
      <c r="G68" s="135"/>
      <c r="H68" s="135"/>
      <c r="I68" s="135"/>
      <c r="J68" s="135"/>
      <c r="K68" s="135"/>
      <c r="L68" s="135"/>
      <c r="M68" s="135"/>
      <c r="N68" s="135"/>
      <c r="O68" s="135"/>
    </row>
    <row r="69" spans="1:27">
      <c r="A69" s="129"/>
      <c r="B69" s="1051"/>
      <c r="C69" s="135"/>
      <c r="D69" s="135"/>
      <c r="E69" s="135"/>
      <c r="F69" s="135"/>
      <c r="G69" s="135"/>
      <c r="H69" s="135"/>
      <c r="I69" s="135"/>
      <c r="J69" s="135"/>
      <c r="K69" s="135"/>
      <c r="L69" s="135"/>
      <c r="M69" s="135"/>
      <c r="N69" s="135"/>
      <c r="O69" s="135"/>
    </row>
    <row r="70" spans="1:27">
      <c r="A70" s="129"/>
      <c r="B70" s="1051"/>
      <c r="C70" s="135"/>
      <c r="D70" s="135"/>
      <c r="E70" s="135"/>
      <c r="F70" s="135"/>
      <c r="G70" s="135"/>
      <c r="H70" s="135"/>
      <c r="I70" s="135"/>
      <c r="J70" s="135"/>
      <c r="K70" s="135"/>
      <c r="L70" s="135"/>
      <c r="M70" s="135"/>
      <c r="N70" s="135"/>
      <c r="O70" s="135"/>
    </row>
    <row r="71" spans="1:27">
      <c r="A71" s="129"/>
      <c r="B71" s="1051"/>
      <c r="C71" s="135"/>
      <c r="D71" s="135"/>
      <c r="E71" s="135"/>
      <c r="F71" s="135"/>
    </row>
    <row r="72" spans="1:27">
      <c r="A72" s="129"/>
      <c r="B72" s="1051"/>
      <c r="C72" s="135"/>
      <c r="D72" s="135"/>
      <c r="E72" s="135"/>
      <c r="F72" s="135"/>
    </row>
    <row r="73" spans="1:27">
      <c r="A73" s="129"/>
      <c r="B73" s="1051"/>
      <c r="C73" s="135"/>
      <c r="D73" s="135"/>
      <c r="E73" s="135"/>
      <c r="F73" s="135"/>
    </row>
    <row r="74" spans="1:27">
      <c r="A74" s="129"/>
      <c r="B74" s="1051"/>
      <c r="C74" s="135"/>
      <c r="D74" s="135"/>
      <c r="E74" s="135"/>
      <c r="F74" s="135"/>
    </row>
    <row r="75" spans="1:27">
      <c r="A75" s="129"/>
      <c r="B75" s="1051"/>
      <c r="C75" s="135"/>
      <c r="D75" s="135"/>
      <c r="E75" s="135"/>
      <c r="F75" s="135"/>
    </row>
    <row r="76" spans="1:27">
      <c r="A76" s="129"/>
      <c r="B76" s="1051"/>
      <c r="C76" s="135"/>
      <c r="D76" s="135"/>
      <c r="E76" s="135"/>
      <c r="F76" s="135"/>
    </row>
    <row r="77" spans="1:27">
      <c r="A77" s="129"/>
      <c r="B77" s="1051"/>
      <c r="C77" s="135"/>
      <c r="D77" s="135"/>
      <c r="E77" s="135"/>
      <c r="F77" s="135"/>
    </row>
    <row r="78" spans="1:27">
      <c r="B78" s="1051"/>
      <c r="C78" s="135"/>
      <c r="D78" s="135"/>
      <c r="E78" s="135"/>
      <c r="F78" s="135"/>
    </row>
    <row r="79" spans="1:27">
      <c r="B79" s="1051"/>
      <c r="C79" s="135"/>
      <c r="D79" s="135"/>
      <c r="E79" s="135"/>
      <c r="F79" s="135"/>
    </row>
    <row r="80" spans="1:27">
      <c r="B80" s="1051"/>
      <c r="C80" s="135"/>
      <c r="D80" s="135"/>
      <c r="E80" s="135"/>
      <c r="F80" s="135"/>
    </row>
    <row r="81" spans="2:6">
      <c r="B81" s="1051"/>
      <c r="C81" s="135"/>
      <c r="D81" s="135"/>
      <c r="E81" s="135"/>
      <c r="F81" s="135"/>
    </row>
    <row r="82" spans="2:6">
      <c r="B82" s="1051"/>
      <c r="C82" s="135"/>
      <c r="D82" s="135"/>
      <c r="E82" s="135"/>
      <c r="F82" s="135"/>
    </row>
    <row r="83" spans="2:6">
      <c r="B83" s="1051"/>
      <c r="C83" s="135"/>
      <c r="D83" s="135"/>
      <c r="E83" s="135"/>
      <c r="F83" s="135"/>
    </row>
    <row r="84" spans="2:6">
      <c r="B84" s="1051"/>
      <c r="C84" s="135"/>
      <c r="D84" s="135"/>
      <c r="E84" s="135"/>
      <c r="F84" s="135"/>
    </row>
    <row r="85" spans="2:6">
      <c r="B85" s="1051"/>
      <c r="C85" s="135"/>
      <c r="D85" s="135"/>
      <c r="E85" s="135"/>
      <c r="F85" s="135"/>
    </row>
    <row r="86" spans="2:6">
      <c r="B86" s="1051"/>
      <c r="C86" s="135"/>
      <c r="D86" s="135"/>
      <c r="E86" s="135"/>
      <c r="F86" s="135"/>
    </row>
    <row r="87" spans="2:6">
      <c r="C87" s="135"/>
      <c r="D87" s="135"/>
      <c r="E87" s="135"/>
      <c r="F87" s="135"/>
    </row>
    <row r="88" spans="2:6">
      <c r="C88" s="135"/>
      <c r="D88" s="135"/>
      <c r="E88" s="135"/>
      <c r="F88" s="135"/>
    </row>
    <row r="89" spans="2:6">
      <c r="C89" s="135"/>
      <c r="D89" s="135"/>
      <c r="E89" s="135"/>
      <c r="F89" s="135"/>
    </row>
    <row r="90" spans="2:6">
      <c r="C90" s="135"/>
      <c r="D90" s="135"/>
      <c r="E90" s="135"/>
      <c r="F90" s="135"/>
    </row>
    <row r="91" spans="2:6">
      <c r="C91" s="135"/>
      <c r="D91" s="135"/>
      <c r="E91" s="135"/>
      <c r="F91" s="135"/>
    </row>
    <row r="92" spans="2:6">
      <c r="C92" s="135"/>
      <c r="D92" s="135"/>
      <c r="E92" s="135"/>
      <c r="F92" s="135"/>
    </row>
    <row r="93" spans="2:6">
      <c r="C93" s="135"/>
      <c r="D93" s="135"/>
      <c r="E93" s="135"/>
      <c r="F93" s="135"/>
    </row>
    <row r="94" spans="2:6">
      <c r="C94" s="135"/>
      <c r="D94" s="135"/>
      <c r="E94" s="135"/>
      <c r="F94" s="135"/>
    </row>
    <row r="95" spans="2:6">
      <c r="C95" s="135"/>
      <c r="D95" s="135"/>
      <c r="E95" s="135"/>
      <c r="F95" s="135"/>
    </row>
    <row r="96" spans="2:6">
      <c r="C96" s="135"/>
      <c r="D96" s="135"/>
      <c r="E96" s="135"/>
      <c r="F96" s="135"/>
    </row>
    <row r="97" spans="3:6">
      <c r="C97" s="135"/>
      <c r="D97" s="135"/>
      <c r="E97" s="135"/>
      <c r="F97" s="135"/>
    </row>
    <row r="98" spans="3:6">
      <c r="C98" s="135"/>
      <c r="D98" s="135"/>
      <c r="E98" s="135"/>
      <c r="F98" s="135"/>
    </row>
    <row r="99" spans="3:6">
      <c r="C99" s="135"/>
      <c r="D99" s="135"/>
      <c r="E99" s="135"/>
      <c r="F99" s="135"/>
    </row>
    <row r="100" spans="3:6">
      <c r="C100" s="135"/>
      <c r="D100" s="135"/>
      <c r="E100" s="135"/>
      <c r="F100" s="135"/>
    </row>
    <row r="101" spans="3:6">
      <c r="C101" s="135"/>
      <c r="D101" s="135"/>
      <c r="E101" s="135"/>
      <c r="F101" s="135"/>
    </row>
    <row r="102" spans="3:6">
      <c r="C102" s="135"/>
      <c r="D102" s="135"/>
      <c r="E102" s="135"/>
      <c r="F102" s="135"/>
    </row>
    <row r="103" spans="3:6">
      <c r="C103" s="135"/>
      <c r="D103" s="135"/>
      <c r="E103" s="135"/>
      <c r="F103" s="135"/>
    </row>
    <row r="104" spans="3:6">
      <c r="C104" s="135"/>
      <c r="D104" s="135"/>
      <c r="E104" s="135"/>
      <c r="F104" s="135"/>
    </row>
    <row r="105" spans="3:6">
      <c r="C105" s="135"/>
      <c r="D105" s="135"/>
      <c r="E105" s="135"/>
      <c r="F105" s="135"/>
    </row>
    <row r="106" spans="3:6">
      <c r="C106" s="135"/>
      <c r="D106" s="135"/>
      <c r="E106" s="135"/>
      <c r="F106" s="135"/>
    </row>
    <row r="107" spans="3:6">
      <c r="C107" s="135"/>
      <c r="D107" s="135"/>
      <c r="E107" s="135"/>
      <c r="F107" s="135"/>
    </row>
  </sheetData>
  <mergeCells count="5">
    <mergeCell ref="B6:O6"/>
    <mergeCell ref="B11:B12"/>
    <mergeCell ref="B8:O8"/>
    <mergeCell ref="B7:O7"/>
    <mergeCell ref="C11:N11"/>
  </mergeCells>
  <hyperlinks>
    <hyperlink ref="A1" location="INDICE!A1" display="Indice"/>
  </hyperlinks>
  <printOptions horizontalCentered="1"/>
  <pageMargins left="0" right="0" top="0" bottom="0" header="0" footer="0"/>
  <pageSetup paperSize="9" scale="54"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sheetPr>
    <tabColor theme="3" tint="0.79998168889431442"/>
    <pageSetUpPr fitToPage="1"/>
  </sheetPr>
  <dimension ref="A1:Z90"/>
  <sheetViews>
    <sheetView showGridLines="0" zoomScaleNormal="100" zoomScaleSheetLayoutView="85" workbookViewId="0"/>
  </sheetViews>
  <sheetFormatPr baseColWidth="10" defaultColWidth="11.453125" defaultRowHeight="13"/>
  <cols>
    <col min="1" max="1" width="13.453125" style="457" customWidth="1"/>
    <col min="2" max="2" width="52.54296875" style="454" bestFit="1" customWidth="1"/>
    <col min="3" max="15" width="13.453125" style="454" customWidth="1"/>
    <col min="16" max="16" width="15.08984375" style="454" bestFit="1" customWidth="1"/>
    <col min="17" max="17" width="12.81640625" style="454" bestFit="1" customWidth="1"/>
    <col min="18" max="20" width="11.54296875" style="454" bestFit="1" customWidth="1"/>
    <col min="21" max="21" width="12.81640625" style="454" bestFit="1" customWidth="1"/>
    <col min="22" max="22" width="11.54296875" style="454" bestFit="1" customWidth="1"/>
    <col min="23" max="26" width="12.81640625" style="454" bestFit="1" customWidth="1"/>
    <col min="27" max="16384" width="11.453125" style="454"/>
  </cols>
  <sheetData>
    <row r="1" spans="1:26" ht="14.5">
      <c r="A1" s="734" t="s">
        <v>219</v>
      </c>
      <c r="B1" s="742"/>
      <c r="C1" s="742"/>
      <c r="D1" s="742"/>
      <c r="E1" s="742"/>
      <c r="F1" s="742"/>
      <c r="G1" s="742"/>
      <c r="H1" s="742"/>
    </row>
    <row r="2" spans="1:26" ht="14.5">
      <c r="A2" s="691"/>
      <c r="B2" s="386" t="str">
        <f>+INDICE!B2</f>
        <v>MINISTERIO DE ECONOMÍA</v>
      </c>
      <c r="C2" s="386"/>
      <c r="D2" s="386"/>
      <c r="E2" s="386"/>
      <c r="F2" s="386"/>
      <c r="G2" s="386"/>
      <c r="H2" s="386"/>
      <c r="I2" s="463"/>
    </row>
    <row r="3" spans="1:26" ht="14.5">
      <c r="A3" s="691"/>
      <c r="B3" s="270" t="s">
        <v>304</v>
      </c>
      <c r="C3" s="270"/>
      <c r="D3" s="270"/>
      <c r="E3" s="270"/>
      <c r="F3" s="270"/>
      <c r="G3" s="270"/>
      <c r="H3" s="270"/>
      <c r="I3" s="463"/>
    </row>
    <row r="4" spans="1:26" s="456" customFormat="1">
      <c r="A4" s="418"/>
      <c r="B4" s="455"/>
      <c r="C4" s="455"/>
      <c r="D4" s="455"/>
      <c r="E4" s="455"/>
      <c r="F4" s="455"/>
      <c r="G4" s="455"/>
      <c r="H4" s="455"/>
      <c r="I4" s="463"/>
    </row>
    <row r="5" spans="1:26" s="456" customFormat="1" ht="13.5" thickBot="1">
      <c r="A5" s="418"/>
      <c r="B5" s="455"/>
      <c r="C5" s="455"/>
      <c r="D5" s="455"/>
      <c r="E5" s="455"/>
      <c r="F5" s="455"/>
      <c r="G5" s="455"/>
      <c r="H5" s="455"/>
      <c r="I5" s="463"/>
    </row>
    <row r="6" spans="1:26" s="98" customFormat="1" ht="17.5" thickBot="1">
      <c r="A6" s="269"/>
      <c r="B6" s="1487" t="s">
        <v>783</v>
      </c>
      <c r="C6" s="1488"/>
      <c r="D6" s="1488"/>
      <c r="E6" s="1488"/>
      <c r="F6" s="1488"/>
      <c r="G6" s="1488"/>
      <c r="H6" s="1488"/>
      <c r="I6" s="1488"/>
      <c r="J6" s="1488"/>
      <c r="K6" s="1488"/>
      <c r="L6" s="1488"/>
      <c r="M6" s="1488"/>
      <c r="N6" s="1488"/>
      <c r="O6" s="1489"/>
    </row>
    <row r="7" spans="1:26" s="456" customFormat="1">
      <c r="A7" s="418"/>
      <c r="B7" s="418"/>
      <c r="C7" s="418"/>
      <c r="D7" s="418"/>
      <c r="E7" s="418"/>
      <c r="F7" s="418"/>
      <c r="G7" s="418"/>
      <c r="H7" s="418"/>
      <c r="I7" s="463"/>
    </row>
    <row r="8" spans="1:26" s="98" customFormat="1" ht="13.5" thickBot="1">
      <c r="A8" s="269"/>
      <c r="B8" s="457" t="s">
        <v>915</v>
      </c>
      <c r="C8" s="457"/>
      <c r="D8" s="457"/>
      <c r="E8" s="457"/>
      <c r="F8" s="457"/>
      <c r="G8" s="457"/>
      <c r="H8" s="457"/>
      <c r="I8" s="463"/>
    </row>
    <row r="9" spans="1:26" s="98" customFormat="1" ht="14" thickTop="1" thickBot="1">
      <c r="A9" s="269"/>
      <c r="B9" s="458"/>
      <c r="C9" s="458">
        <v>43831</v>
      </c>
      <c r="D9" s="458">
        <v>43862</v>
      </c>
      <c r="E9" s="458">
        <v>43891</v>
      </c>
      <c r="F9" s="458">
        <v>43922</v>
      </c>
      <c r="G9" s="458">
        <v>43952</v>
      </c>
      <c r="H9" s="458">
        <v>43983</v>
      </c>
      <c r="I9" s="458">
        <v>44013</v>
      </c>
      <c r="J9" s="458">
        <v>44044</v>
      </c>
      <c r="K9" s="458">
        <v>44075</v>
      </c>
      <c r="L9" s="458">
        <v>44105</v>
      </c>
      <c r="M9" s="458">
        <v>44136</v>
      </c>
      <c r="N9" s="458">
        <v>44166</v>
      </c>
      <c r="O9" s="459">
        <v>2020</v>
      </c>
    </row>
    <row r="10" spans="1:26" s="98" customFormat="1" ht="14" thickTop="1" thickBot="1">
      <c r="A10" s="269"/>
      <c r="B10" s="269"/>
      <c r="C10" s="994"/>
      <c r="D10" s="994"/>
      <c r="E10" s="994"/>
      <c r="F10" s="994"/>
      <c r="G10" s="994"/>
      <c r="H10" s="994"/>
      <c r="I10" s="463"/>
    </row>
    <row r="11" spans="1:26" s="98" customFormat="1" ht="13.5" thickBot="1">
      <c r="A11" s="269"/>
      <c r="B11" s="1484" t="s">
        <v>747</v>
      </c>
      <c r="C11" s="1485"/>
      <c r="D11" s="1485"/>
      <c r="E11" s="1485"/>
      <c r="F11" s="1485"/>
      <c r="G11" s="1485"/>
      <c r="H11" s="1485"/>
      <c r="I11" s="1485"/>
      <c r="J11" s="1485"/>
      <c r="K11" s="1485"/>
      <c r="L11" s="1485"/>
      <c r="M11" s="1485"/>
      <c r="N11" s="1485"/>
      <c r="O11" s="1486"/>
    </row>
    <row r="12" spans="1:26" s="120" customFormat="1" ht="13.5" thickBot="1">
      <c r="A12" s="461"/>
      <c r="B12" s="462"/>
      <c r="C12" s="462"/>
      <c r="D12" s="462"/>
      <c r="E12" s="462"/>
      <c r="F12" s="462"/>
      <c r="G12" s="462"/>
      <c r="H12" s="462"/>
      <c r="I12" s="463"/>
      <c r="L12" s="993"/>
      <c r="M12" s="993"/>
      <c r="N12" s="993"/>
    </row>
    <row r="13" spans="1:26" ht="15" thickBot="1">
      <c r="B13" s="331" t="s">
        <v>60</v>
      </c>
      <c r="C13" s="332">
        <f t="shared" ref="C13:H13" si="0">+C14+C15</f>
        <v>1445.4997207644151</v>
      </c>
      <c r="D13" s="332">
        <f t="shared" si="0"/>
        <v>3341.1744582614306</v>
      </c>
      <c r="E13" s="332">
        <f t="shared" si="0"/>
        <v>7612.6731590806048</v>
      </c>
      <c r="F13" s="332">
        <f t="shared" si="0"/>
        <v>8893.1844594195099</v>
      </c>
      <c r="G13" s="332">
        <f t="shared" si="0"/>
        <v>8451.856438993902</v>
      </c>
      <c r="H13" s="332">
        <f t="shared" si="0"/>
        <v>5236.5774456559584</v>
      </c>
      <c r="I13" s="332">
        <f t="shared" ref="I13:O13" si="1">+I14+I15</f>
        <v>1355.2931073150917</v>
      </c>
      <c r="J13" s="332">
        <f t="shared" si="1"/>
        <v>9562.8392521132082</v>
      </c>
      <c r="K13" s="332">
        <f t="shared" si="1"/>
        <v>691.36328685192177</v>
      </c>
      <c r="L13" s="332">
        <f t="shared" si="1"/>
        <v>4909.8797436886625</v>
      </c>
      <c r="M13" s="332">
        <f t="shared" si="1"/>
        <v>6178.2299214167651</v>
      </c>
      <c r="N13" s="332">
        <f t="shared" si="1"/>
        <v>5935.8975667080513</v>
      </c>
      <c r="O13" s="732">
        <f t="shared" si="1"/>
        <v>63614.468560269524</v>
      </c>
      <c r="P13" s="1012"/>
      <c r="Q13" s="1012"/>
      <c r="R13" s="463"/>
      <c r="S13" s="463"/>
      <c r="T13" s="463"/>
      <c r="U13" s="463"/>
      <c r="V13" s="463"/>
      <c r="W13" s="463"/>
      <c r="X13" s="463"/>
      <c r="Y13" s="463"/>
      <c r="Z13" s="463"/>
    </row>
    <row r="14" spans="1:26">
      <c r="A14" s="269"/>
      <c r="B14" s="464" t="s">
        <v>61</v>
      </c>
      <c r="C14" s="1250">
        <v>785.50829867134155</v>
      </c>
      <c r="D14" s="1250">
        <v>1326.0559287469268</v>
      </c>
      <c r="E14" s="1250">
        <v>4429.2674671909672</v>
      </c>
      <c r="F14" s="1250">
        <v>2672.9050360530091</v>
      </c>
      <c r="G14" s="1250">
        <v>2226.3677167441356</v>
      </c>
      <c r="H14" s="1250">
        <v>2364.6743323816677</v>
      </c>
      <c r="I14" s="1251">
        <v>233.74238250271307</v>
      </c>
      <c r="J14" s="1251">
        <v>1.3889644711578595</v>
      </c>
      <c r="K14" s="1251">
        <v>189.99916520577676</v>
      </c>
      <c r="L14" s="1251">
        <v>413.72401702980221</v>
      </c>
      <c r="M14" s="1251">
        <v>3853.7440520911591</v>
      </c>
      <c r="N14" s="1251">
        <v>867.35119792971022</v>
      </c>
      <c r="O14" s="125">
        <f>+SUM(C14:N14)</f>
        <v>19364.728559018367</v>
      </c>
      <c r="P14" s="1012"/>
      <c r="Q14" s="463"/>
      <c r="R14" s="463"/>
      <c r="S14" s="463"/>
      <c r="T14" s="463"/>
      <c r="U14" s="463"/>
      <c r="V14" s="463"/>
      <c r="W14" s="463"/>
    </row>
    <row r="15" spans="1:26">
      <c r="A15" s="269"/>
      <c r="B15" s="464" t="s">
        <v>62</v>
      </c>
      <c r="C15" s="1250">
        <v>659.99142209307342</v>
      </c>
      <c r="D15" s="1250">
        <v>2015.1185295145037</v>
      </c>
      <c r="E15" s="1250">
        <v>3183.4056918896376</v>
      </c>
      <c r="F15" s="1250">
        <v>6220.2794233665009</v>
      </c>
      <c r="G15" s="1250">
        <v>6225.4887222497655</v>
      </c>
      <c r="H15" s="1250">
        <v>2871.9031132742907</v>
      </c>
      <c r="I15" s="1251">
        <v>1121.5507248123786</v>
      </c>
      <c r="J15" s="1251">
        <v>9561.4502876420502</v>
      </c>
      <c r="K15" s="1251">
        <v>501.36412164614501</v>
      </c>
      <c r="L15" s="1251">
        <v>4496.1557266588607</v>
      </c>
      <c r="M15" s="1251">
        <v>2324.4858693256065</v>
      </c>
      <c r="N15" s="1251">
        <v>5068.5463687783413</v>
      </c>
      <c r="O15" s="125">
        <f>+SUM(C15:N15)</f>
        <v>44249.740001251157</v>
      </c>
      <c r="P15" s="1012"/>
      <c r="Q15" s="463"/>
      <c r="R15" s="1012"/>
      <c r="S15" s="1012"/>
      <c r="T15" s="1012"/>
      <c r="U15" s="463"/>
      <c r="V15" s="463"/>
      <c r="W15" s="463"/>
    </row>
    <row r="16" spans="1:26" s="120" customFormat="1" ht="13.5" thickBot="1">
      <c r="A16" s="269"/>
      <c r="B16" s="269"/>
      <c r="C16" s="994"/>
      <c r="D16" s="994"/>
      <c r="E16" s="994"/>
      <c r="F16" s="994"/>
      <c r="G16" s="994"/>
      <c r="H16" s="994"/>
      <c r="I16" s="460"/>
      <c r="J16" s="460"/>
      <c r="K16" s="460"/>
      <c r="L16" s="460"/>
      <c r="M16" s="460"/>
      <c r="N16" s="460"/>
      <c r="O16" s="460"/>
      <c r="P16" s="1012"/>
      <c r="Q16" s="463"/>
      <c r="R16" s="1012"/>
      <c r="S16" s="1012"/>
      <c r="T16" s="1012"/>
      <c r="U16" s="463"/>
      <c r="V16" s="463"/>
      <c r="W16" s="463"/>
    </row>
    <row r="17" spans="1:23" s="120" customFormat="1" ht="13.5" thickBot="1">
      <c r="A17" s="269"/>
      <c r="B17" s="126" t="s">
        <v>53</v>
      </c>
      <c r="C17" s="78">
        <f>+C18+C24+C30+C36+C31+C22</f>
        <v>243.57335022498452</v>
      </c>
      <c r="D17" s="78">
        <f t="shared" ref="D17:N17" si="2">+D18+D24+D30+D36+D31+D22</f>
        <v>177.06057111388628</v>
      </c>
      <c r="E17" s="78">
        <f t="shared" si="2"/>
        <v>1570.2076391687301</v>
      </c>
      <c r="F17" s="78">
        <f t="shared" si="2"/>
        <v>639.59713475694741</v>
      </c>
      <c r="G17" s="78">
        <f t="shared" si="2"/>
        <v>2115.6574225898703</v>
      </c>
      <c r="H17" s="78">
        <f t="shared" si="2"/>
        <v>178.60210103722511</v>
      </c>
      <c r="I17" s="78">
        <f t="shared" si="2"/>
        <v>258.79236760126128</v>
      </c>
      <c r="J17" s="78">
        <f t="shared" si="2"/>
        <v>150.28186048912031</v>
      </c>
      <c r="K17" s="78">
        <f t="shared" si="2"/>
        <v>254.02777446024513</v>
      </c>
      <c r="L17" s="78">
        <f t="shared" si="2"/>
        <v>138.9863767027642</v>
      </c>
      <c r="M17" s="78">
        <f t="shared" si="2"/>
        <v>178.63776629289632</v>
      </c>
      <c r="N17" s="78">
        <f t="shared" si="2"/>
        <v>4171.1211136557231</v>
      </c>
      <c r="O17" s="78">
        <f t="shared" ref="O17:O38" si="3">+SUM(C17:N17)</f>
        <v>10076.545478093654</v>
      </c>
      <c r="P17" s="1012"/>
      <c r="R17" s="1012"/>
      <c r="S17" s="1012"/>
      <c r="T17" s="1012"/>
      <c r="U17" s="463"/>
      <c r="V17" s="463"/>
      <c r="W17" s="463"/>
    </row>
    <row r="18" spans="1:23" s="120" customFormat="1">
      <c r="A18" s="269"/>
      <c r="B18" s="465" t="s">
        <v>63</v>
      </c>
      <c r="C18" s="1246">
        <f t="shared" ref="C18:N18" si="4">SUM(C19:C21)</f>
        <v>106.51254873000002</v>
      </c>
      <c r="D18" s="1246">
        <f t="shared" si="4"/>
        <v>139.60415517199999</v>
      </c>
      <c r="E18" s="1246">
        <f t="shared" si="4"/>
        <v>266.66061554353394</v>
      </c>
      <c r="F18" s="1246">
        <f t="shared" si="4"/>
        <v>114.67549330663716</v>
      </c>
      <c r="G18" s="1246">
        <f t="shared" si="4"/>
        <v>146.27600016999997</v>
      </c>
      <c r="H18" s="1246">
        <f t="shared" si="4"/>
        <v>169.31023791237911</v>
      </c>
      <c r="I18" s="79">
        <f t="shared" si="4"/>
        <v>106.51144673000002</v>
      </c>
      <c r="J18" s="79">
        <f t="shared" si="4"/>
        <v>140.39548263099999</v>
      </c>
      <c r="K18" s="79">
        <f t="shared" si="4"/>
        <v>239.58792453600003</v>
      </c>
      <c r="L18" s="79">
        <f t="shared" si="4"/>
        <v>111.95294592663717</v>
      </c>
      <c r="M18" s="79">
        <f t="shared" si="4"/>
        <v>146.37843535999997</v>
      </c>
      <c r="N18" s="79">
        <f t="shared" si="4"/>
        <v>165.68494749937912</v>
      </c>
      <c r="O18" s="79">
        <f t="shared" si="3"/>
        <v>1853.5502335175663</v>
      </c>
      <c r="P18" s="1012"/>
      <c r="R18" s="1012"/>
      <c r="S18" s="1012"/>
      <c r="T18" s="1012"/>
      <c r="U18" s="463"/>
      <c r="V18" s="463"/>
      <c r="W18" s="463"/>
    </row>
    <row r="19" spans="1:23" s="120" customFormat="1">
      <c r="A19" s="269"/>
      <c r="B19" s="466" t="s">
        <v>64</v>
      </c>
      <c r="C19" s="1247">
        <v>30.57680148</v>
      </c>
      <c r="D19" s="1247">
        <v>2.82987872</v>
      </c>
      <c r="E19" s="1247">
        <v>99.807269043533935</v>
      </c>
      <c r="F19" s="1247">
        <v>55.653629409999994</v>
      </c>
      <c r="G19" s="1247">
        <v>17.595637679999999</v>
      </c>
      <c r="H19" s="1247">
        <v>33.618539169999998</v>
      </c>
      <c r="I19" s="94">
        <v>30.57680148</v>
      </c>
      <c r="J19" s="94">
        <v>2.82987872</v>
      </c>
      <c r="K19" s="94">
        <v>74.074816526000021</v>
      </c>
      <c r="L19" s="1005">
        <v>52.564959909999999</v>
      </c>
      <c r="M19" s="1005">
        <v>17.608887679999999</v>
      </c>
      <c r="N19" s="1005">
        <v>33.618539169999998</v>
      </c>
      <c r="O19" s="94">
        <f t="shared" si="3"/>
        <v>451.35563898953399</v>
      </c>
      <c r="P19" s="1012"/>
      <c r="Q19" s="463"/>
      <c r="R19" s="1012"/>
      <c r="S19" s="1012"/>
      <c r="T19" s="1012"/>
      <c r="U19" s="463"/>
      <c r="V19" s="463"/>
      <c r="W19" s="463"/>
    </row>
    <row r="20" spans="1:23" s="120" customFormat="1">
      <c r="A20" s="269"/>
      <c r="B20" s="467" t="s">
        <v>65</v>
      </c>
      <c r="C20" s="1248">
        <v>53.888564550000012</v>
      </c>
      <c r="D20" s="1248">
        <v>46.075835382000008</v>
      </c>
      <c r="E20" s="1248">
        <v>140.0008047</v>
      </c>
      <c r="F20" s="1248">
        <v>44.525990770000007</v>
      </c>
      <c r="G20" s="1248">
        <v>96.436959669999979</v>
      </c>
      <c r="H20" s="1248">
        <v>51.294935464000005</v>
      </c>
      <c r="I20" s="83">
        <v>53.888564550000012</v>
      </c>
      <c r="J20" s="83">
        <v>46.86716284100001</v>
      </c>
      <c r="K20" s="83">
        <v>136.69912871000002</v>
      </c>
      <c r="L20" s="1006">
        <v>44.525990770000007</v>
      </c>
      <c r="M20" s="1006">
        <v>96.436959669999979</v>
      </c>
      <c r="N20" s="1006">
        <v>43.456021340000007</v>
      </c>
      <c r="O20" s="83">
        <f t="shared" si="3"/>
        <v>854.0969184170001</v>
      </c>
      <c r="P20" s="1012"/>
      <c r="Q20" s="463"/>
      <c r="R20" s="463"/>
      <c r="S20" s="463"/>
      <c r="T20" s="463"/>
      <c r="U20" s="463"/>
      <c r="V20" s="463"/>
      <c r="W20" s="463"/>
    </row>
    <row r="21" spans="1:23" s="120" customFormat="1">
      <c r="A21" s="269"/>
      <c r="B21" s="377" t="s">
        <v>66</v>
      </c>
      <c r="C21" s="378">
        <v>22.0471827</v>
      </c>
      <c r="D21" s="378">
        <v>90.698441070000001</v>
      </c>
      <c r="E21" s="378">
        <v>26.852541799999997</v>
      </c>
      <c r="F21" s="378">
        <v>14.49587312663717</v>
      </c>
      <c r="G21" s="378">
        <v>32.24340282</v>
      </c>
      <c r="H21" s="378">
        <v>84.396763278379098</v>
      </c>
      <c r="I21" s="82">
        <v>22.046080700000001</v>
      </c>
      <c r="J21" s="82">
        <v>90.698441070000001</v>
      </c>
      <c r="K21" s="82">
        <v>28.813979299999996</v>
      </c>
      <c r="L21" s="82">
        <v>14.86199524663717</v>
      </c>
      <c r="M21" s="82">
        <v>32.332588010000002</v>
      </c>
      <c r="N21" s="82">
        <v>88.610386989379109</v>
      </c>
      <c r="O21" s="82">
        <f t="shared" si="3"/>
        <v>548.09767611103246</v>
      </c>
      <c r="P21" s="1012"/>
      <c r="Q21" s="463"/>
      <c r="R21" s="463"/>
      <c r="S21" s="463"/>
      <c r="T21" s="463"/>
      <c r="U21" s="463"/>
      <c r="V21" s="463"/>
      <c r="W21" s="463"/>
    </row>
    <row r="22" spans="1:23" s="993" customFormat="1">
      <c r="A22" s="994"/>
      <c r="B22" s="361" t="s">
        <v>67</v>
      </c>
      <c r="C22" s="79">
        <f t="shared" ref="C22:H22" si="5">+C23</f>
        <v>0</v>
      </c>
      <c r="D22" s="79">
        <f t="shared" si="5"/>
        <v>16.812336352682834</v>
      </c>
      <c r="E22" s="79">
        <f t="shared" si="5"/>
        <v>0</v>
      </c>
      <c r="F22" s="79">
        <f t="shared" si="5"/>
        <v>0</v>
      </c>
      <c r="G22" s="79">
        <f t="shared" si="5"/>
        <v>0</v>
      </c>
      <c r="H22" s="79">
        <f t="shared" si="5"/>
        <v>0</v>
      </c>
      <c r="I22" s="79">
        <f>+I23</f>
        <v>0</v>
      </c>
      <c r="J22" s="79">
        <f t="shared" ref="J22:N22" si="6">+J23</f>
        <v>0</v>
      </c>
      <c r="K22" s="79">
        <f t="shared" si="6"/>
        <v>0</v>
      </c>
      <c r="L22" s="79">
        <f t="shared" si="6"/>
        <v>0</v>
      </c>
      <c r="M22" s="79">
        <f t="shared" si="6"/>
        <v>0</v>
      </c>
      <c r="N22" s="79">
        <f t="shared" si="6"/>
        <v>0</v>
      </c>
      <c r="O22" s="82">
        <f t="shared" si="3"/>
        <v>16.812336352682834</v>
      </c>
      <c r="P22" s="1012"/>
      <c r="Q22" s="1012"/>
      <c r="R22" s="1012"/>
      <c r="S22" s="1012"/>
      <c r="T22" s="1012"/>
      <c r="U22" s="1012"/>
      <c r="V22" s="1012"/>
      <c r="W22" s="1012"/>
    </row>
    <row r="23" spans="1:23" s="993" customFormat="1">
      <c r="A23" s="994"/>
      <c r="B23" s="467" t="s">
        <v>855</v>
      </c>
      <c r="C23" s="1248">
        <v>0</v>
      </c>
      <c r="D23" s="1248">
        <v>16.812336352682834</v>
      </c>
      <c r="E23" s="1248">
        <v>0</v>
      </c>
      <c r="F23" s="1248">
        <v>0</v>
      </c>
      <c r="G23" s="1248">
        <v>0</v>
      </c>
      <c r="H23" s="1248">
        <v>0</v>
      </c>
      <c r="I23" s="1252">
        <v>0</v>
      </c>
      <c r="J23" s="1252">
        <v>0</v>
      </c>
      <c r="K23" s="1252">
        <v>0</v>
      </c>
      <c r="L23" s="1253">
        <v>0</v>
      </c>
      <c r="M23" s="1253">
        <v>0</v>
      </c>
      <c r="N23" s="1253">
        <v>0</v>
      </c>
      <c r="O23" s="82">
        <f t="shared" si="3"/>
        <v>16.812336352682834</v>
      </c>
      <c r="P23" s="1012"/>
      <c r="Q23" s="1012"/>
      <c r="R23" s="1012"/>
      <c r="S23" s="1012"/>
      <c r="T23" s="1012"/>
      <c r="U23" s="1012"/>
      <c r="V23" s="1012"/>
      <c r="W23" s="1012"/>
    </row>
    <row r="24" spans="1:23" s="120" customFormat="1">
      <c r="A24" s="269"/>
      <c r="B24" s="361" t="s">
        <v>69</v>
      </c>
      <c r="C24" s="362">
        <f t="shared" ref="C24:H24" si="7">+C25+C28</f>
        <v>1.155135454539072E-2</v>
      </c>
      <c r="D24" s="362">
        <f t="shared" si="7"/>
        <v>0.76363058134468864</v>
      </c>
      <c r="E24" s="362">
        <f t="shared" si="7"/>
        <v>1.1843392718528399E-2</v>
      </c>
      <c r="F24" s="362">
        <f t="shared" si="7"/>
        <v>500.88828964448413</v>
      </c>
      <c r="G24" s="362">
        <f t="shared" si="7"/>
        <v>16.383312089364196</v>
      </c>
      <c r="H24" s="362">
        <f t="shared" si="7"/>
        <v>1.1893779531699782E-2</v>
      </c>
      <c r="I24" s="362">
        <f t="shared" ref="I24:N24" si="8">+I25+I28</f>
        <v>1.20342545629432E-2</v>
      </c>
      <c r="J24" s="362">
        <f t="shared" si="8"/>
        <v>0.78103441423933906</v>
      </c>
      <c r="K24" s="362">
        <f t="shared" si="8"/>
        <v>1.2103665255213088E-2</v>
      </c>
      <c r="L24" s="362">
        <f t="shared" si="8"/>
        <v>1.2239770916239557E-2</v>
      </c>
      <c r="M24" s="362">
        <f t="shared" si="8"/>
        <v>17.378145204960145</v>
      </c>
      <c r="N24" s="362">
        <f t="shared" si="8"/>
        <v>2003.5185146244505</v>
      </c>
      <c r="O24" s="362">
        <f t="shared" si="3"/>
        <v>2539.7845927763728</v>
      </c>
      <c r="P24" s="1012"/>
      <c r="Q24" s="463"/>
      <c r="R24" s="463"/>
      <c r="S24" s="463"/>
      <c r="T24" s="463"/>
      <c r="U24" s="463"/>
      <c r="V24" s="463"/>
      <c r="W24" s="463"/>
    </row>
    <row r="25" spans="1:23" s="469" customFormat="1">
      <c r="A25" s="269"/>
      <c r="B25" s="466" t="s">
        <v>72</v>
      </c>
      <c r="C25" s="989">
        <f t="shared" ref="C25:H25" si="9">+C26+C27</f>
        <v>0</v>
      </c>
      <c r="D25" s="989">
        <f t="shared" si="9"/>
        <v>0.25377672827448033</v>
      </c>
      <c r="E25" s="989">
        <f t="shared" si="9"/>
        <v>0</v>
      </c>
      <c r="F25" s="989">
        <f t="shared" si="9"/>
        <v>500.87653393438512</v>
      </c>
      <c r="G25" s="989">
        <f t="shared" si="9"/>
        <v>0.25377672827448033</v>
      </c>
      <c r="H25" s="989">
        <f t="shared" si="9"/>
        <v>0</v>
      </c>
      <c r="I25" s="345">
        <f t="shared" ref="I25:N25" si="10">+I26+I27</f>
        <v>0</v>
      </c>
      <c r="J25" s="345">
        <f t="shared" si="10"/>
        <v>0.25377672827448033</v>
      </c>
      <c r="K25" s="345">
        <f t="shared" si="10"/>
        <v>0</v>
      </c>
      <c r="L25" s="989">
        <f t="shared" si="10"/>
        <v>0</v>
      </c>
      <c r="M25" s="989">
        <f t="shared" si="10"/>
        <v>0.25377672827448033</v>
      </c>
      <c r="N25" s="989">
        <f t="shared" si="10"/>
        <v>2003.5061357375405</v>
      </c>
      <c r="O25" s="345">
        <f t="shared" si="3"/>
        <v>2505.3977765850236</v>
      </c>
      <c r="P25" s="1012"/>
      <c r="Q25" s="463"/>
      <c r="R25" s="463"/>
      <c r="S25" s="463"/>
      <c r="T25" s="463"/>
      <c r="U25" s="463"/>
      <c r="V25" s="463"/>
      <c r="W25" s="463"/>
    </row>
    <row r="26" spans="1:23" s="469" customFormat="1">
      <c r="A26" s="269"/>
      <c r="B26" s="468" t="s">
        <v>713</v>
      </c>
      <c r="C26" s="1249">
        <v>0</v>
      </c>
      <c r="D26" s="1249">
        <v>0</v>
      </c>
      <c r="E26" s="1249">
        <v>0</v>
      </c>
      <c r="F26" s="1249">
        <v>0</v>
      </c>
      <c r="G26" s="1249">
        <v>0</v>
      </c>
      <c r="H26" s="1249">
        <v>0</v>
      </c>
      <c r="I26" s="1253">
        <v>0</v>
      </c>
      <c r="J26" s="1253">
        <v>0</v>
      </c>
      <c r="K26" s="1253">
        <v>0</v>
      </c>
      <c r="L26" s="1253">
        <v>0</v>
      </c>
      <c r="M26" s="1253">
        <v>0</v>
      </c>
      <c r="N26" s="1253">
        <v>2003.5061357375405</v>
      </c>
      <c r="O26" s="82">
        <f t="shared" si="3"/>
        <v>2003.5061357375405</v>
      </c>
      <c r="P26" s="1012"/>
      <c r="Q26" s="463"/>
      <c r="R26" s="463"/>
      <c r="S26" s="463"/>
      <c r="T26" s="463"/>
      <c r="U26" s="463"/>
      <c r="V26" s="463"/>
      <c r="W26" s="463"/>
    </row>
    <row r="27" spans="1:23" s="120" customFormat="1">
      <c r="A27" s="269"/>
      <c r="B27" s="470" t="s">
        <v>99</v>
      </c>
      <c r="C27" s="1254">
        <v>0</v>
      </c>
      <c r="D27" s="1254">
        <v>0.25377672827448033</v>
      </c>
      <c r="E27" s="1254">
        <v>0</v>
      </c>
      <c r="F27" s="1254">
        <v>500.87653393438512</v>
      </c>
      <c r="G27" s="1254">
        <v>0.25377672827448033</v>
      </c>
      <c r="H27" s="1254">
        <v>0</v>
      </c>
      <c r="I27" s="1255">
        <v>0</v>
      </c>
      <c r="J27" s="1255">
        <v>0.25377672827448033</v>
      </c>
      <c r="K27" s="1255">
        <v>0</v>
      </c>
      <c r="L27" s="1255">
        <v>0</v>
      </c>
      <c r="M27" s="1255">
        <v>0.25377672827448033</v>
      </c>
      <c r="N27" s="1255">
        <v>0</v>
      </c>
      <c r="O27" s="128">
        <f t="shared" si="3"/>
        <v>501.89164084748307</v>
      </c>
      <c r="P27" s="1012"/>
      <c r="Q27" s="463"/>
      <c r="R27" s="463"/>
      <c r="S27" s="463"/>
      <c r="T27" s="463"/>
      <c r="U27" s="463"/>
      <c r="V27" s="463"/>
      <c r="W27" s="463"/>
    </row>
    <row r="28" spans="1:23" s="120" customFormat="1">
      <c r="A28" s="269"/>
      <c r="B28" s="467" t="s">
        <v>70</v>
      </c>
      <c r="C28" s="1000">
        <f t="shared" ref="C28:H28" si="11">+C29</f>
        <v>1.155135454539072E-2</v>
      </c>
      <c r="D28" s="1000">
        <f t="shared" si="11"/>
        <v>0.50985385307020836</v>
      </c>
      <c r="E28" s="1000">
        <f t="shared" si="11"/>
        <v>1.1843392718528399E-2</v>
      </c>
      <c r="F28" s="1000">
        <f t="shared" si="11"/>
        <v>1.1755710098995998E-2</v>
      </c>
      <c r="G28" s="1000">
        <f t="shared" si="11"/>
        <v>16.129535361089715</v>
      </c>
      <c r="H28" s="1000">
        <f t="shared" si="11"/>
        <v>1.1893779531699782E-2</v>
      </c>
      <c r="I28" s="343">
        <f>+I29</f>
        <v>1.20342545629432E-2</v>
      </c>
      <c r="J28" s="1000">
        <f t="shared" ref="J28:N28" si="12">+J29</f>
        <v>0.52725768596485867</v>
      </c>
      <c r="K28" s="1000">
        <f t="shared" si="12"/>
        <v>1.2103665255213088E-2</v>
      </c>
      <c r="L28" s="1000">
        <f t="shared" si="12"/>
        <v>1.2239770916239557E-2</v>
      </c>
      <c r="M28" s="1000">
        <f t="shared" si="12"/>
        <v>17.124368476685664</v>
      </c>
      <c r="N28" s="1000">
        <f t="shared" si="12"/>
        <v>1.2378886910061084E-2</v>
      </c>
      <c r="O28" s="343">
        <f t="shared" si="3"/>
        <v>34.386816191349524</v>
      </c>
      <c r="P28" s="1012"/>
      <c r="Q28" s="463"/>
      <c r="R28" s="463"/>
      <c r="S28" s="463"/>
      <c r="T28" s="463"/>
      <c r="U28" s="463"/>
      <c r="V28" s="463"/>
      <c r="W28" s="463"/>
    </row>
    <row r="29" spans="1:23" s="993" customFormat="1">
      <c r="A29" s="994"/>
      <c r="B29" s="470" t="s">
        <v>99</v>
      </c>
      <c r="C29" s="1254">
        <v>1.155135454539072E-2</v>
      </c>
      <c r="D29" s="1254">
        <v>0.50985385307020836</v>
      </c>
      <c r="E29" s="1254">
        <v>1.1843392718528399E-2</v>
      </c>
      <c r="F29" s="1254">
        <v>1.1755710098995998E-2</v>
      </c>
      <c r="G29" s="1254">
        <v>16.129535361089715</v>
      </c>
      <c r="H29" s="1254">
        <v>1.1893779531699782E-2</v>
      </c>
      <c r="I29" s="1255">
        <v>1.20342545629432E-2</v>
      </c>
      <c r="J29" s="1255">
        <v>0.52725768596485867</v>
      </c>
      <c r="K29" s="1255">
        <v>1.2103665255213088E-2</v>
      </c>
      <c r="L29" s="1255">
        <v>1.2239770916239557E-2</v>
      </c>
      <c r="M29" s="1255">
        <v>17.124368476685664</v>
      </c>
      <c r="N29" s="1255">
        <v>1.2378886910061084E-2</v>
      </c>
      <c r="O29" s="128">
        <f t="shared" si="3"/>
        <v>34.386816191349524</v>
      </c>
      <c r="P29" s="1012"/>
      <c r="Q29" s="1012"/>
      <c r="R29" s="1012"/>
      <c r="S29" s="1012"/>
      <c r="T29" s="1012"/>
      <c r="U29" s="1012"/>
      <c r="V29" s="1012"/>
      <c r="W29" s="1012"/>
    </row>
    <row r="30" spans="1:23" s="269" customFormat="1">
      <c r="B30" s="361" t="s">
        <v>71</v>
      </c>
      <c r="C30" s="1256">
        <v>111.18606993</v>
      </c>
      <c r="D30" s="1256">
        <v>0</v>
      </c>
      <c r="E30" s="1256">
        <v>1.2746468073077983</v>
      </c>
      <c r="F30" s="1256">
        <v>19.976344670145263</v>
      </c>
      <c r="G30" s="1256">
        <v>1948.8759057788661</v>
      </c>
      <c r="H30" s="1256">
        <v>0.42075657</v>
      </c>
      <c r="I30" s="1257">
        <v>149.97990109999998</v>
      </c>
      <c r="J30" s="1257">
        <v>0</v>
      </c>
      <c r="K30" s="1257">
        <v>0.12129997000000001</v>
      </c>
      <c r="L30" s="1257">
        <v>19.976344670145263</v>
      </c>
      <c r="M30" s="1257">
        <v>7.5957079423506126</v>
      </c>
      <c r="N30" s="1257">
        <v>0.42075657</v>
      </c>
      <c r="O30" s="80">
        <f t="shared" si="3"/>
        <v>2259.8277340088152</v>
      </c>
      <c r="P30" s="1012"/>
      <c r="Q30" s="463"/>
      <c r="R30" s="463"/>
      <c r="S30" s="463"/>
      <c r="T30" s="463"/>
      <c r="U30" s="463"/>
      <c r="V30" s="463"/>
      <c r="W30" s="463"/>
    </row>
    <row r="31" spans="1:23" s="469" customFormat="1">
      <c r="A31" s="994"/>
      <c r="B31" s="346" t="s">
        <v>371</v>
      </c>
      <c r="C31" s="989">
        <f>+C32+C34</f>
        <v>1.3114102299999999</v>
      </c>
      <c r="D31" s="989">
        <f t="shared" ref="D31:N31" si="13">+D32+D34</f>
        <v>12.885991669999999</v>
      </c>
      <c r="E31" s="989">
        <f t="shared" si="13"/>
        <v>1290.5918691042657</v>
      </c>
      <c r="F31" s="989">
        <f t="shared" si="13"/>
        <v>0</v>
      </c>
      <c r="G31" s="989">
        <f t="shared" si="13"/>
        <v>0</v>
      </c>
      <c r="H31" s="989">
        <f t="shared" si="13"/>
        <v>0</v>
      </c>
      <c r="I31" s="989">
        <f t="shared" si="13"/>
        <v>1.2677281499999999</v>
      </c>
      <c r="J31" s="989">
        <f t="shared" si="13"/>
        <v>0</v>
      </c>
      <c r="K31" s="989">
        <f t="shared" si="13"/>
        <v>0</v>
      </c>
      <c r="L31" s="989">
        <f t="shared" si="13"/>
        <v>0</v>
      </c>
      <c r="M31" s="989">
        <f t="shared" si="13"/>
        <v>0</v>
      </c>
      <c r="N31" s="989">
        <f t="shared" si="13"/>
        <v>1.2243234999999999</v>
      </c>
      <c r="O31" s="989">
        <f t="shared" ref="O31:O35" si="14">+SUM(C31:N31)</f>
        <v>1307.2813226542658</v>
      </c>
      <c r="P31" s="1012"/>
      <c r="Q31" s="1012"/>
      <c r="R31" s="1012"/>
      <c r="S31" s="1012"/>
      <c r="T31" s="1012"/>
      <c r="U31" s="1012"/>
      <c r="V31" s="1012"/>
      <c r="W31" s="1012"/>
    </row>
    <row r="32" spans="1:23" s="994" customFormat="1">
      <c r="B32" s="466" t="s">
        <v>949</v>
      </c>
      <c r="C32" s="989">
        <f>+C33</f>
        <v>0</v>
      </c>
      <c r="D32" s="989">
        <f t="shared" ref="D32:N32" si="15">+D33</f>
        <v>0</v>
      </c>
      <c r="E32" s="989">
        <f t="shared" si="15"/>
        <v>1290.5918691042657</v>
      </c>
      <c r="F32" s="989">
        <f t="shared" si="15"/>
        <v>0</v>
      </c>
      <c r="G32" s="989">
        <f t="shared" si="15"/>
        <v>0</v>
      </c>
      <c r="H32" s="989">
        <f t="shared" si="15"/>
        <v>0</v>
      </c>
      <c r="I32" s="989">
        <f t="shared" si="15"/>
        <v>0</v>
      </c>
      <c r="J32" s="989">
        <f t="shared" si="15"/>
        <v>0</v>
      </c>
      <c r="K32" s="989">
        <f t="shared" si="15"/>
        <v>0</v>
      </c>
      <c r="L32" s="989">
        <f t="shared" si="15"/>
        <v>0</v>
      </c>
      <c r="M32" s="989">
        <f t="shared" si="15"/>
        <v>0</v>
      </c>
      <c r="N32" s="989">
        <f t="shared" si="15"/>
        <v>0</v>
      </c>
      <c r="O32" s="989">
        <f t="shared" si="14"/>
        <v>1290.5918691042657</v>
      </c>
      <c r="P32" s="1012"/>
      <c r="Q32" s="1012"/>
      <c r="R32" s="1012"/>
      <c r="S32" s="1012"/>
      <c r="T32" s="1012"/>
      <c r="U32" s="1012"/>
      <c r="V32" s="1012"/>
      <c r="W32" s="1012"/>
    </row>
    <row r="33" spans="1:23" s="994" customFormat="1">
      <c r="B33" s="470" t="s">
        <v>950</v>
      </c>
      <c r="C33" s="381">
        <v>0</v>
      </c>
      <c r="D33" s="381">
        <v>0</v>
      </c>
      <c r="E33" s="381">
        <v>1290.5918691042657</v>
      </c>
      <c r="F33" s="381">
        <v>0</v>
      </c>
      <c r="G33" s="381">
        <v>0</v>
      </c>
      <c r="H33" s="381">
        <v>0</v>
      </c>
      <c r="I33" s="381">
        <v>0</v>
      </c>
      <c r="J33" s="381">
        <v>0</v>
      </c>
      <c r="K33" s="381">
        <v>0</v>
      </c>
      <c r="L33" s="381">
        <v>0</v>
      </c>
      <c r="M33" s="381">
        <v>0</v>
      </c>
      <c r="N33" s="381">
        <v>0</v>
      </c>
      <c r="O33" s="381">
        <f t="shared" si="14"/>
        <v>1290.5918691042657</v>
      </c>
      <c r="P33" s="1012"/>
      <c r="Q33" s="1012"/>
      <c r="R33" s="1012"/>
      <c r="S33" s="1012"/>
      <c r="T33" s="1012"/>
      <c r="U33" s="1012"/>
      <c r="V33" s="1012"/>
      <c r="W33" s="1012"/>
    </row>
    <row r="34" spans="1:23" s="994" customFormat="1">
      <c r="B34" s="466" t="s">
        <v>70</v>
      </c>
      <c r="C34" s="989">
        <f>+C35</f>
        <v>1.3114102299999999</v>
      </c>
      <c r="D34" s="989">
        <f t="shared" ref="D34:N34" si="16">+D35</f>
        <v>12.885991669999999</v>
      </c>
      <c r="E34" s="989">
        <f t="shared" si="16"/>
        <v>0</v>
      </c>
      <c r="F34" s="989">
        <f t="shared" si="16"/>
        <v>0</v>
      </c>
      <c r="G34" s="989">
        <f t="shared" si="16"/>
        <v>0</v>
      </c>
      <c r="H34" s="989">
        <f t="shared" si="16"/>
        <v>0</v>
      </c>
      <c r="I34" s="989">
        <f t="shared" si="16"/>
        <v>1.2677281499999999</v>
      </c>
      <c r="J34" s="989">
        <f t="shared" si="16"/>
        <v>0</v>
      </c>
      <c r="K34" s="989">
        <f t="shared" si="16"/>
        <v>0</v>
      </c>
      <c r="L34" s="989">
        <f t="shared" si="16"/>
        <v>0</v>
      </c>
      <c r="M34" s="989">
        <f t="shared" si="16"/>
        <v>0</v>
      </c>
      <c r="N34" s="989">
        <f t="shared" si="16"/>
        <v>1.2243234999999999</v>
      </c>
      <c r="O34" s="989">
        <f t="shared" si="14"/>
        <v>16.68945355</v>
      </c>
      <c r="P34" s="1012"/>
      <c r="Q34" s="1012"/>
      <c r="R34" s="1012"/>
      <c r="S34" s="1012"/>
      <c r="T34" s="1012"/>
      <c r="U34" s="1012"/>
      <c r="V34" s="1012"/>
      <c r="W34" s="1012"/>
    </row>
    <row r="35" spans="1:23" s="994" customFormat="1">
      <c r="B35" s="470" t="s">
        <v>951</v>
      </c>
      <c r="C35" s="381">
        <v>1.3114102299999999</v>
      </c>
      <c r="D35" s="381">
        <v>12.885991669999999</v>
      </c>
      <c r="E35" s="381">
        <v>0</v>
      </c>
      <c r="F35" s="381">
        <v>0</v>
      </c>
      <c r="G35" s="381">
        <v>0</v>
      </c>
      <c r="H35" s="381">
        <v>0</v>
      </c>
      <c r="I35" s="381">
        <v>1.2677281499999999</v>
      </c>
      <c r="J35" s="381">
        <v>0</v>
      </c>
      <c r="K35" s="381">
        <v>0</v>
      </c>
      <c r="L35" s="381">
        <v>0</v>
      </c>
      <c r="M35" s="381">
        <v>0</v>
      </c>
      <c r="N35" s="381">
        <v>1.2243234999999999</v>
      </c>
      <c r="O35" s="381">
        <f t="shared" si="14"/>
        <v>16.68945355</v>
      </c>
      <c r="P35" s="1012"/>
      <c r="Q35" s="1012"/>
      <c r="R35" s="1012"/>
      <c r="S35" s="1012"/>
      <c r="T35" s="1012"/>
      <c r="U35" s="1012"/>
      <c r="V35" s="1012"/>
      <c r="W35" s="1012"/>
    </row>
    <row r="36" spans="1:23" s="469" customFormat="1">
      <c r="A36" s="269"/>
      <c r="B36" s="346" t="s">
        <v>824</v>
      </c>
      <c r="C36" s="989">
        <f t="shared" ref="C36:H36" si="17">+C37+C38</f>
        <v>24.551769980439097</v>
      </c>
      <c r="D36" s="989">
        <f t="shared" si="17"/>
        <v>6.9944573378587531</v>
      </c>
      <c r="E36" s="989">
        <f t="shared" si="17"/>
        <v>11.668664320904083</v>
      </c>
      <c r="F36" s="989">
        <f t="shared" si="17"/>
        <v>4.0570071356807746</v>
      </c>
      <c r="G36" s="989">
        <f t="shared" si="17"/>
        <v>4.1222045516403707</v>
      </c>
      <c r="H36" s="989">
        <f t="shared" si="17"/>
        <v>8.8592127753142993</v>
      </c>
      <c r="I36" s="345">
        <f t="shared" ref="I36:N36" si="18">+I37+I38</f>
        <v>1.0212573666983888</v>
      </c>
      <c r="J36" s="345">
        <f t="shared" si="18"/>
        <v>9.1053434438809582</v>
      </c>
      <c r="K36" s="345">
        <f t="shared" si="18"/>
        <v>14.3064462889899</v>
      </c>
      <c r="L36" s="989">
        <f t="shared" si="18"/>
        <v>7.0448463350655306</v>
      </c>
      <c r="M36" s="989">
        <f t="shared" si="18"/>
        <v>7.2854777855856074</v>
      </c>
      <c r="N36" s="989">
        <f t="shared" si="18"/>
        <v>2000.2725714618944</v>
      </c>
      <c r="O36" s="345">
        <f t="shared" si="3"/>
        <v>2099.2892587839519</v>
      </c>
      <c r="P36" s="1012"/>
      <c r="Q36" s="463"/>
      <c r="R36" s="463"/>
      <c r="S36" s="463"/>
      <c r="T36" s="463"/>
      <c r="U36" s="463"/>
      <c r="V36" s="463"/>
      <c r="W36" s="463"/>
    </row>
    <row r="37" spans="1:23" s="120" customFormat="1">
      <c r="A37" s="269"/>
      <c r="B37" s="346" t="s">
        <v>72</v>
      </c>
      <c r="C37" s="989">
        <v>24.419044060439099</v>
      </c>
      <c r="D37" s="989">
        <v>0.80582734785875276</v>
      </c>
      <c r="E37" s="989">
        <v>0.82864623090408207</v>
      </c>
      <c r="F37" s="989">
        <v>0.83652705568077468</v>
      </c>
      <c r="G37" s="989">
        <v>0.85608665164037057</v>
      </c>
      <c r="H37" s="989">
        <v>0.86849446531429997</v>
      </c>
      <c r="I37" s="1005">
        <v>0.88853144669838879</v>
      </c>
      <c r="J37" s="1005">
        <v>0.90167269388095828</v>
      </c>
      <c r="K37" s="1005">
        <v>0.91878989898989882</v>
      </c>
      <c r="L37" s="1005">
        <v>0.9396390850655314</v>
      </c>
      <c r="M37" s="1005">
        <v>0.9539327155856081</v>
      </c>
      <c r="N37" s="1005">
        <v>699.94698011069363</v>
      </c>
      <c r="O37" s="94">
        <f t="shared" si="3"/>
        <v>733.16417176275138</v>
      </c>
      <c r="P37" s="1012"/>
      <c r="Q37" s="463"/>
      <c r="R37" s="463"/>
      <c r="S37" s="463"/>
      <c r="T37" s="463"/>
      <c r="U37" s="463"/>
      <c r="V37" s="463"/>
      <c r="W37" s="463"/>
    </row>
    <row r="38" spans="1:23" s="120" customFormat="1">
      <c r="A38" s="269"/>
      <c r="B38" s="348" t="s">
        <v>70</v>
      </c>
      <c r="C38" s="349">
        <v>0.13272592</v>
      </c>
      <c r="D38" s="349">
        <v>6.1886299900000008</v>
      </c>
      <c r="E38" s="349">
        <v>10.840018090000001</v>
      </c>
      <c r="F38" s="349">
        <v>3.2204800800000002</v>
      </c>
      <c r="G38" s="349">
        <v>3.2661178999999998</v>
      </c>
      <c r="H38" s="349">
        <v>7.9907183100000001</v>
      </c>
      <c r="I38" s="84">
        <v>0.13272592</v>
      </c>
      <c r="J38" s="84">
        <v>8.2036707500000006</v>
      </c>
      <c r="K38" s="84">
        <v>13.387656390000002</v>
      </c>
      <c r="L38" s="84">
        <v>6.1052072499999994</v>
      </c>
      <c r="M38" s="84">
        <v>6.3315450699999998</v>
      </c>
      <c r="N38" s="84">
        <v>1300.3255913512007</v>
      </c>
      <c r="O38" s="84">
        <f t="shared" si="3"/>
        <v>1366.1250870212007</v>
      </c>
      <c r="P38" s="1012"/>
      <c r="Q38" s="463"/>
      <c r="R38" s="463"/>
      <c r="S38" s="463"/>
      <c r="T38" s="463"/>
      <c r="U38" s="463"/>
      <c r="V38" s="463"/>
      <c r="W38" s="463"/>
    </row>
    <row r="39" spans="1:23" s="120" customFormat="1" ht="13.5" thickBot="1">
      <c r="A39" s="269"/>
      <c r="B39" s="350"/>
      <c r="C39" s="350"/>
      <c r="D39" s="350"/>
      <c r="E39" s="350"/>
      <c r="F39" s="350"/>
      <c r="G39" s="350"/>
      <c r="H39" s="350"/>
      <c r="I39" s="81"/>
      <c r="J39" s="81"/>
      <c r="K39" s="81"/>
      <c r="L39" s="1009"/>
      <c r="M39" s="1009"/>
      <c r="N39" s="1009"/>
      <c r="O39" s="81"/>
      <c r="P39" s="1012"/>
      <c r="Q39" s="463"/>
      <c r="R39" s="463"/>
      <c r="S39" s="463"/>
      <c r="T39" s="463"/>
      <c r="U39" s="463"/>
      <c r="V39" s="463"/>
      <c r="W39" s="463"/>
    </row>
    <row r="40" spans="1:23" s="120" customFormat="1" ht="13.5" thickBot="1">
      <c r="A40" s="269"/>
      <c r="B40" s="796" t="s">
        <v>239</v>
      </c>
      <c r="C40" s="78">
        <v>422.40587695133149</v>
      </c>
      <c r="D40" s="78">
        <v>325.56974705735036</v>
      </c>
      <c r="E40" s="78">
        <v>1010.1010101010099</v>
      </c>
      <c r="F40" s="78">
        <v>511.72885883629681</v>
      </c>
      <c r="G40" s="78">
        <v>887.38625928708575</v>
      </c>
      <c r="H40" s="78">
        <v>679.52249770431592</v>
      </c>
      <c r="I40" s="78">
        <v>233.74238250271307</v>
      </c>
      <c r="J40" s="78">
        <v>0</v>
      </c>
      <c r="K40" s="78">
        <v>189.99916520577676</v>
      </c>
      <c r="L40" s="78">
        <v>413.72401702980221</v>
      </c>
      <c r="M40" s="78">
        <v>3853.7440520911591</v>
      </c>
      <c r="N40" s="78">
        <v>867.35119792971022</v>
      </c>
      <c r="O40" s="127">
        <f>+SUM(C40:N40)</f>
        <v>9395.2750646965524</v>
      </c>
      <c r="P40" s="1012"/>
      <c r="Q40" s="463"/>
      <c r="R40" s="463"/>
      <c r="S40" s="463"/>
      <c r="T40" s="463"/>
      <c r="U40" s="463"/>
      <c r="V40" s="463"/>
      <c r="W40" s="463"/>
    </row>
    <row r="41" spans="1:23" s="120" customFormat="1" ht="13.5" thickBot="1">
      <c r="A41" s="269"/>
      <c r="B41" s="269"/>
      <c r="C41" s="994"/>
      <c r="D41" s="994"/>
      <c r="E41" s="994"/>
      <c r="F41" s="994"/>
      <c r="G41" s="994"/>
      <c r="H41" s="994"/>
      <c r="I41" s="471"/>
      <c r="J41" s="471"/>
      <c r="K41" s="471"/>
      <c r="L41" s="471"/>
      <c r="M41" s="471"/>
      <c r="N41" s="471"/>
      <c r="O41" s="471"/>
      <c r="P41" s="1012"/>
      <c r="Q41" s="463"/>
      <c r="R41" s="463"/>
      <c r="S41" s="463"/>
      <c r="T41" s="463"/>
      <c r="U41" s="463"/>
      <c r="V41" s="463"/>
      <c r="W41" s="463"/>
    </row>
    <row r="42" spans="1:23" s="120" customFormat="1" ht="13.5" thickBot="1">
      <c r="A42" s="269"/>
      <c r="B42" s="126" t="s">
        <v>307</v>
      </c>
      <c r="C42" s="78">
        <f t="shared" ref="C42:N42" si="19">SUM(C43:C57)+C60</f>
        <v>779.52049358809916</v>
      </c>
      <c r="D42" s="78">
        <f t="shared" si="19"/>
        <v>2838.5441400901937</v>
      </c>
      <c r="E42" s="78">
        <f t="shared" si="19"/>
        <v>5032.3645098108645</v>
      </c>
      <c r="F42" s="78">
        <f t="shared" si="19"/>
        <v>7741.8584658262671</v>
      </c>
      <c r="G42" s="78">
        <f t="shared" si="19"/>
        <v>5448.8127571169443</v>
      </c>
      <c r="H42" s="78">
        <f t="shared" si="19"/>
        <v>4378.4528469144179</v>
      </c>
      <c r="I42" s="78">
        <f t="shared" si="19"/>
        <v>862.75835721111707</v>
      </c>
      <c r="J42" s="78">
        <f t="shared" si="19"/>
        <v>9412.5573916240864</v>
      </c>
      <c r="K42" s="78">
        <f t="shared" si="19"/>
        <v>247.33634718589991</v>
      </c>
      <c r="L42" s="78">
        <f t="shared" si="19"/>
        <v>4357.1693499560979</v>
      </c>
      <c r="M42" s="78">
        <f t="shared" si="19"/>
        <v>2145.8481030327102</v>
      </c>
      <c r="N42" s="78">
        <f t="shared" si="19"/>
        <v>897.42525512261739</v>
      </c>
      <c r="O42" s="78">
        <f>+SUM(C42:N42)</f>
        <v>44142.648017479311</v>
      </c>
      <c r="P42" s="1012"/>
      <c r="Q42" s="1012"/>
      <c r="R42" s="463"/>
      <c r="S42" s="463"/>
      <c r="T42" s="463"/>
      <c r="U42" s="463"/>
      <c r="V42" s="463"/>
      <c r="W42" s="463"/>
    </row>
    <row r="43" spans="1:23" s="993" customFormat="1">
      <c r="A43" s="994"/>
      <c r="B43" s="1010" t="s">
        <v>539</v>
      </c>
      <c r="C43" s="1011">
        <v>0</v>
      </c>
      <c r="D43" s="1011">
        <v>0</v>
      </c>
      <c r="E43" s="1011">
        <v>0</v>
      </c>
      <c r="F43" s="1011">
        <v>0</v>
      </c>
      <c r="G43" s="1011">
        <v>0</v>
      </c>
      <c r="H43" s="1011">
        <v>0</v>
      </c>
      <c r="I43" s="1011">
        <v>0</v>
      </c>
      <c r="J43" s="1011">
        <v>0</v>
      </c>
      <c r="K43" s="1011">
        <v>0</v>
      </c>
      <c r="L43" s="1011">
        <v>413.30853482124405</v>
      </c>
      <c r="M43" s="1011">
        <v>0</v>
      </c>
      <c r="N43" s="1011">
        <v>0</v>
      </c>
      <c r="O43" s="1011">
        <f t="shared" ref="O43:O74" si="20">+SUM(C43:N43)</f>
        <v>413.30853482124405</v>
      </c>
      <c r="P43" s="1012"/>
      <c r="Q43" s="1012"/>
      <c r="R43" s="1012"/>
      <c r="S43" s="1012"/>
      <c r="T43" s="1012"/>
      <c r="U43" s="1012"/>
      <c r="V43" s="1012"/>
      <c r="W43" s="1012"/>
    </row>
    <row r="44" spans="1:23" s="993" customFormat="1">
      <c r="A44" s="994"/>
      <c r="B44" s="1008" t="s">
        <v>387</v>
      </c>
      <c r="C44" s="1011">
        <v>0</v>
      </c>
      <c r="D44" s="1011">
        <v>0</v>
      </c>
      <c r="E44" s="1011">
        <v>279.28188102512729</v>
      </c>
      <c r="F44" s="1011">
        <v>0</v>
      </c>
      <c r="G44" s="1011">
        <v>0</v>
      </c>
      <c r="H44" s="1011">
        <v>0</v>
      </c>
      <c r="I44" s="1011">
        <v>0</v>
      </c>
      <c r="J44" s="1011">
        <v>0</v>
      </c>
      <c r="K44" s="1011">
        <v>0</v>
      </c>
      <c r="L44" s="1011">
        <v>0</v>
      </c>
      <c r="M44" s="1011">
        <v>0</v>
      </c>
      <c r="N44" s="1011">
        <v>0</v>
      </c>
      <c r="O44" s="1011">
        <f t="shared" si="20"/>
        <v>279.28188102512729</v>
      </c>
      <c r="P44" s="1012"/>
      <c r="Q44" s="1012"/>
      <c r="R44" s="1012"/>
      <c r="S44" s="1012"/>
      <c r="T44" s="1012"/>
      <c r="U44" s="1012"/>
      <c r="V44" s="1012"/>
      <c r="W44" s="1012"/>
    </row>
    <row r="45" spans="1:23" s="993" customFormat="1">
      <c r="A45" s="994"/>
      <c r="B45" s="1008" t="s">
        <v>690</v>
      </c>
      <c r="C45" s="1011">
        <v>0</v>
      </c>
      <c r="D45" s="1011">
        <v>0</v>
      </c>
      <c r="E45" s="1011">
        <v>0</v>
      </c>
      <c r="F45" s="1011">
        <v>0</v>
      </c>
      <c r="G45" s="1011">
        <v>0</v>
      </c>
      <c r="H45" s="1011">
        <v>0</v>
      </c>
      <c r="I45" s="1011">
        <v>0</v>
      </c>
      <c r="J45" s="1011">
        <v>0</v>
      </c>
      <c r="K45" s="1011">
        <v>0</v>
      </c>
      <c r="L45" s="1011">
        <v>0</v>
      </c>
      <c r="M45" s="1011">
        <v>0</v>
      </c>
      <c r="N45" s="1011">
        <v>591.44727917188402</v>
      </c>
      <c r="O45" s="1011">
        <f t="shared" si="20"/>
        <v>591.44727917188402</v>
      </c>
      <c r="P45" s="1012"/>
      <c r="Q45" s="1012"/>
      <c r="R45" s="1012"/>
      <c r="S45" s="1012"/>
      <c r="T45" s="1012"/>
      <c r="U45" s="1012"/>
      <c r="V45" s="1012"/>
      <c r="W45" s="1012"/>
    </row>
    <row r="46" spans="1:23" s="993" customFormat="1">
      <c r="A46" s="994"/>
      <c r="B46" s="1008" t="s">
        <v>379</v>
      </c>
      <c r="C46" s="1011">
        <v>0</v>
      </c>
      <c r="D46" s="1011">
        <v>0</v>
      </c>
      <c r="E46" s="1011">
        <v>0</v>
      </c>
      <c r="F46" s="1011">
        <v>0</v>
      </c>
      <c r="G46" s="1011">
        <v>0</v>
      </c>
      <c r="H46" s="1011">
        <v>0</v>
      </c>
      <c r="I46" s="1011">
        <v>0</v>
      </c>
      <c r="J46" s="1011">
        <v>0</v>
      </c>
      <c r="K46" s="1011">
        <v>0</v>
      </c>
      <c r="L46" s="1011">
        <v>2947.5606670000002</v>
      </c>
      <c r="M46" s="1011">
        <v>0</v>
      </c>
      <c r="N46" s="1011">
        <v>0</v>
      </c>
      <c r="O46" s="1011">
        <f t="shared" si="20"/>
        <v>2947.5606670000002</v>
      </c>
      <c r="P46" s="1012"/>
      <c r="Q46" s="1012"/>
      <c r="R46" s="1012"/>
      <c r="S46" s="1012"/>
      <c r="T46" s="1012"/>
      <c r="U46" s="1012"/>
      <c r="V46" s="1012"/>
      <c r="W46" s="1012"/>
    </row>
    <row r="47" spans="1:23" s="993" customFormat="1">
      <c r="A47" s="994"/>
      <c r="B47" s="1008" t="s">
        <v>631</v>
      </c>
      <c r="C47" s="1011">
        <v>0</v>
      </c>
      <c r="D47" s="1011">
        <v>0</v>
      </c>
      <c r="E47" s="1011">
        <v>0</v>
      </c>
      <c r="F47" s="1011">
        <v>0</v>
      </c>
      <c r="G47" s="1011">
        <v>1326.20572343</v>
      </c>
      <c r="H47" s="1011">
        <v>0</v>
      </c>
      <c r="I47" s="1011">
        <v>0</v>
      </c>
      <c r="J47" s="1011">
        <v>0</v>
      </c>
      <c r="K47" s="1011">
        <v>0</v>
      </c>
      <c r="L47" s="1011">
        <v>0</v>
      </c>
      <c r="M47" s="1011">
        <v>0</v>
      </c>
      <c r="N47" s="1011">
        <v>0</v>
      </c>
      <c r="O47" s="1011">
        <f t="shared" si="20"/>
        <v>1326.20572343</v>
      </c>
      <c r="P47" s="1012"/>
      <c r="Q47" s="1012"/>
      <c r="R47" s="1012"/>
      <c r="S47" s="1012"/>
      <c r="T47" s="1012"/>
      <c r="U47" s="1012"/>
      <c r="V47" s="1012"/>
      <c r="W47" s="1012"/>
    </row>
    <row r="48" spans="1:23" s="993" customFormat="1">
      <c r="A48" s="994"/>
      <c r="B48" s="1008" t="s">
        <v>510</v>
      </c>
      <c r="C48" s="1011">
        <v>0</v>
      </c>
      <c r="D48" s="1011">
        <v>0</v>
      </c>
      <c r="E48" s="1011">
        <v>0</v>
      </c>
      <c r="F48" s="1011">
        <v>5238.971027152289</v>
      </c>
      <c r="G48" s="1011">
        <v>0</v>
      </c>
      <c r="H48" s="1011">
        <v>0</v>
      </c>
      <c r="I48" s="1011">
        <v>0</v>
      </c>
      <c r="J48" s="1011">
        <v>0</v>
      </c>
      <c r="K48" s="1011">
        <v>0</v>
      </c>
      <c r="L48" s="1011">
        <v>0</v>
      </c>
      <c r="M48" s="1011">
        <v>0</v>
      </c>
      <c r="N48" s="1011">
        <v>0</v>
      </c>
      <c r="O48" s="1011">
        <f t="shared" si="20"/>
        <v>5238.971027152289</v>
      </c>
      <c r="P48" s="1012"/>
      <c r="Q48" s="1012"/>
      <c r="R48" s="1012"/>
      <c r="S48" s="1012"/>
      <c r="T48" s="1012"/>
      <c r="U48" s="1012"/>
      <c r="V48" s="1012"/>
      <c r="W48" s="1012"/>
    </row>
    <row r="49" spans="1:23" s="993" customFormat="1">
      <c r="A49" s="994"/>
      <c r="B49" s="1008" t="s">
        <v>656</v>
      </c>
      <c r="C49" s="1011">
        <v>4.7663671428332908</v>
      </c>
      <c r="D49" s="1011">
        <v>4.9240523045329319</v>
      </c>
      <c r="E49" s="1011">
        <v>4.6906522223891809</v>
      </c>
      <c r="F49" s="1011">
        <v>4.8469926970531754</v>
      </c>
      <c r="G49" s="1011">
        <v>4.874166713081225</v>
      </c>
      <c r="H49" s="1011">
        <v>4.9014930765506302</v>
      </c>
      <c r="I49" s="1011">
        <v>4.9289726416228392</v>
      </c>
      <c r="J49" s="1011">
        <v>4.95660626730111</v>
      </c>
      <c r="K49" s="1011">
        <v>4.9843948170965851</v>
      </c>
      <c r="L49" s="1011">
        <v>5.0123391596961344</v>
      </c>
      <c r="M49" s="1011">
        <v>5.0404401686284324</v>
      </c>
      <c r="N49" s="1011">
        <v>5.0686987219300441</v>
      </c>
      <c r="O49" s="1011">
        <f t="shared" si="20"/>
        <v>58.995175932715583</v>
      </c>
      <c r="P49" s="1012"/>
      <c r="Q49" s="1012"/>
      <c r="R49" s="1012"/>
      <c r="S49" s="1012"/>
      <c r="T49" s="1012"/>
      <c r="U49" s="1012"/>
      <c r="V49" s="1012"/>
      <c r="W49" s="1012"/>
    </row>
    <row r="50" spans="1:23" s="993" customFormat="1">
      <c r="A50" s="994"/>
      <c r="B50" s="1008" t="s">
        <v>810</v>
      </c>
      <c r="C50" s="1011">
        <v>52.688845610000001</v>
      </c>
      <c r="D50" s="1011">
        <v>52.688845612999998</v>
      </c>
      <c r="E50" s="1011">
        <v>52.688845612999998</v>
      </c>
      <c r="F50" s="1011">
        <v>52.688845612999998</v>
      </c>
      <c r="G50" s="1011">
        <v>52.688845612999998</v>
      </c>
      <c r="H50" s="1011">
        <v>52.688845612999998</v>
      </c>
      <c r="I50" s="1011">
        <v>52.688845612999998</v>
      </c>
      <c r="J50" s="1011">
        <v>52.688845612999998</v>
      </c>
      <c r="K50" s="1011">
        <v>52.847070373999998</v>
      </c>
      <c r="L50" s="1011">
        <v>52.847070373999998</v>
      </c>
      <c r="M50" s="1011">
        <v>52.847070373999998</v>
      </c>
      <c r="N50" s="1011">
        <v>52.847070373999998</v>
      </c>
      <c r="O50" s="1011">
        <f t="shared" si="20"/>
        <v>632.89904639699989</v>
      </c>
      <c r="P50" s="1012"/>
      <c r="Q50" s="1012"/>
      <c r="R50" s="1012"/>
      <c r="S50" s="1012"/>
      <c r="T50" s="1012"/>
      <c r="U50" s="1012"/>
      <c r="V50" s="1012"/>
      <c r="W50" s="1012"/>
    </row>
    <row r="51" spans="1:23" s="993" customFormat="1">
      <c r="A51" s="994"/>
      <c r="B51" s="1008" t="s">
        <v>682</v>
      </c>
      <c r="C51" s="1011">
        <v>0</v>
      </c>
      <c r="D51" s="1011">
        <v>0</v>
      </c>
      <c r="E51" s="1011">
        <v>0</v>
      </c>
      <c r="F51" s="1011">
        <v>0</v>
      </c>
      <c r="G51" s="1011">
        <v>0</v>
      </c>
      <c r="H51" s="1011">
        <v>0</v>
      </c>
      <c r="I51" s="1011">
        <v>0</v>
      </c>
      <c r="J51" s="1011">
        <v>0</v>
      </c>
      <c r="K51" s="1011">
        <v>0</v>
      </c>
      <c r="L51" s="1011">
        <v>0</v>
      </c>
      <c r="M51" s="1011">
        <v>2083.7910106352783</v>
      </c>
      <c r="N51" s="1011">
        <v>0</v>
      </c>
      <c r="O51" s="1011">
        <f t="shared" si="20"/>
        <v>2083.7910106352783</v>
      </c>
      <c r="P51" s="1012"/>
      <c r="Q51" s="1012"/>
      <c r="R51" s="1012"/>
      <c r="S51" s="1012"/>
      <c r="T51" s="1012"/>
      <c r="U51" s="1012"/>
      <c r="V51" s="1012"/>
      <c r="W51" s="1012"/>
    </row>
    <row r="52" spans="1:23" s="993" customFormat="1">
      <c r="A52" s="994"/>
      <c r="B52" s="1008" t="s">
        <v>569</v>
      </c>
      <c r="C52" s="1011">
        <v>0</v>
      </c>
      <c r="D52" s="1011">
        <v>0</v>
      </c>
      <c r="E52" s="1011">
        <v>0</v>
      </c>
      <c r="F52" s="1011">
        <v>0</v>
      </c>
      <c r="G52" s="1011">
        <v>0</v>
      </c>
      <c r="H52" s="1011">
        <v>2377.1319386927121</v>
      </c>
      <c r="I52" s="1011">
        <v>0</v>
      </c>
      <c r="J52" s="1011">
        <v>0</v>
      </c>
      <c r="K52" s="1011">
        <v>0</v>
      </c>
      <c r="L52" s="1011">
        <v>0</v>
      </c>
      <c r="M52" s="1011">
        <v>0</v>
      </c>
      <c r="N52" s="1011">
        <v>0</v>
      </c>
      <c r="O52" s="1011">
        <f t="shared" si="20"/>
        <v>2377.1319386927121</v>
      </c>
      <c r="P52" s="1012"/>
      <c r="Q52" s="1012"/>
      <c r="R52" s="1012"/>
      <c r="S52" s="1012"/>
      <c r="T52" s="1012"/>
      <c r="U52" s="1012"/>
      <c r="V52" s="1012"/>
      <c r="W52" s="1012"/>
    </row>
    <row r="53" spans="1:23" s="993" customFormat="1">
      <c r="A53" s="994"/>
      <c r="B53" s="1008" t="s">
        <v>704</v>
      </c>
      <c r="C53" s="1011">
        <v>0</v>
      </c>
      <c r="D53" s="1011">
        <v>1637.7714940000001</v>
      </c>
      <c r="E53" s="1011">
        <v>0</v>
      </c>
      <c r="F53" s="1011">
        <v>0</v>
      </c>
      <c r="G53" s="1011">
        <v>0</v>
      </c>
      <c r="H53" s="1011">
        <v>0</v>
      </c>
      <c r="I53" s="1011">
        <v>0</v>
      </c>
      <c r="J53" s="1011">
        <v>0</v>
      </c>
      <c r="K53" s="1011">
        <v>0</v>
      </c>
      <c r="L53" s="1011">
        <v>0</v>
      </c>
      <c r="M53" s="1011">
        <v>0</v>
      </c>
      <c r="N53" s="1011">
        <v>0</v>
      </c>
      <c r="O53" s="1011">
        <f t="shared" si="20"/>
        <v>1637.7714940000001</v>
      </c>
      <c r="P53" s="1012"/>
      <c r="Q53" s="1012"/>
      <c r="R53" s="1012"/>
      <c r="S53" s="1012"/>
      <c r="T53" s="1012"/>
      <c r="U53" s="1012"/>
      <c r="V53" s="1012"/>
      <c r="W53" s="1012"/>
    </row>
    <row r="54" spans="1:23" s="993" customFormat="1">
      <c r="A54" s="994"/>
      <c r="B54" s="1008" t="s">
        <v>619</v>
      </c>
      <c r="C54" s="1011">
        <v>0</v>
      </c>
      <c r="D54" s="1011">
        <v>0</v>
      </c>
      <c r="E54" s="1011">
        <v>1096.7152886057268</v>
      </c>
      <c r="F54" s="1011">
        <v>0</v>
      </c>
      <c r="G54" s="1011">
        <v>0</v>
      </c>
      <c r="H54" s="1011">
        <v>0</v>
      </c>
      <c r="I54" s="1011">
        <v>0</v>
      </c>
      <c r="J54" s="1011">
        <v>0</v>
      </c>
      <c r="K54" s="1011">
        <v>0</v>
      </c>
      <c r="L54" s="1011">
        <v>0</v>
      </c>
      <c r="M54" s="1011">
        <v>0</v>
      </c>
      <c r="N54" s="1011">
        <v>0</v>
      </c>
      <c r="O54" s="1011">
        <f t="shared" si="20"/>
        <v>1096.7152886057268</v>
      </c>
      <c r="P54" s="1012"/>
      <c r="Q54" s="1012"/>
      <c r="R54" s="1012"/>
      <c r="S54" s="1012"/>
      <c r="T54" s="1012"/>
      <c r="U54" s="1012"/>
      <c r="V54" s="1012"/>
      <c r="W54" s="1012"/>
    </row>
    <row r="55" spans="1:23" s="993" customFormat="1">
      <c r="A55" s="994"/>
      <c r="B55" s="1008" t="s">
        <v>702</v>
      </c>
      <c r="C55" s="1011">
        <v>0</v>
      </c>
      <c r="D55" s="1011">
        <v>0</v>
      </c>
      <c r="E55" s="1011">
        <v>0</v>
      </c>
      <c r="F55" s="1011">
        <v>0</v>
      </c>
      <c r="G55" s="1011">
        <v>2120.2848490000001</v>
      </c>
      <c r="H55" s="1011">
        <v>0</v>
      </c>
      <c r="I55" s="1011">
        <v>0</v>
      </c>
      <c r="J55" s="1011">
        <v>0</v>
      </c>
      <c r="K55" s="1011">
        <v>0</v>
      </c>
      <c r="L55" s="1011">
        <v>0</v>
      </c>
      <c r="M55" s="1011">
        <v>0</v>
      </c>
      <c r="N55" s="1011">
        <v>0</v>
      </c>
      <c r="O55" s="1011">
        <f t="shared" si="20"/>
        <v>2120.2848490000001</v>
      </c>
      <c r="P55" s="1012"/>
      <c r="Q55" s="1012"/>
      <c r="R55" s="1012"/>
      <c r="S55" s="1012"/>
      <c r="T55" s="1012"/>
      <c r="U55" s="1012"/>
      <c r="V55" s="1012"/>
      <c r="W55" s="1012"/>
    </row>
    <row r="56" spans="1:23" s="120" customFormat="1">
      <c r="A56" s="269"/>
      <c r="B56" s="1008" t="s">
        <v>566</v>
      </c>
      <c r="C56" s="1011">
        <v>0</v>
      </c>
      <c r="D56" s="1011">
        <v>0</v>
      </c>
      <c r="E56" s="1011">
        <v>0</v>
      </c>
      <c r="F56" s="1011">
        <v>0</v>
      </c>
      <c r="G56" s="1011">
        <v>0</v>
      </c>
      <c r="H56" s="1011">
        <v>0</v>
      </c>
      <c r="I56" s="1011">
        <v>0</v>
      </c>
      <c r="J56" s="1011">
        <v>0</v>
      </c>
      <c r="K56" s="1011">
        <v>0</v>
      </c>
      <c r="L56" s="1011">
        <v>0</v>
      </c>
      <c r="M56" s="1011">
        <v>0</v>
      </c>
      <c r="N56" s="1011">
        <v>243.89262500000001</v>
      </c>
      <c r="O56" s="1011">
        <f t="shared" si="20"/>
        <v>243.89262500000001</v>
      </c>
      <c r="P56" s="1012"/>
      <c r="Q56" s="463"/>
      <c r="R56" s="463"/>
      <c r="S56" s="463"/>
      <c r="T56" s="463"/>
      <c r="U56" s="463"/>
      <c r="V56" s="463"/>
      <c r="W56" s="463"/>
    </row>
    <row r="57" spans="1:23" s="120" customFormat="1">
      <c r="A57" s="269"/>
      <c r="B57" s="1008" t="s">
        <v>220</v>
      </c>
      <c r="C57" s="1011">
        <f t="shared" ref="C57:H57" si="21">+C58+C59</f>
        <v>692.45600851227243</v>
      </c>
      <c r="D57" s="1011">
        <f t="shared" si="21"/>
        <v>1138.9901663178573</v>
      </c>
      <c r="E57" s="1011">
        <f t="shared" si="21"/>
        <v>3594.8182604898184</v>
      </c>
      <c r="F57" s="1011">
        <f t="shared" si="21"/>
        <v>2430.121126761062</v>
      </c>
      <c r="G57" s="1011">
        <f t="shared" si="21"/>
        <v>1940.5895905060597</v>
      </c>
      <c r="H57" s="1011">
        <f t="shared" si="21"/>
        <v>1939.5609876773519</v>
      </c>
      <c r="I57" s="1011">
        <f t="shared" ref="I57:N57" si="22">+I58+I59</f>
        <v>789.91006535363181</v>
      </c>
      <c r="J57" s="1011">
        <f t="shared" si="22"/>
        <v>9350.742357888983</v>
      </c>
      <c r="K57" s="1011">
        <f t="shared" si="22"/>
        <v>185.33530013999999</v>
      </c>
      <c r="L57" s="1011">
        <f t="shared" si="22"/>
        <v>923.21026499829441</v>
      </c>
      <c r="M57" s="1011">
        <f t="shared" si="22"/>
        <v>0</v>
      </c>
      <c r="N57" s="1011">
        <f t="shared" si="22"/>
        <v>0</v>
      </c>
      <c r="O57" s="1011">
        <f t="shared" si="20"/>
        <v>22985.73412864533</v>
      </c>
      <c r="P57" s="1012"/>
      <c r="Q57" s="463"/>
      <c r="R57" s="463"/>
      <c r="S57" s="463"/>
      <c r="T57" s="463"/>
      <c r="U57" s="463"/>
      <c r="V57" s="463"/>
      <c r="W57" s="463"/>
    </row>
    <row r="58" spans="1:23" s="120" customFormat="1">
      <c r="A58" s="269"/>
      <c r="B58" s="1008" t="s">
        <v>72</v>
      </c>
      <c r="C58" s="1011">
        <v>638.18143851227239</v>
      </c>
      <c r="D58" s="1011">
        <v>1085.9198413178574</v>
      </c>
      <c r="E58" s="1011">
        <v>3319.8182604898184</v>
      </c>
      <c r="F58" s="1011">
        <v>1967.2234567610622</v>
      </c>
      <c r="G58" s="1011">
        <v>1556.0913755060596</v>
      </c>
      <c r="H58" s="1011">
        <v>1939.5609876773519</v>
      </c>
      <c r="I58" s="1011">
        <v>771.33033035363178</v>
      </c>
      <c r="J58" s="1011">
        <v>740.35056928898325</v>
      </c>
      <c r="K58" s="1011">
        <v>185.33530013999999</v>
      </c>
      <c r="L58" s="1011">
        <v>893.21946899829436</v>
      </c>
      <c r="M58" s="1011">
        <v>0</v>
      </c>
      <c r="N58" s="1011">
        <v>0</v>
      </c>
      <c r="O58" s="1011">
        <f t="shared" si="20"/>
        <v>13097.031029045331</v>
      </c>
      <c r="P58" s="1012"/>
      <c r="Q58" s="463"/>
      <c r="R58" s="463"/>
      <c r="S58" s="463"/>
      <c r="T58" s="463"/>
      <c r="U58" s="463"/>
      <c r="V58" s="463"/>
      <c r="W58" s="463"/>
    </row>
    <row r="59" spans="1:23" s="120" customFormat="1">
      <c r="A59" s="269"/>
      <c r="B59" s="350" t="s">
        <v>70</v>
      </c>
      <c r="C59" s="988">
        <v>54.274569999999997</v>
      </c>
      <c r="D59" s="988">
        <v>53.070324999999997</v>
      </c>
      <c r="E59" s="988">
        <v>275</v>
      </c>
      <c r="F59" s="988">
        <v>462.89767000000001</v>
      </c>
      <c r="G59" s="988">
        <v>384.49821500000002</v>
      </c>
      <c r="H59" s="988">
        <v>0</v>
      </c>
      <c r="I59" s="1009">
        <v>18.579734999999999</v>
      </c>
      <c r="J59" s="1009">
        <v>8610.3917885999999</v>
      </c>
      <c r="K59" s="1009">
        <v>0</v>
      </c>
      <c r="L59" s="1009">
        <v>29.990796</v>
      </c>
      <c r="M59" s="1009">
        <v>0</v>
      </c>
      <c r="N59" s="1009">
        <v>0</v>
      </c>
      <c r="O59" s="1011">
        <f t="shared" si="20"/>
        <v>9888.7030995999994</v>
      </c>
      <c r="P59" s="1012"/>
      <c r="Q59" s="463"/>
      <c r="R59" s="463"/>
      <c r="S59" s="463"/>
      <c r="T59" s="463"/>
      <c r="U59" s="463"/>
      <c r="V59" s="463"/>
      <c r="W59" s="463"/>
    </row>
    <row r="60" spans="1:23" s="120" customFormat="1">
      <c r="A60" s="269"/>
      <c r="B60" s="339" t="s">
        <v>344</v>
      </c>
      <c r="C60" s="1011">
        <f t="shared" ref="C60:H60" si="23">+C61+C68</f>
        <v>29.609272322993412</v>
      </c>
      <c r="D60" s="1011">
        <f t="shared" si="23"/>
        <v>4.169581854803333</v>
      </c>
      <c r="E60" s="1011">
        <f t="shared" si="23"/>
        <v>4.169581854803333</v>
      </c>
      <c r="F60" s="1011">
        <f t="shared" si="23"/>
        <v>15.230473602862435</v>
      </c>
      <c r="G60" s="1011">
        <f t="shared" si="23"/>
        <v>4.169581854803333</v>
      </c>
      <c r="H60" s="1011">
        <f t="shared" si="23"/>
        <v>4.169581854803333</v>
      </c>
      <c r="I60" s="340">
        <f>+I61+I68</f>
        <v>15.230473602862435</v>
      </c>
      <c r="J60" s="1011">
        <f t="shared" ref="J60:N60" si="24">+J61+J68</f>
        <v>4.169581854803333</v>
      </c>
      <c r="K60" s="1011">
        <f t="shared" si="24"/>
        <v>4.169581854803333</v>
      </c>
      <c r="L60" s="1011">
        <f t="shared" si="24"/>
        <v>15.230473602862435</v>
      </c>
      <c r="M60" s="1011">
        <f t="shared" si="24"/>
        <v>4.169581854803333</v>
      </c>
      <c r="N60" s="1011">
        <f t="shared" si="24"/>
        <v>4.169581854803333</v>
      </c>
      <c r="O60" s="1011">
        <f t="shared" si="20"/>
        <v>108.65734797000738</v>
      </c>
      <c r="P60" s="1012"/>
      <c r="Q60" s="463"/>
      <c r="R60" s="463"/>
      <c r="S60" s="463"/>
      <c r="T60" s="463"/>
      <c r="U60" s="463"/>
      <c r="V60" s="463"/>
      <c r="W60" s="463"/>
    </row>
    <row r="61" spans="1:23" s="120" customFormat="1">
      <c r="A61" s="269"/>
      <c r="B61" s="370" t="s">
        <v>80</v>
      </c>
      <c r="C61" s="371">
        <f t="shared" ref="C61:H61" si="25">+C62+C65</f>
        <v>16.364531172993413</v>
      </c>
      <c r="D61" s="371">
        <f t="shared" si="25"/>
        <v>4.169581854803333</v>
      </c>
      <c r="E61" s="371">
        <f t="shared" si="25"/>
        <v>4.169581854803333</v>
      </c>
      <c r="F61" s="371">
        <f t="shared" si="25"/>
        <v>15.230473602862435</v>
      </c>
      <c r="G61" s="371">
        <f t="shared" si="25"/>
        <v>4.169581854803333</v>
      </c>
      <c r="H61" s="371">
        <f t="shared" si="25"/>
        <v>4.169581854803333</v>
      </c>
      <c r="I61" s="371">
        <f>+I62+I65</f>
        <v>15.230473602862435</v>
      </c>
      <c r="J61" s="371">
        <f t="shared" ref="J61:N61" si="26">+J62+J65</f>
        <v>4.169581854803333</v>
      </c>
      <c r="K61" s="371">
        <f t="shared" si="26"/>
        <v>4.169581854803333</v>
      </c>
      <c r="L61" s="371">
        <f t="shared" si="26"/>
        <v>15.230473602862435</v>
      </c>
      <c r="M61" s="371">
        <f t="shared" si="26"/>
        <v>4.169581854803333</v>
      </c>
      <c r="N61" s="371">
        <f t="shared" si="26"/>
        <v>4.169581854803333</v>
      </c>
      <c r="O61" s="371">
        <f t="shared" si="20"/>
        <v>95.412606820007397</v>
      </c>
      <c r="P61" s="1012"/>
      <c r="Q61" s="463"/>
      <c r="R61" s="463"/>
      <c r="S61" s="463"/>
      <c r="T61" s="463"/>
      <c r="U61" s="463"/>
      <c r="V61" s="463"/>
      <c r="W61" s="463"/>
    </row>
    <row r="62" spans="1:23" s="120" customFormat="1">
      <c r="A62" s="269"/>
      <c r="B62" s="350" t="s">
        <v>82</v>
      </c>
      <c r="C62" s="1003">
        <f t="shared" ref="C62:H62" si="27">+C63+C64</f>
        <v>5.1539556174044678</v>
      </c>
      <c r="D62" s="1003">
        <f t="shared" si="27"/>
        <v>4.169581854803333</v>
      </c>
      <c r="E62" s="1003">
        <f t="shared" si="27"/>
        <v>4.169581854803333</v>
      </c>
      <c r="F62" s="1003">
        <f t="shared" si="27"/>
        <v>4.169581854803333</v>
      </c>
      <c r="G62" s="1003">
        <f t="shared" si="27"/>
        <v>4.169581854803333</v>
      </c>
      <c r="H62" s="1003">
        <f t="shared" si="27"/>
        <v>4.169581854803333</v>
      </c>
      <c r="I62" s="368">
        <f>+I63+I64</f>
        <v>4.169581854803333</v>
      </c>
      <c r="J62" s="1003">
        <f t="shared" ref="J62:N62" si="28">+J63+J64</f>
        <v>4.169581854803333</v>
      </c>
      <c r="K62" s="1003">
        <f t="shared" si="28"/>
        <v>4.169581854803333</v>
      </c>
      <c r="L62" s="1003">
        <f t="shared" si="28"/>
        <v>4.169581854803333</v>
      </c>
      <c r="M62" s="1003">
        <f t="shared" si="28"/>
        <v>4.169581854803333</v>
      </c>
      <c r="N62" s="1003">
        <f t="shared" si="28"/>
        <v>4.169581854803333</v>
      </c>
      <c r="O62" s="990">
        <f t="shared" si="20"/>
        <v>51.019356020241133</v>
      </c>
      <c r="P62" s="1012"/>
      <c r="Q62" s="463"/>
      <c r="R62" s="463"/>
      <c r="S62" s="463"/>
      <c r="T62" s="463"/>
      <c r="U62" s="463"/>
      <c r="V62" s="463"/>
      <c r="W62" s="463"/>
    </row>
    <row r="63" spans="1:23">
      <c r="A63" s="269"/>
      <c r="B63" s="350" t="s">
        <v>813</v>
      </c>
      <c r="C63" s="1258">
        <v>5.0244581765818346</v>
      </c>
      <c r="D63" s="1258">
        <v>4.169581854803333</v>
      </c>
      <c r="E63" s="1258">
        <v>4.169581854803333</v>
      </c>
      <c r="F63" s="1258">
        <v>4.169581854803333</v>
      </c>
      <c r="G63" s="1258">
        <v>4.169581854803333</v>
      </c>
      <c r="H63" s="1258">
        <v>4.169581854803333</v>
      </c>
      <c r="I63" s="1259">
        <v>4.169581854803333</v>
      </c>
      <c r="J63" s="1259">
        <v>4.169581854803333</v>
      </c>
      <c r="K63" s="1259">
        <v>4.169581854803333</v>
      </c>
      <c r="L63" s="1259">
        <v>4.169581854803333</v>
      </c>
      <c r="M63" s="1259">
        <v>4.169581854803333</v>
      </c>
      <c r="N63" s="1259">
        <v>4.169581854803333</v>
      </c>
      <c r="O63" s="990">
        <f t="shared" si="20"/>
        <v>50.889858579418501</v>
      </c>
      <c r="P63" s="1012"/>
      <c r="Q63" s="463"/>
      <c r="R63" s="463"/>
      <c r="S63" s="463"/>
      <c r="T63" s="463"/>
      <c r="U63" s="463"/>
      <c r="V63" s="463"/>
      <c r="W63" s="463"/>
    </row>
    <row r="64" spans="1:23">
      <c r="A64" s="994"/>
      <c r="B64" s="350" t="s">
        <v>85</v>
      </c>
      <c r="C64" s="1258">
        <v>0.12949744082263354</v>
      </c>
      <c r="D64" s="1258">
        <v>0</v>
      </c>
      <c r="E64" s="1258">
        <v>0</v>
      </c>
      <c r="F64" s="1258">
        <v>0</v>
      </c>
      <c r="G64" s="1258">
        <v>0</v>
      </c>
      <c r="H64" s="1258">
        <v>0</v>
      </c>
      <c r="I64" s="1259">
        <v>0</v>
      </c>
      <c r="J64" s="1259">
        <v>0</v>
      </c>
      <c r="K64" s="1259">
        <v>0</v>
      </c>
      <c r="L64" s="1259">
        <v>0</v>
      </c>
      <c r="M64" s="1259">
        <v>0</v>
      </c>
      <c r="N64" s="1259">
        <v>0</v>
      </c>
      <c r="O64" s="990">
        <f t="shared" si="20"/>
        <v>0.12949744082263354</v>
      </c>
      <c r="P64" s="1012"/>
      <c r="Q64" s="1012"/>
      <c r="R64" s="1012"/>
      <c r="S64" s="1012"/>
      <c r="T64" s="1012"/>
      <c r="U64" s="1012"/>
      <c r="V64" s="1012"/>
      <c r="W64" s="1012"/>
    </row>
    <row r="65" spans="1:23" s="120" customFormat="1">
      <c r="A65" s="269"/>
      <c r="B65" s="369" t="s">
        <v>86</v>
      </c>
      <c r="C65" s="1003">
        <f>+C66+C67</f>
        <v>11.210575555588946</v>
      </c>
      <c r="D65" s="1003">
        <f t="shared" ref="D65:N65" si="29">+D66+D67</f>
        <v>0</v>
      </c>
      <c r="E65" s="1003">
        <f t="shared" si="29"/>
        <v>0</v>
      </c>
      <c r="F65" s="1003">
        <f t="shared" si="29"/>
        <v>11.060891748059102</v>
      </c>
      <c r="G65" s="1003">
        <f t="shared" si="29"/>
        <v>0</v>
      </c>
      <c r="H65" s="1003">
        <f t="shared" si="29"/>
        <v>0</v>
      </c>
      <c r="I65" s="1003">
        <f t="shared" si="29"/>
        <v>11.060891748059102</v>
      </c>
      <c r="J65" s="1003">
        <f t="shared" si="29"/>
        <v>0</v>
      </c>
      <c r="K65" s="1003">
        <f t="shared" si="29"/>
        <v>0</v>
      </c>
      <c r="L65" s="1003">
        <f t="shared" si="29"/>
        <v>11.060891748059102</v>
      </c>
      <c r="M65" s="1003">
        <f t="shared" si="29"/>
        <v>0</v>
      </c>
      <c r="N65" s="1003">
        <f t="shared" si="29"/>
        <v>0</v>
      </c>
      <c r="O65" s="990">
        <f t="shared" si="20"/>
        <v>44.39325079976625</v>
      </c>
      <c r="P65" s="1012"/>
      <c r="Q65" s="463"/>
      <c r="R65" s="463"/>
      <c r="S65" s="463"/>
      <c r="T65" s="463"/>
      <c r="U65" s="463"/>
      <c r="V65" s="463"/>
      <c r="W65" s="463"/>
    </row>
    <row r="66" spans="1:23" s="120" customFormat="1">
      <c r="A66" s="269"/>
      <c r="B66" s="350" t="s">
        <v>813</v>
      </c>
      <c r="C66" s="1258">
        <v>11.063407397145003</v>
      </c>
      <c r="D66" s="1258">
        <v>0</v>
      </c>
      <c r="E66" s="1258">
        <v>0</v>
      </c>
      <c r="F66" s="1258">
        <v>11.060891748059102</v>
      </c>
      <c r="G66" s="1258">
        <v>0</v>
      </c>
      <c r="H66" s="1258">
        <v>0</v>
      </c>
      <c r="I66" s="1259">
        <v>11.060891748059102</v>
      </c>
      <c r="J66" s="1259">
        <v>0</v>
      </c>
      <c r="K66" s="1259">
        <v>0</v>
      </c>
      <c r="L66" s="1259">
        <v>11.060891748059102</v>
      </c>
      <c r="M66" s="1259">
        <v>0</v>
      </c>
      <c r="N66" s="1259">
        <v>0</v>
      </c>
      <c r="O66" s="990">
        <f t="shared" si="20"/>
        <v>44.246082641322317</v>
      </c>
      <c r="P66" s="1012"/>
      <c r="Q66" s="463"/>
      <c r="R66" s="463"/>
      <c r="S66" s="463"/>
      <c r="T66" s="463"/>
      <c r="U66" s="463"/>
      <c r="V66" s="463"/>
      <c r="W66" s="463"/>
    </row>
    <row r="67" spans="1:23" s="993" customFormat="1">
      <c r="A67" s="994"/>
      <c r="B67" s="350" t="s">
        <v>85</v>
      </c>
      <c r="C67" s="1258">
        <v>0.14716815844394357</v>
      </c>
      <c r="D67" s="1258">
        <v>0</v>
      </c>
      <c r="E67" s="1258">
        <v>0</v>
      </c>
      <c r="F67" s="1258">
        <v>0</v>
      </c>
      <c r="G67" s="1258">
        <v>0</v>
      </c>
      <c r="H67" s="1258">
        <v>0</v>
      </c>
      <c r="I67" s="1259">
        <v>0</v>
      </c>
      <c r="J67" s="1259">
        <v>0</v>
      </c>
      <c r="K67" s="1259">
        <v>0</v>
      </c>
      <c r="L67" s="1259">
        <v>0</v>
      </c>
      <c r="M67" s="1259">
        <v>0</v>
      </c>
      <c r="N67" s="1259">
        <v>0</v>
      </c>
      <c r="O67" s="990">
        <f t="shared" si="20"/>
        <v>0.14716815844394357</v>
      </c>
      <c r="P67" s="1012"/>
      <c r="Q67" s="1012"/>
      <c r="R67" s="1012"/>
      <c r="S67" s="1012"/>
      <c r="T67" s="1012"/>
      <c r="U67" s="1012"/>
      <c r="V67" s="1012"/>
      <c r="W67" s="1012"/>
    </row>
    <row r="68" spans="1:23" s="120" customFormat="1">
      <c r="A68" s="269"/>
      <c r="B68" s="474" t="s">
        <v>104</v>
      </c>
      <c r="C68" s="371">
        <f t="shared" ref="C68:H68" si="30">+C69+C70</f>
        <v>13.244741149999999</v>
      </c>
      <c r="D68" s="371">
        <f t="shared" si="30"/>
        <v>0</v>
      </c>
      <c r="E68" s="371">
        <f t="shared" si="30"/>
        <v>0</v>
      </c>
      <c r="F68" s="371">
        <f t="shared" si="30"/>
        <v>0</v>
      </c>
      <c r="G68" s="371">
        <f t="shared" si="30"/>
        <v>0</v>
      </c>
      <c r="H68" s="371">
        <f t="shared" si="30"/>
        <v>0</v>
      </c>
      <c r="I68" s="371">
        <f t="shared" ref="I68:N68" si="31">+I69+I70</f>
        <v>0</v>
      </c>
      <c r="J68" s="371">
        <f t="shared" si="31"/>
        <v>0</v>
      </c>
      <c r="K68" s="371">
        <f t="shared" si="31"/>
        <v>0</v>
      </c>
      <c r="L68" s="371">
        <f t="shared" si="31"/>
        <v>0</v>
      </c>
      <c r="M68" s="371">
        <f t="shared" si="31"/>
        <v>0</v>
      </c>
      <c r="N68" s="371">
        <f t="shared" si="31"/>
        <v>0</v>
      </c>
      <c r="O68" s="371">
        <f t="shared" si="20"/>
        <v>13.244741149999999</v>
      </c>
      <c r="P68" s="1012"/>
      <c r="Q68" s="463"/>
      <c r="R68" s="463"/>
      <c r="S68" s="463"/>
      <c r="T68" s="463"/>
      <c r="U68" s="463"/>
      <c r="V68" s="463"/>
      <c r="W68" s="463"/>
    </row>
    <row r="69" spans="1:23" s="120" customFormat="1">
      <c r="A69" s="269"/>
      <c r="B69" s="350" t="s">
        <v>813</v>
      </c>
      <c r="C69" s="1258">
        <v>3.0687630199999996</v>
      </c>
      <c r="D69" s="1258">
        <v>0</v>
      </c>
      <c r="E69" s="1258">
        <v>0</v>
      </c>
      <c r="F69" s="1258">
        <v>0</v>
      </c>
      <c r="G69" s="1258">
        <v>0</v>
      </c>
      <c r="H69" s="1258">
        <v>0</v>
      </c>
      <c r="I69" s="1259">
        <v>0</v>
      </c>
      <c r="J69" s="1259">
        <v>0</v>
      </c>
      <c r="K69" s="1259">
        <v>0</v>
      </c>
      <c r="L69" s="1259">
        <v>0</v>
      </c>
      <c r="M69" s="1259">
        <v>0</v>
      </c>
      <c r="N69" s="1259">
        <v>0</v>
      </c>
      <c r="O69" s="1259">
        <f t="shared" si="20"/>
        <v>3.0687630199999996</v>
      </c>
      <c r="P69" s="1012"/>
      <c r="Q69" s="463"/>
      <c r="R69" s="463"/>
      <c r="S69" s="463"/>
      <c r="T69" s="463"/>
      <c r="U69" s="463"/>
      <c r="V69" s="463"/>
      <c r="W69" s="463"/>
    </row>
    <row r="70" spans="1:23" s="120" customFormat="1">
      <c r="A70" s="269"/>
      <c r="B70" s="375" t="s">
        <v>85</v>
      </c>
      <c r="C70" s="1260">
        <v>10.175978130000001</v>
      </c>
      <c r="D70" s="1260">
        <v>0</v>
      </c>
      <c r="E70" s="1260">
        <v>0</v>
      </c>
      <c r="F70" s="1260">
        <v>0</v>
      </c>
      <c r="G70" s="1260">
        <v>0</v>
      </c>
      <c r="H70" s="1260">
        <v>0</v>
      </c>
      <c r="I70" s="1261">
        <v>0</v>
      </c>
      <c r="J70" s="1261">
        <v>0</v>
      </c>
      <c r="K70" s="1261">
        <v>0</v>
      </c>
      <c r="L70" s="1261">
        <v>0</v>
      </c>
      <c r="M70" s="1261">
        <v>0</v>
      </c>
      <c r="N70" s="1261">
        <v>0</v>
      </c>
      <c r="O70" s="1261">
        <f t="shared" si="20"/>
        <v>10.175978130000001</v>
      </c>
      <c r="P70" s="1012"/>
      <c r="Q70" s="463"/>
      <c r="R70" s="463"/>
      <c r="S70" s="463"/>
      <c r="T70" s="463"/>
      <c r="U70" s="463"/>
      <c r="V70" s="463"/>
      <c r="W70" s="463"/>
    </row>
    <row r="71" spans="1:23" s="120" customFormat="1">
      <c r="A71" s="269"/>
      <c r="B71" s="373"/>
      <c r="C71" s="373"/>
      <c r="D71" s="373"/>
      <c r="E71" s="373"/>
      <c r="F71" s="373"/>
      <c r="G71" s="373"/>
      <c r="H71" s="373"/>
      <c r="I71" s="86"/>
      <c r="J71" s="86"/>
      <c r="K71" s="86"/>
      <c r="L71" s="86"/>
      <c r="M71" s="86"/>
      <c r="N71" s="86"/>
      <c r="O71" s="86"/>
      <c r="P71" s="1012"/>
      <c r="Q71" s="463"/>
      <c r="R71" s="463"/>
      <c r="S71" s="463"/>
      <c r="T71" s="463"/>
      <c r="U71" s="463"/>
      <c r="V71" s="463"/>
      <c r="W71" s="463"/>
    </row>
    <row r="72" spans="1:23">
      <c r="A72" s="269"/>
      <c r="B72" s="337" t="s">
        <v>105</v>
      </c>
      <c r="C72" s="338">
        <f t="shared" ref="C72:H72" si="32">+C73+C74</f>
        <v>1158.8261034498698</v>
      </c>
      <c r="D72" s="338">
        <f t="shared" si="32"/>
        <v>3128.9155025763607</v>
      </c>
      <c r="E72" s="338">
        <f t="shared" si="32"/>
        <v>7058.8860352470447</v>
      </c>
      <c r="F72" s="338">
        <f t="shared" si="32"/>
        <v>8292.4027156526281</v>
      </c>
      <c r="G72" s="338">
        <f t="shared" si="32"/>
        <v>2506.3200923539443</v>
      </c>
      <c r="H72" s="338">
        <f t="shared" si="32"/>
        <v>5058.8438390840474</v>
      </c>
      <c r="I72" s="338">
        <f t="shared" ref="I72:N72" si="33">+I73+I74</f>
        <v>1078.8095361605285</v>
      </c>
      <c r="J72" s="338">
        <f t="shared" si="33"/>
        <v>803.32105244624313</v>
      </c>
      <c r="K72" s="338">
        <f t="shared" si="33"/>
        <v>438.25430229066654</v>
      </c>
      <c r="L72" s="338">
        <f t="shared" si="33"/>
        <v>1380.9730082497206</v>
      </c>
      <c r="M72" s="338">
        <f t="shared" si="33"/>
        <v>6000.7998645677289</v>
      </c>
      <c r="N72" s="338">
        <f t="shared" si="33"/>
        <v>4224.3369439005619</v>
      </c>
      <c r="O72" s="338">
        <f t="shared" si="20"/>
        <v>41130.688995979348</v>
      </c>
      <c r="P72" s="1012"/>
      <c r="Q72" s="463"/>
      <c r="R72" s="463"/>
      <c r="S72" s="463"/>
      <c r="T72" s="463"/>
      <c r="U72" s="463"/>
      <c r="V72" s="463"/>
      <c r="W72" s="463"/>
    </row>
    <row r="73" spans="1:23">
      <c r="A73" s="269"/>
      <c r="B73" s="339" t="s">
        <v>106</v>
      </c>
      <c r="C73" s="362">
        <v>5.1539556174044678</v>
      </c>
      <c r="D73" s="362">
        <v>133.09249013437358</v>
      </c>
      <c r="E73" s="362">
        <v>625.20089829888786</v>
      </c>
      <c r="F73" s="362">
        <v>5243.1406090070923</v>
      </c>
      <c r="G73" s="362">
        <v>4.169581854803333</v>
      </c>
      <c r="H73" s="362">
        <v>4.169581854803333</v>
      </c>
      <c r="I73" s="1007">
        <v>4.169581854803333</v>
      </c>
      <c r="J73" s="1007">
        <v>4.169581854803333</v>
      </c>
      <c r="K73" s="1007">
        <v>4.169581854803333</v>
      </c>
      <c r="L73" s="1007">
        <v>4.169581854803333</v>
      </c>
      <c r="M73" s="1007">
        <v>4.169581854803333</v>
      </c>
      <c r="N73" s="1007">
        <v>4.169581854803333</v>
      </c>
      <c r="O73" s="80">
        <f t="shared" si="20"/>
        <v>6039.9446078961846</v>
      </c>
      <c r="P73" s="1012"/>
      <c r="Q73" s="463"/>
      <c r="R73" s="463"/>
      <c r="S73" s="463"/>
      <c r="T73" s="463"/>
      <c r="U73" s="463"/>
      <c r="V73" s="463"/>
      <c r="W73" s="463"/>
    </row>
    <row r="74" spans="1:23">
      <c r="A74" s="269"/>
      <c r="B74" s="339" t="s">
        <v>542</v>
      </c>
      <c r="C74" s="362">
        <v>1153.6721478324653</v>
      </c>
      <c r="D74" s="362">
        <v>2995.823012441987</v>
      </c>
      <c r="E74" s="362">
        <v>6433.6851369481565</v>
      </c>
      <c r="F74" s="362">
        <v>3049.2621066455367</v>
      </c>
      <c r="G74" s="362">
        <v>2502.1505104991411</v>
      </c>
      <c r="H74" s="362">
        <v>5054.6742572292442</v>
      </c>
      <c r="I74" s="1007">
        <v>1074.6399543057253</v>
      </c>
      <c r="J74" s="1007">
        <v>799.15147059143976</v>
      </c>
      <c r="K74" s="1007">
        <v>434.08472043586323</v>
      </c>
      <c r="L74" s="1007">
        <v>1376.8034263949173</v>
      </c>
      <c r="M74" s="1007">
        <v>5996.6302827129257</v>
      </c>
      <c r="N74" s="1007">
        <v>4220.1673620457586</v>
      </c>
      <c r="O74" s="80">
        <f t="shared" si="20"/>
        <v>35090.744388083163</v>
      </c>
      <c r="P74" s="1012"/>
      <c r="Q74" s="463"/>
      <c r="R74" s="463"/>
      <c r="S74" s="463"/>
      <c r="T74" s="463"/>
      <c r="U74" s="463"/>
      <c r="V74" s="463"/>
      <c r="W74" s="463"/>
    </row>
    <row r="75" spans="1:23">
      <c r="A75" s="269"/>
      <c r="B75" s="337" t="s">
        <v>107</v>
      </c>
      <c r="C75" s="1262">
        <v>286.67361731454525</v>
      </c>
      <c r="D75" s="1262">
        <v>212.25895568507022</v>
      </c>
      <c r="E75" s="1262">
        <v>553.78712383356014</v>
      </c>
      <c r="F75" s="1262">
        <v>600.7817437668815</v>
      </c>
      <c r="G75" s="1262">
        <v>5945.5363466399558</v>
      </c>
      <c r="H75" s="1262">
        <v>177.7336065719108</v>
      </c>
      <c r="I75" s="123">
        <v>276.48357115456287</v>
      </c>
      <c r="J75" s="123">
        <v>8759.5181996669635</v>
      </c>
      <c r="K75" s="123">
        <v>253.10898456125523</v>
      </c>
      <c r="L75" s="123">
        <v>3528.9067354389422</v>
      </c>
      <c r="M75" s="123">
        <v>177.43005684903625</v>
      </c>
      <c r="N75" s="123">
        <v>1711.5606228074901</v>
      </c>
      <c r="O75" s="123">
        <f t="shared" ref="O75" si="34">+SUM(C75:N75)</f>
        <v>22483.779564290173</v>
      </c>
      <c r="P75" s="1012"/>
      <c r="Q75" s="463"/>
      <c r="R75" s="463"/>
      <c r="S75" s="463"/>
      <c r="T75" s="463"/>
      <c r="U75" s="463"/>
      <c r="V75" s="463"/>
      <c r="W75" s="463"/>
    </row>
    <row r="76" spans="1:23">
      <c r="A76" s="269"/>
      <c r="C76" s="1012"/>
      <c r="D76" s="1012"/>
      <c r="E76" s="1012"/>
      <c r="F76" s="1012"/>
      <c r="G76" s="1012"/>
      <c r="H76" s="1012"/>
      <c r="I76" s="1012"/>
      <c r="J76" s="1012"/>
      <c r="K76" s="1012"/>
      <c r="L76" s="1012"/>
      <c r="M76" s="1012"/>
      <c r="N76" s="1012"/>
      <c r="O76" s="1012"/>
    </row>
    <row r="77" spans="1:23">
      <c r="A77" s="269"/>
      <c r="B77" s="97" t="s">
        <v>345</v>
      </c>
      <c r="C77" s="471"/>
      <c r="D77" s="471"/>
      <c r="E77" s="471"/>
      <c r="F77" s="471"/>
      <c r="G77" s="471"/>
      <c r="H77" s="471"/>
      <c r="I77" s="471"/>
      <c r="J77" s="471"/>
      <c r="K77" s="471"/>
      <c r="L77" s="471"/>
      <c r="M77" s="471"/>
      <c r="N77" s="471"/>
      <c r="O77" s="471"/>
    </row>
    <row r="78" spans="1:23">
      <c r="C78" s="1012"/>
      <c r="D78" s="1012"/>
      <c r="E78" s="1012"/>
      <c r="F78" s="1012"/>
      <c r="G78" s="1012"/>
      <c r="H78" s="1012"/>
      <c r="I78" s="1012"/>
      <c r="J78" s="1012"/>
      <c r="K78" s="1012"/>
      <c r="L78" s="1012"/>
      <c r="M78" s="1012"/>
      <c r="N78" s="1012"/>
      <c r="O78" s="1012"/>
    </row>
    <row r="79" spans="1:23">
      <c r="C79" s="1012"/>
      <c r="D79" s="1012"/>
      <c r="E79" s="1012"/>
      <c r="F79" s="1012"/>
      <c r="G79" s="1012"/>
      <c r="H79" s="1012"/>
      <c r="I79" s="1012"/>
      <c r="J79" s="1012"/>
      <c r="K79" s="1012"/>
      <c r="L79" s="1012"/>
      <c r="M79" s="1012"/>
      <c r="N79" s="1012"/>
      <c r="O79" s="1012"/>
    </row>
    <row r="80" spans="1:23">
      <c r="C80" s="1012"/>
      <c r="D80" s="1012"/>
      <c r="E80" s="1012"/>
      <c r="F80" s="1012"/>
      <c r="G80" s="1012"/>
      <c r="H80" s="1012"/>
      <c r="I80" s="1012"/>
      <c r="J80" s="1012"/>
      <c r="K80" s="1012"/>
      <c r="L80" s="1012"/>
      <c r="M80" s="1012"/>
      <c r="N80" s="1012"/>
      <c r="O80" s="1012"/>
    </row>
    <row r="81" spans="3:15">
      <c r="C81" s="1012"/>
      <c r="D81" s="1012"/>
      <c r="E81" s="1012"/>
      <c r="F81" s="1012"/>
      <c r="G81" s="1012"/>
      <c r="H81" s="1012"/>
      <c r="I81" s="1012"/>
      <c r="J81" s="1012"/>
      <c r="K81" s="1012"/>
      <c r="L81" s="1012"/>
      <c r="M81" s="1012"/>
      <c r="N81" s="1012"/>
      <c r="O81" s="1012"/>
    </row>
    <row r="82" spans="3:15">
      <c r="C82" s="1012"/>
      <c r="D82" s="1012"/>
      <c r="E82" s="1012"/>
      <c r="F82" s="1012"/>
      <c r="G82" s="1012"/>
      <c r="H82" s="1012"/>
      <c r="I82" s="1012"/>
      <c r="J82" s="1012"/>
      <c r="K82" s="1012"/>
      <c r="L82" s="1012"/>
      <c r="M82" s="1012"/>
      <c r="N82" s="1012"/>
      <c r="O82" s="1012"/>
    </row>
    <row r="83" spans="3:15">
      <c r="C83" s="1012"/>
      <c r="D83" s="1012"/>
      <c r="E83" s="1012"/>
      <c r="F83" s="1012"/>
      <c r="G83" s="1012"/>
      <c r="H83" s="1012"/>
      <c r="I83" s="1012"/>
      <c r="J83" s="1012"/>
      <c r="K83" s="1012"/>
      <c r="L83" s="1012"/>
      <c r="M83" s="1012"/>
      <c r="N83" s="1012"/>
      <c r="O83" s="1012"/>
    </row>
    <row r="84" spans="3:15">
      <c r="C84" s="1012"/>
      <c r="D84" s="1012"/>
      <c r="E84" s="1012"/>
      <c r="F84" s="1012"/>
      <c r="G84" s="1012"/>
      <c r="H84" s="1012"/>
      <c r="I84" s="1012"/>
      <c r="J84" s="1012"/>
      <c r="K84" s="1012"/>
      <c r="L84" s="1012"/>
      <c r="M84" s="1012"/>
      <c r="N84" s="1012"/>
      <c r="O84" s="1012"/>
    </row>
    <row r="90" spans="3:15">
      <c r="I90" s="1012"/>
      <c r="J90" s="1012"/>
      <c r="K90" s="1012"/>
      <c r="L90" s="1012"/>
      <c r="M90" s="1012"/>
      <c r="N90" s="1012"/>
      <c r="O90" s="1012"/>
    </row>
  </sheetData>
  <sortState ref="B82:O123">
    <sortCondition ref="B82:B123"/>
  </sortState>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sheetPr>
    <tabColor theme="3" tint="0.79998168889431442"/>
    <pageSetUpPr fitToPage="1"/>
  </sheetPr>
  <dimension ref="A1:X148"/>
  <sheetViews>
    <sheetView showGridLines="0" zoomScaleNormal="100" zoomScaleSheetLayoutView="85" workbookViewId="0"/>
  </sheetViews>
  <sheetFormatPr baseColWidth="10" defaultColWidth="11.453125" defaultRowHeight="13"/>
  <cols>
    <col min="1" max="1" width="10.26953125" style="457" bestFit="1" customWidth="1"/>
    <col min="2" max="2" width="55.7265625" style="454" customWidth="1"/>
    <col min="3" max="15" width="16.26953125" style="454" customWidth="1"/>
    <col min="16" max="16" width="15.08984375" style="463" bestFit="1" customWidth="1"/>
    <col min="17" max="17" width="15.26953125" style="454" bestFit="1" customWidth="1"/>
    <col min="18" max="19" width="11.54296875" style="454" bestFit="1" customWidth="1"/>
    <col min="20" max="20" width="14.81640625" style="454" bestFit="1" customWidth="1"/>
    <col min="21" max="24" width="12.81640625" style="454" bestFit="1" customWidth="1"/>
    <col min="25" max="16384" width="11.453125" style="454"/>
  </cols>
  <sheetData>
    <row r="1" spans="1:24" ht="14.5">
      <c r="A1" s="734" t="s">
        <v>219</v>
      </c>
      <c r="B1" s="742"/>
    </row>
    <row r="2" spans="1:24" ht="15" customHeight="1">
      <c r="A2" s="691"/>
      <c r="B2" s="386" t="str">
        <f>+INDICE!B2</f>
        <v>MINISTERIO DE ECONOMÍA</v>
      </c>
      <c r="C2" s="463"/>
      <c r="D2" s="1012"/>
      <c r="E2" s="1012"/>
      <c r="F2" s="1012"/>
      <c r="G2" s="1012"/>
      <c r="H2" s="1012"/>
      <c r="I2" s="1012"/>
      <c r="J2" s="1012"/>
      <c r="K2" s="1012"/>
      <c r="L2" s="1012"/>
    </row>
    <row r="3" spans="1:24" ht="15" customHeight="1">
      <c r="A3" s="691"/>
      <c r="B3" s="270" t="s">
        <v>304</v>
      </c>
      <c r="C3" s="463"/>
      <c r="D3" s="1012"/>
      <c r="E3" s="1012"/>
      <c r="F3" s="1012"/>
      <c r="G3" s="1012"/>
      <c r="H3" s="1012"/>
      <c r="I3" s="1012"/>
      <c r="J3" s="1012"/>
      <c r="K3" s="1012"/>
      <c r="L3" s="1012"/>
    </row>
    <row r="4" spans="1:24" s="456" customFormat="1">
      <c r="A4" s="418"/>
      <c r="B4" s="455"/>
      <c r="C4" s="463"/>
      <c r="D4" s="1012"/>
      <c r="E4" s="1012"/>
      <c r="F4" s="1012"/>
      <c r="G4" s="1012"/>
      <c r="H4" s="1012"/>
      <c r="I4" s="1012"/>
      <c r="J4" s="1012"/>
      <c r="K4" s="1012"/>
      <c r="L4" s="1012"/>
      <c r="P4" s="789"/>
    </row>
    <row r="5" spans="1:24" s="456" customFormat="1" ht="13.5" thickBot="1">
      <c r="A5" s="418"/>
      <c r="B5" s="455"/>
      <c r="C5" s="463"/>
      <c r="D5" s="1012"/>
      <c r="E5" s="1012"/>
      <c r="F5" s="1012"/>
      <c r="G5" s="1012"/>
      <c r="H5" s="1012"/>
      <c r="I5" s="1012"/>
      <c r="J5" s="1012"/>
      <c r="K5" s="1012"/>
      <c r="L5" s="1012"/>
      <c r="P5" s="789"/>
    </row>
    <row r="6" spans="1:24" s="98" customFormat="1" ht="22.5" customHeight="1" thickBot="1">
      <c r="A6" s="269"/>
      <c r="B6" s="1181" t="s">
        <v>784</v>
      </c>
      <c r="C6" s="1182"/>
      <c r="D6" s="1182"/>
      <c r="E6" s="1182"/>
      <c r="F6" s="1182"/>
      <c r="G6" s="1182"/>
      <c r="H6" s="1182"/>
      <c r="I6" s="1182"/>
      <c r="J6" s="1182"/>
      <c r="K6" s="1182"/>
      <c r="L6" s="1182"/>
      <c r="M6" s="1182"/>
      <c r="N6" s="1182"/>
      <c r="O6" s="1183"/>
      <c r="P6" s="460"/>
    </row>
    <row r="7" spans="1:24" s="456" customFormat="1">
      <c r="A7" s="418"/>
      <c r="B7" s="418"/>
      <c r="C7" s="463"/>
      <c r="D7" s="1012"/>
      <c r="E7" s="1012"/>
      <c r="F7" s="1012"/>
      <c r="G7" s="1012"/>
      <c r="H7" s="1012"/>
      <c r="I7" s="1012"/>
      <c r="J7" s="1012"/>
      <c r="K7" s="1012"/>
      <c r="L7" s="1012"/>
      <c r="P7" s="789"/>
    </row>
    <row r="8" spans="1:24" s="98" customFormat="1" ht="13.5" thickBot="1">
      <c r="A8" s="269"/>
      <c r="B8" s="457" t="s">
        <v>915</v>
      </c>
      <c r="C8" s="457"/>
      <c r="D8" s="457"/>
      <c r="E8" s="457"/>
      <c r="F8" s="457"/>
      <c r="G8" s="457"/>
      <c r="H8" s="457"/>
      <c r="I8" s="1012"/>
      <c r="P8" s="460"/>
    </row>
    <row r="9" spans="1:24" s="98" customFormat="1" ht="14" thickTop="1" thickBot="1">
      <c r="A9" s="269"/>
      <c r="B9" s="458"/>
      <c r="C9" s="458">
        <v>43831</v>
      </c>
      <c r="D9" s="458">
        <v>43862</v>
      </c>
      <c r="E9" s="458">
        <v>43891</v>
      </c>
      <c r="F9" s="458">
        <v>43922</v>
      </c>
      <c r="G9" s="458">
        <v>43952</v>
      </c>
      <c r="H9" s="458">
        <v>43983</v>
      </c>
      <c r="I9" s="458">
        <v>44013</v>
      </c>
      <c r="J9" s="458">
        <v>44044</v>
      </c>
      <c r="K9" s="458">
        <v>44075</v>
      </c>
      <c r="L9" s="458">
        <v>44105</v>
      </c>
      <c r="M9" s="458">
        <v>44136</v>
      </c>
      <c r="N9" s="458">
        <v>44166</v>
      </c>
      <c r="O9" s="459">
        <v>2020</v>
      </c>
      <c r="P9" s="460"/>
    </row>
    <row r="10" spans="1:24" s="98" customFormat="1" ht="14" thickTop="1" thickBot="1">
      <c r="A10" s="269"/>
      <c r="B10" s="269"/>
      <c r="C10" s="460"/>
      <c r="D10" s="460"/>
      <c r="E10" s="460"/>
      <c r="F10" s="460"/>
      <c r="G10" s="460"/>
      <c r="H10" s="460"/>
      <c r="I10" s="460"/>
      <c r="J10" s="460"/>
      <c r="K10" s="460"/>
      <c r="L10" s="460"/>
      <c r="M10" s="460"/>
      <c r="N10" s="460"/>
      <c r="O10" s="460"/>
      <c r="P10" s="460"/>
    </row>
    <row r="11" spans="1:24" s="98" customFormat="1" ht="13.5" thickBot="1">
      <c r="A11" s="269"/>
      <c r="B11" s="1484" t="s">
        <v>747</v>
      </c>
      <c r="C11" s="1485"/>
      <c r="D11" s="1485"/>
      <c r="E11" s="1485"/>
      <c r="F11" s="1485"/>
      <c r="G11" s="1485"/>
      <c r="H11" s="1485"/>
      <c r="I11" s="1485"/>
      <c r="J11" s="1485"/>
      <c r="K11" s="1485"/>
      <c r="L11" s="1485"/>
      <c r="M11" s="1485"/>
      <c r="N11" s="1485"/>
      <c r="O11" s="1485"/>
      <c r="P11" s="460"/>
    </row>
    <row r="12" spans="1:24" s="120" customFormat="1" ht="13.5" thickBot="1">
      <c r="A12" s="461"/>
      <c r="B12" s="462"/>
      <c r="C12" s="782"/>
      <c r="D12" s="782"/>
      <c r="E12" s="782"/>
      <c r="F12" s="782"/>
      <c r="G12" s="782"/>
      <c r="H12" s="782"/>
      <c r="I12" s="782"/>
      <c r="J12" s="782"/>
      <c r="K12" s="782"/>
      <c r="L12" s="782"/>
      <c r="M12" s="782"/>
      <c r="N12" s="782"/>
      <c r="O12" s="782"/>
      <c r="P12" s="790"/>
    </row>
    <row r="13" spans="1:24" ht="15" thickBot="1">
      <c r="B13" s="331" t="s">
        <v>60</v>
      </c>
      <c r="C13" s="332">
        <f t="shared" ref="C13:O13" si="0">+C14+C15</f>
        <v>1335.5651306031418</v>
      </c>
      <c r="D13" s="332">
        <f t="shared" si="0"/>
        <v>730.70171776216057</v>
      </c>
      <c r="E13" s="332">
        <f t="shared" si="0"/>
        <v>1039.7569799029511</v>
      </c>
      <c r="F13" s="332">
        <f t="shared" si="0"/>
        <v>1538.322609750589</v>
      </c>
      <c r="G13" s="332">
        <f t="shared" si="0"/>
        <v>1478.1771598455268</v>
      </c>
      <c r="H13" s="332">
        <f t="shared" si="0"/>
        <v>2740.6664935738841</v>
      </c>
      <c r="I13" s="332">
        <f t="shared" si="0"/>
        <v>945.04750235261179</v>
      </c>
      <c r="J13" s="332">
        <f t="shared" si="0"/>
        <v>571.6876236312396</v>
      </c>
      <c r="K13" s="332">
        <f t="shared" si="0"/>
        <v>492.02929415649112</v>
      </c>
      <c r="L13" s="332">
        <f t="shared" si="0"/>
        <v>1331.4552946344409</v>
      </c>
      <c r="M13" s="332">
        <f t="shared" si="0"/>
        <v>1177.1080660898083</v>
      </c>
      <c r="N13" s="332">
        <f t="shared" si="0"/>
        <v>1867.3981560811978</v>
      </c>
      <c r="O13" s="332">
        <f t="shared" si="0"/>
        <v>15247.916028384043</v>
      </c>
      <c r="P13" s="1012"/>
      <c r="Q13" s="463"/>
      <c r="R13" s="463"/>
      <c r="S13" s="463"/>
      <c r="T13" s="463"/>
      <c r="U13" s="463"/>
      <c r="V13" s="463"/>
      <c r="W13" s="463"/>
      <c r="X13" s="463"/>
    </row>
    <row r="14" spans="1:24">
      <c r="A14" s="269"/>
      <c r="B14" s="464" t="s">
        <v>671</v>
      </c>
      <c r="C14" s="983">
        <v>125.25444396799976</v>
      </c>
      <c r="D14" s="1013">
        <v>57.042787003589531</v>
      </c>
      <c r="E14" s="1013">
        <v>92.177191165038806</v>
      </c>
      <c r="F14" s="1013">
        <v>158.28325264312548</v>
      </c>
      <c r="G14" s="1013">
        <v>43.853113332832422</v>
      </c>
      <c r="H14" s="1013">
        <v>446.336990019702</v>
      </c>
      <c r="I14" s="1013">
        <v>0</v>
      </c>
      <c r="J14" s="1013">
        <v>0.19217707588279501</v>
      </c>
      <c r="K14" s="1013">
        <v>0</v>
      </c>
      <c r="L14" s="1013">
        <v>0</v>
      </c>
      <c r="M14" s="983">
        <v>0</v>
      </c>
      <c r="N14" s="983">
        <v>0</v>
      </c>
      <c r="O14" s="92">
        <f>SUM(C14:N14)</f>
        <v>923.13995520817082</v>
      </c>
      <c r="P14" s="1012"/>
      <c r="Q14" s="463"/>
      <c r="R14" s="463"/>
      <c r="S14" s="463"/>
      <c r="T14" s="463"/>
      <c r="U14" s="463"/>
    </row>
    <row r="15" spans="1:24">
      <c r="A15" s="269"/>
      <c r="B15" s="464" t="s">
        <v>672</v>
      </c>
      <c r="C15" s="983">
        <v>1210.310686635142</v>
      </c>
      <c r="D15" s="1013">
        <v>673.65893075857105</v>
      </c>
      <c r="E15" s="1013">
        <v>947.57978873791239</v>
      </c>
      <c r="F15" s="1013">
        <v>1380.0393571074635</v>
      </c>
      <c r="G15" s="1013">
        <v>1434.3240465126944</v>
      </c>
      <c r="H15" s="1013">
        <v>2294.3295035541819</v>
      </c>
      <c r="I15" s="1013">
        <v>945.04750235261179</v>
      </c>
      <c r="J15" s="1013">
        <v>571.49544655535681</v>
      </c>
      <c r="K15" s="1013">
        <v>492.02929415649112</v>
      </c>
      <c r="L15" s="1013">
        <v>1331.4552946344409</v>
      </c>
      <c r="M15" s="983">
        <v>1177.1080660898083</v>
      </c>
      <c r="N15" s="983">
        <v>1867.3981560811978</v>
      </c>
      <c r="O15" s="92">
        <f>SUM(C15:N15)</f>
        <v>14324.776073175872</v>
      </c>
      <c r="P15" s="1012"/>
      <c r="Q15" s="463"/>
      <c r="R15" s="463"/>
      <c r="S15" s="463"/>
      <c r="T15" s="463"/>
      <c r="U15" s="463"/>
    </row>
    <row r="16" spans="1:24" s="120" customFormat="1" ht="13.5" thickBot="1">
      <c r="A16" s="269"/>
      <c r="B16" s="269"/>
      <c r="C16" s="460"/>
      <c r="D16" s="460"/>
      <c r="E16" s="460"/>
      <c r="F16" s="460"/>
      <c r="G16" s="460"/>
      <c r="H16" s="460"/>
      <c r="I16" s="460"/>
      <c r="J16" s="460"/>
      <c r="K16" s="460"/>
      <c r="L16" s="460"/>
      <c r="M16" s="460"/>
      <c r="N16" s="460"/>
      <c r="O16" s="460"/>
      <c r="P16" s="1012"/>
      <c r="Q16" s="463"/>
      <c r="R16" s="463"/>
      <c r="S16" s="463"/>
      <c r="T16" s="463"/>
      <c r="U16" s="463"/>
    </row>
    <row r="17" spans="1:21" s="120" customFormat="1" ht="13.5" thickBot="1">
      <c r="A17" s="269"/>
      <c r="B17" s="126" t="s">
        <v>53</v>
      </c>
      <c r="C17" s="78">
        <f>+C18+C23+C25+C30+C34+C31</f>
        <v>198.26914496564433</v>
      </c>
      <c r="D17" s="78">
        <f t="shared" ref="D17:N17" si="1">+D18+D23+D25+D30+D34+D31</f>
        <v>425.92234947973026</v>
      </c>
      <c r="E17" s="78">
        <f t="shared" si="1"/>
        <v>127.12430706766982</v>
      </c>
      <c r="F17" s="78">
        <f t="shared" si="1"/>
        <v>123.297900025988</v>
      </c>
      <c r="G17" s="78">
        <f t="shared" si="1"/>
        <v>663.91153512048879</v>
      </c>
      <c r="H17" s="78">
        <f t="shared" si="1"/>
        <v>97.253485725729945</v>
      </c>
      <c r="I17" s="78">
        <f t="shared" si="1"/>
        <v>90.206093296360677</v>
      </c>
      <c r="J17" s="78">
        <f t="shared" si="1"/>
        <v>440.95364467204433</v>
      </c>
      <c r="K17" s="78">
        <f t="shared" si="1"/>
        <v>122.73367090255388</v>
      </c>
      <c r="L17" s="78">
        <f t="shared" si="1"/>
        <v>52.539929846284991</v>
      </c>
      <c r="M17" s="78">
        <f t="shared" si="1"/>
        <v>495.2234113453452</v>
      </c>
      <c r="N17" s="78">
        <f t="shared" si="1"/>
        <v>92.252176607575748</v>
      </c>
      <c r="O17" s="78">
        <f>+SUM(C17:N17)</f>
        <v>2929.6876490554159</v>
      </c>
      <c r="P17" s="1012"/>
      <c r="Q17" s="463"/>
      <c r="R17" s="1012"/>
      <c r="S17" s="1012"/>
      <c r="T17" s="1187"/>
      <c r="U17" s="463"/>
    </row>
    <row r="18" spans="1:21" s="120" customFormat="1">
      <c r="A18" s="269"/>
      <c r="B18" s="376" t="s">
        <v>63</v>
      </c>
      <c r="C18" s="79">
        <f t="shared" ref="C18:N18" si="2">SUM(C19:C22)</f>
        <v>43.85381623</v>
      </c>
      <c r="D18" s="79">
        <f t="shared" si="2"/>
        <v>419.9369478146096</v>
      </c>
      <c r="E18" s="79">
        <f t="shared" si="2"/>
        <v>115.71495825000001</v>
      </c>
      <c r="F18" s="79">
        <f t="shared" si="2"/>
        <v>49.462748977699121</v>
      </c>
      <c r="G18" s="79">
        <f t="shared" si="2"/>
        <v>481.71190363530951</v>
      </c>
      <c r="H18" s="79">
        <f t="shared" si="2"/>
        <v>53.408107584647425</v>
      </c>
      <c r="I18" s="79">
        <f t="shared" si="2"/>
        <v>40.195774610000001</v>
      </c>
      <c r="J18" s="79">
        <f t="shared" si="2"/>
        <v>435.35040767030756</v>
      </c>
      <c r="K18" s="79">
        <f t="shared" si="2"/>
        <v>112.37873515999999</v>
      </c>
      <c r="L18" s="79">
        <f t="shared" si="2"/>
        <v>47.607117102168139</v>
      </c>
      <c r="M18" s="79">
        <f t="shared" si="2"/>
        <v>488.66235185011033</v>
      </c>
      <c r="N18" s="79">
        <f t="shared" si="2"/>
        <v>50.633859340926776</v>
      </c>
      <c r="O18" s="79">
        <f>+SUM(C18:N18)</f>
        <v>2338.9167282257781</v>
      </c>
      <c r="P18" s="1012"/>
      <c r="Q18" s="463"/>
      <c r="R18" s="1012"/>
      <c r="S18" s="1012"/>
      <c r="T18" s="1012"/>
      <c r="U18" s="463"/>
    </row>
    <row r="19" spans="1:21" s="120" customFormat="1">
      <c r="A19" s="269"/>
      <c r="B19" s="346" t="s">
        <v>64</v>
      </c>
      <c r="C19" s="984">
        <v>2.4618100999999997</v>
      </c>
      <c r="D19" s="1005">
        <v>2.02035966</v>
      </c>
      <c r="E19" s="1005">
        <v>38.053316540000004</v>
      </c>
      <c r="F19" s="1005">
        <v>19.549129799999999</v>
      </c>
      <c r="G19" s="1005">
        <v>16.828540510000003</v>
      </c>
      <c r="H19" s="1005">
        <v>27.714014990000003</v>
      </c>
      <c r="I19" s="1005">
        <v>2.0619246700000002</v>
      </c>
      <c r="J19" s="1005">
        <v>2.1966698600000001</v>
      </c>
      <c r="K19" s="1005">
        <v>36.978586899999996</v>
      </c>
      <c r="L19" s="1005">
        <v>18.673808680000004</v>
      </c>
      <c r="M19" s="984">
        <v>16.792700910000001</v>
      </c>
      <c r="N19" s="984">
        <v>27.286921509999999</v>
      </c>
      <c r="O19" s="94">
        <f t="shared" ref="O19:O36" si="3">+SUM(C19:N19)</f>
        <v>210.61778413000002</v>
      </c>
      <c r="P19" s="1012"/>
      <c r="Q19" s="463"/>
      <c r="R19" s="463"/>
      <c r="S19" s="463"/>
      <c r="T19" s="463"/>
      <c r="U19" s="463"/>
    </row>
    <row r="20" spans="1:21" s="120" customFormat="1">
      <c r="A20" s="269"/>
      <c r="B20" s="347" t="s">
        <v>65</v>
      </c>
      <c r="C20" s="985">
        <v>25.717134809999997</v>
      </c>
      <c r="D20" s="1000">
        <v>18.670478278679951</v>
      </c>
      <c r="E20" s="1000">
        <v>63.492124459999999</v>
      </c>
      <c r="F20" s="1000">
        <v>25.295688540000004</v>
      </c>
      <c r="G20" s="1000">
        <v>69.102068490000008</v>
      </c>
      <c r="H20" s="1000">
        <v>8.4828444317300491</v>
      </c>
      <c r="I20" s="1000">
        <v>24.342499500000002</v>
      </c>
      <c r="J20" s="1000">
        <v>17.453539115197163</v>
      </c>
      <c r="K20" s="1000">
        <v>61.84781418</v>
      </c>
      <c r="L20" s="1000">
        <v>24.56316331</v>
      </c>
      <c r="M20" s="985">
        <v>68.07387657999999</v>
      </c>
      <c r="N20" s="985">
        <v>7.5181074177450462</v>
      </c>
      <c r="O20" s="343">
        <f t="shared" si="3"/>
        <v>414.55933911335222</v>
      </c>
      <c r="P20" s="1012"/>
      <c r="Q20" s="463"/>
      <c r="R20" s="463"/>
      <c r="S20" s="463"/>
      <c r="T20" s="463"/>
      <c r="U20" s="463"/>
    </row>
    <row r="21" spans="1:21" s="120" customFormat="1">
      <c r="A21" s="269"/>
      <c r="B21" s="377" t="s">
        <v>667</v>
      </c>
      <c r="C21" s="1000">
        <v>0</v>
      </c>
      <c r="D21" s="1000">
        <v>378.87168141592963</v>
      </c>
      <c r="E21" s="1000">
        <v>0</v>
      </c>
      <c r="F21" s="1000">
        <v>0</v>
      </c>
      <c r="G21" s="1000">
        <v>388.74090630530952</v>
      </c>
      <c r="H21" s="1000">
        <v>0</v>
      </c>
      <c r="I21" s="1000">
        <v>0</v>
      </c>
      <c r="J21" s="1000">
        <v>397.37959310011036</v>
      </c>
      <c r="K21" s="1000">
        <v>0</v>
      </c>
      <c r="L21" s="1000">
        <v>0</v>
      </c>
      <c r="M21" s="1000">
        <v>397.37959310011036</v>
      </c>
      <c r="N21" s="1000">
        <v>0</v>
      </c>
      <c r="O21" s="343">
        <f t="shared" si="3"/>
        <v>1562.3717739214599</v>
      </c>
      <c r="P21" s="1012"/>
      <c r="Q21" s="463"/>
      <c r="R21" s="463"/>
      <c r="S21" s="463"/>
      <c r="T21" s="463"/>
      <c r="U21" s="463"/>
    </row>
    <row r="22" spans="1:21" s="469" customFormat="1">
      <c r="A22" s="269"/>
      <c r="B22" s="377" t="s">
        <v>66</v>
      </c>
      <c r="C22" s="987">
        <v>15.674871320000001</v>
      </c>
      <c r="D22" s="987">
        <v>20.374428460000001</v>
      </c>
      <c r="E22" s="987">
        <v>14.16951725</v>
      </c>
      <c r="F22" s="987">
        <v>4.6179306376991143</v>
      </c>
      <c r="G22" s="987">
        <v>7.0403883300000007</v>
      </c>
      <c r="H22" s="987">
        <v>17.211248162917368</v>
      </c>
      <c r="I22" s="987">
        <v>13.79135044</v>
      </c>
      <c r="J22" s="987">
        <v>18.320605595000004</v>
      </c>
      <c r="K22" s="987">
        <v>13.55233408</v>
      </c>
      <c r="L22" s="987">
        <v>4.3701451121681414</v>
      </c>
      <c r="M22" s="987">
        <v>6.4161812600000001</v>
      </c>
      <c r="N22" s="987">
        <v>15.828830413181736</v>
      </c>
      <c r="O22" s="344">
        <f t="shared" si="3"/>
        <v>151.36783106096638</v>
      </c>
      <c r="P22" s="1012"/>
      <c r="Q22" s="463"/>
      <c r="R22" s="463"/>
      <c r="S22" s="463"/>
      <c r="T22" s="463"/>
      <c r="U22" s="463"/>
    </row>
    <row r="23" spans="1:21" s="469" customFormat="1">
      <c r="A23" s="269"/>
      <c r="B23" s="339" t="s">
        <v>67</v>
      </c>
      <c r="C23" s="362">
        <f t="shared" ref="C23:N23" si="4">+C24</f>
        <v>2.7321887000290728</v>
      </c>
      <c r="D23" s="362">
        <f t="shared" si="4"/>
        <v>2.7321887000290728</v>
      </c>
      <c r="E23" s="362">
        <f t="shared" si="4"/>
        <v>2.5337874482442952</v>
      </c>
      <c r="F23" s="362">
        <f t="shared" si="4"/>
        <v>2.6621372979220954</v>
      </c>
      <c r="G23" s="362">
        <f t="shared" si="4"/>
        <v>2.5979623746443359</v>
      </c>
      <c r="H23" s="362">
        <f t="shared" si="4"/>
        <v>2.6621372979220954</v>
      </c>
      <c r="I23" s="362">
        <f t="shared" si="4"/>
        <v>2.5979623746443359</v>
      </c>
      <c r="J23" s="362">
        <f t="shared" si="4"/>
        <v>2.6621372979220954</v>
      </c>
      <c r="K23" s="362">
        <f t="shared" si="4"/>
        <v>2.6621372979220954</v>
      </c>
      <c r="L23" s="362">
        <f t="shared" si="4"/>
        <v>2.5979623746443359</v>
      </c>
      <c r="M23" s="362">
        <f t="shared" si="4"/>
        <v>2.6621372979220954</v>
      </c>
      <c r="N23" s="362">
        <f t="shared" si="4"/>
        <v>2.5979623746443359</v>
      </c>
      <c r="O23" s="362">
        <f t="shared" si="3"/>
        <v>31.70070083649026</v>
      </c>
      <c r="P23" s="1012"/>
      <c r="Q23" s="463"/>
      <c r="R23" s="463"/>
      <c r="S23" s="463"/>
      <c r="T23" s="463"/>
      <c r="U23" s="463"/>
    </row>
    <row r="24" spans="1:21" s="120" customFormat="1">
      <c r="A24" s="269"/>
      <c r="B24" s="346" t="s">
        <v>68</v>
      </c>
      <c r="C24" s="986">
        <v>2.7321887000290728</v>
      </c>
      <c r="D24" s="989">
        <v>2.7321887000290728</v>
      </c>
      <c r="E24" s="989">
        <v>2.5337874482442952</v>
      </c>
      <c r="F24" s="989">
        <v>2.6621372979220954</v>
      </c>
      <c r="G24" s="989">
        <v>2.5979623746443359</v>
      </c>
      <c r="H24" s="989">
        <v>2.6621372979220954</v>
      </c>
      <c r="I24" s="989">
        <v>2.5979623746443359</v>
      </c>
      <c r="J24" s="989">
        <v>2.6621372979220954</v>
      </c>
      <c r="K24" s="989">
        <v>2.6621372979220954</v>
      </c>
      <c r="L24" s="989">
        <v>2.5979623746443359</v>
      </c>
      <c r="M24" s="986">
        <v>2.6621372979220954</v>
      </c>
      <c r="N24" s="986">
        <v>2.5979623746443359</v>
      </c>
      <c r="O24" s="345">
        <f t="shared" si="3"/>
        <v>31.70070083649026</v>
      </c>
      <c r="P24" s="1012"/>
      <c r="Q24" s="463"/>
      <c r="R24" s="463"/>
      <c r="S24" s="463"/>
      <c r="T24" s="463"/>
      <c r="U24" s="463"/>
    </row>
    <row r="25" spans="1:21" s="469" customFormat="1">
      <c r="A25" s="269"/>
      <c r="B25" s="339" t="s">
        <v>69</v>
      </c>
      <c r="C25" s="362">
        <f t="shared" ref="C25:N25" si="5">+C26+C28</f>
        <v>68.647377111380379</v>
      </c>
      <c r="D25" s="362">
        <f t="shared" si="5"/>
        <v>0.18123953477556731</v>
      </c>
      <c r="E25" s="362">
        <f t="shared" si="5"/>
        <v>0.16602416109306059</v>
      </c>
      <c r="F25" s="362">
        <f t="shared" si="5"/>
        <v>68.647172755826773</v>
      </c>
      <c r="G25" s="362">
        <f t="shared" si="5"/>
        <v>1.5807713372209755</v>
      </c>
      <c r="H25" s="362">
        <f t="shared" si="5"/>
        <v>3.2505299536614478E-3</v>
      </c>
      <c r="I25" s="362">
        <f t="shared" si="5"/>
        <v>3.1100619434107982E-3</v>
      </c>
      <c r="J25" s="362">
        <f t="shared" si="5"/>
        <v>0.1139438784748651</v>
      </c>
      <c r="K25" s="362">
        <f t="shared" si="5"/>
        <v>3.0406512511409107E-3</v>
      </c>
      <c r="L25" s="362">
        <f t="shared" si="5"/>
        <v>2.9045385691216742E-3</v>
      </c>
      <c r="M25" s="362">
        <f t="shared" si="5"/>
        <v>1.5850845482669309</v>
      </c>
      <c r="N25" s="362">
        <f t="shared" si="5"/>
        <v>2.7654225753001469E-3</v>
      </c>
      <c r="O25" s="362">
        <f t="shared" si="3"/>
        <v>140.9366845313312</v>
      </c>
      <c r="P25" s="1012"/>
      <c r="Q25" s="463"/>
      <c r="R25" s="463"/>
      <c r="S25" s="463"/>
      <c r="T25" s="463"/>
      <c r="U25" s="463"/>
    </row>
    <row r="26" spans="1:21" s="469" customFormat="1">
      <c r="A26" s="269"/>
      <c r="B26" s="347" t="s">
        <v>72</v>
      </c>
      <c r="C26" s="343">
        <f>+C27</f>
        <v>68.643784156440404</v>
      </c>
      <c r="D26" s="1000">
        <f t="shared" ref="D26:N26" si="6">+D27</f>
        <v>0.131289477418816</v>
      </c>
      <c r="E26" s="1000">
        <f t="shared" si="6"/>
        <v>0</v>
      </c>
      <c r="F26" s="1000">
        <f t="shared" si="6"/>
        <v>68.643784156440404</v>
      </c>
      <c r="G26" s="1000">
        <f t="shared" si="6"/>
        <v>9.6326518407212597E-2</v>
      </c>
      <c r="H26" s="1000">
        <f t="shared" si="6"/>
        <v>0</v>
      </c>
      <c r="I26" s="1000">
        <f t="shared" si="6"/>
        <v>0</v>
      </c>
      <c r="J26" s="1000">
        <f t="shared" si="6"/>
        <v>6.5644738125052199E-2</v>
      </c>
      <c r="K26" s="1000">
        <f t="shared" si="6"/>
        <v>0</v>
      </c>
      <c r="L26" s="1000">
        <f t="shared" si="6"/>
        <v>0</v>
      </c>
      <c r="M26" s="1000">
        <f t="shared" si="6"/>
        <v>3.2822368645128996E-2</v>
      </c>
      <c r="N26" s="1000">
        <f t="shared" si="6"/>
        <v>0</v>
      </c>
      <c r="O26" s="1000">
        <f t="shared" si="3"/>
        <v>137.61365141547702</v>
      </c>
      <c r="P26" s="1012"/>
      <c r="Q26" s="463"/>
      <c r="R26" s="463"/>
      <c r="S26" s="463"/>
      <c r="T26" s="463"/>
      <c r="U26" s="463"/>
    </row>
    <row r="27" spans="1:21" s="469" customFormat="1">
      <c r="A27" s="994"/>
      <c r="B27" s="470" t="s">
        <v>99</v>
      </c>
      <c r="C27" s="381">
        <v>68.643784156440404</v>
      </c>
      <c r="D27" s="381">
        <v>0.131289477418816</v>
      </c>
      <c r="E27" s="381">
        <v>0</v>
      </c>
      <c r="F27" s="381">
        <v>68.643784156440404</v>
      </c>
      <c r="G27" s="381">
        <v>9.6326518407212597E-2</v>
      </c>
      <c r="H27" s="381">
        <v>0</v>
      </c>
      <c r="I27" s="381">
        <v>0</v>
      </c>
      <c r="J27" s="381">
        <v>6.5644738125052199E-2</v>
      </c>
      <c r="K27" s="381">
        <v>0</v>
      </c>
      <c r="L27" s="381">
        <v>0</v>
      </c>
      <c r="M27" s="381">
        <v>3.2822368645128996E-2</v>
      </c>
      <c r="N27" s="381">
        <v>0</v>
      </c>
      <c r="O27" s="381">
        <f t="shared" si="3"/>
        <v>137.61365141547702</v>
      </c>
      <c r="P27" s="1012"/>
      <c r="Q27" s="1012"/>
      <c r="R27" s="1012"/>
      <c r="S27" s="1012"/>
      <c r="T27" s="1012"/>
      <c r="U27" s="1012"/>
    </row>
    <row r="28" spans="1:21" s="469" customFormat="1">
      <c r="A28" s="269"/>
      <c r="B28" s="347" t="s">
        <v>70</v>
      </c>
      <c r="C28" s="1000">
        <f>+C29</f>
        <v>3.5929549399705096E-3</v>
      </c>
      <c r="D28" s="1000">
        <f t="shared" ref="D28:N28" si="7">+D29</f>
        <v>4.9950057356751315E-2</v>
      </c>
      <c r="E28" s="1000">
        <f t="shared" si="7"/>
        <v>0.16602416109306059</v>
      </c>
      <c r="F28" s="1000">
        <f t="shared" si="7"/>
        <v>3.3885993863652301E-3</v>
      </c>
      <c r="G28" s="1000">
        <f t="shared" si="7"/>
        <v>1.4844448188137629</v>
      </c>
      <c r="H28" s="1000">
        <f t="shared" si="7"/>
        <v>3.2505299536614478E-3</v>
      </c>
      <c r="I28" s="1000">
        <f t="shared" si="7"/>
        <v>3.1100619434107982E-3</v>
      </c>
      <c r="J28" s="1000">
        <f t="shared" si="7"/>
        <v>4.8299140349812905E-2</v>
      </c>
      <c r="K28" s="1000">
        <f t="shared" si="7"/>
        <v>3.0406512511409107E-3</v>
      </c>
      <c r="L28" s="1000">
        <f t="shared" si="7"/>
        <v>2.9045385691216742E-3</v>
      </c>
      <c r="M28" s="1000">
        <f t="shared" si="7"/>
        <v>1.5522621796218019</v>
      </c>
      <c r="N28" s="1000">
        <f t="shared" si="7"/>
        <v>2.7654225753001469E-3</v>
      </c>
      <c r="O28" s="343">
        <f t="shared" si="3"/>
        <v>3.3230331158541606</v>
      </c>
      <c r="P28" s="1012"/>
      <c r="Q28" s="463"/>
      <c r="R28" s="463"/>
      <c r="S28" s="463"/>
      <c r="T28" s="463"/>
      <c r="U28" s="463"/>
    </row>
    <row r="29" spans="1:21" s="469" customFormat="1">
      <c r="A29" s="994"/>
      <c r="B29" s="470" t="s">
        <v>99</v>
      </c>
      <c r="C29" s="381">
        <v>3.5929549399705096E-3</v>
      </c>
      <c r="D29" s="381">
        <v>4.9950057356751315E-2</v>
      </c>
      <c r="E29" s="381">
        <v>0.16602416109306059</v>
      </c>
      <c r="F29" s="381">
        <v>3.3885993863652301E-3</v>
      </c>
      <c r="G29" s="381">
        <v>1.4844448188137629</v>
      </c>
      <c r="H29" s="381">
        <v>3.2505299536614478E-3</v>
      </c>
      <c r="I29" s="381">
        <v>3.1100619434107982E-3</v>
      </c>
      <c r="J29" s="381">
        <v>4.8299140349812905E-2</v>
      </c>
      <c r="K29" s="381">
        <v>3.0406512511409107E-3</v>
      </c>
      <c r="L29" s="381">
        <v>2.9045385691216742E-3</v>
      </c>
      <c r="M29" s="381">
        <v>1.5522621796218019</v>
      </c>
      <c r="N29" s="381">
        <v>2.7654225753001469E-3</v>
      </c>
      <c r="O29" s="381">
        <f t="shared" si="3"/>
        <v>3.3230331158541606</v>
      </c>
      <c r="P29" s="1012"/>
      <c r="Q29" s="1012"/>
      <c r="R29" s="1012"/>
      <c r="S29" s="1012"/>
      <c r="T29" s="1012"/>
      <c r="U29" s="1012"/>
    </row>
    <row r="30" spans="1:21" s="269" customFormat="1">
      <c r="B30" s="339" t="s">
        <v>71</v>
      </c>
      <c r="C30" s="362">
        <v>46.90099841</v>
      </c>
      <c r="D30" s="362">
        <v>0.11229724852537575</v>
      </c>
      <c r="E30" s="362">
        <v>1.6510599599788112</v>
      </c>
      <c r="F30" s="362">
        <v>0.55707725252566509</v>
      </c>
      <c r="G30" s="362">
        <v>176.16706383949563</v>
      </c>
      <c r="H30" s="362">
        <v>38.127110352617407</v>
      </c>
      <c r="I30" s="362">
        <v>46.369128929999995</v>
      </c>
      <c r="J30" s="362">
        <v>0.11111835852537574</v>
      </c>
      <c r="K30" s="362">
        <v>1.1549304567867629</v>
      </c>
      <c r="L30" s="362">
        <v>0.55655565654159589</v>
      </c>
      <c r="M30" s="362">
        <v>0.70461711328914822</v>
      </c>
      <c r="N30" s="362">
        <v>36.361166002617416</v>
      </c>
      <c r="O30" s="362">
        <f t="shared" si="3"/>
        <v>348.77312358090325</v>
      </c>
      <c r="P30" s="1012"/>
      <c r="Q30" s="463"/>
      <c r="R30" s="463"/>
      <c r="S30" s="463"/>
      <c r="T30" s="463"/>
      <c r="U30" s="463"/>
    </row>
    <row r="31" spans="1:21" s="994" customFormat="1">
      <c r="B31" s="1008" t="s">
        <v>371</v>
      </c>
      <c r="C31" s="362">
        <f>+C32</f>
        <v>0</v>
      </c>
      <c r="D31" s="362">
        <f t="shared" ref="D31:N32" si="8">+D32</f>
        <v>0</v>
      </c>
      <c r="E31" s="362">
        <f t="shared" si="8"/>
        <v>2.7817612785364703</v>
      </c>
      <c r="F31" s="362">
        <f t="shared" si="8"/>
        <v>0</v>
      </c>
      <c r="G31" s="362">
        <f t="shared" si="8"/>
        <v>0</v>
      </c>
      <c r="H31" s="362">
        <f t="shared" si="8"/>
        <v>0</v>
      </c>
      <c r="I31" s="362">
        <f t="shared" si="8"/>
        <v>0</v>
      </c>
      <c r="J31" s="362">
        <f t="shared" si="8"/>
        <v>0</v>
      </c>
      <c r="K31" s="362">
        <f t="shared" si="8"/>
        <v>2.7817612785364703</v>
      </c>
      <c r="L31" s="362">
        <f t="shared" si="8"/>
        <v>0</v>
      </c>
      <c r="M31" s="362">
        <f t="shared" si="8"/>
        <v>0</v>
      </c>
      <c r="N31" s="362">
        <f t="shared" si="8"/>
        <v>0</v>
      </c>
      <c r="O31" s="362">
        <f t="shared" si="3"/>
        <v>5.5635225570729405</v>
      </c>
      <c r="P31" s="1012"/>
      <c r="Q31" s="1012"/>
      <c r="R31" s="1012"/>
      <c r="S31" s="1012"/>
      <c r="T31" s="1012"/>
      <c r="U31" s="1012"/>
    </row>
    <row r="32" spans="1:21" s="994" customFormat="1">
      <c r="B32" s="347" t="s">
        <v>68</v>
      </c>
      <c r="C32" s="1000">
        <f>+C33</f>
        <v>0</v>
      </c>
      <c r="D32" s="1000">
        <f t="shared" si="8"/>
        <v>0</v>
      </c>
      <c r="E32" s="1000">
        <f t="shared" si="8"/>
        <v>2.7817612785364703</v>
      </c>
      <c r="F32" s="1000">
        <f t="shared" si="8"/>
        <v>0</v>
      </c>
      <c r="G32" s="1000">
        <f t="shared" si="8"/>
        <v>0</v>
      </c>
      <c r="H32" s="1000">
        <f t="shared" si="8"/>
        <v>0</v>
      </c>
      <c r="I32" s="1000">
        <f t="shared" si="8"/>
        <v>0</v>
      </c>
      <c r="J32" s="1000">
        <f t="shared" si="8"/>
        <v>0</v>
      </c>
      <c r="K32" s="1000">
        <f t="shared" si="8"/>
        <v>2.7817612785364703</v>
      </c>
      <c r="L32" s="1000">
        <f t="shared" si="8"/>
        <v>0</v>
      </c>
      <c r="M32" s="1000">
        <f t="shared" si="8"/>
        <v>0</v>
      </c>
      <c r="N32" s="1000">
        <f t="shared" si="8"/>
        <v>0</v>
      </c>
      <c r="O32" s="1000">
        <f t="shared" si="3"/>
        <v>5.5635225570729405</v>
      </c>
      <c r="P32" s="1012"/>
      <c r="Q32" s="1012"/>
      <c r="R32" s="1012"/>
      <c r="S32" s="1012"/>
      <c r="T32" s="1012"/>
      <c r="U32" s="1012"/>
    </row>
    <row r="33" spans="1:21" s="994" customFormat="1">
      <c r="B33" s="470" t="s">
        <v>673</v>
      </c>
      <c r="C33" s="381">
        <v>0</v>
      </c>
      <c r="D33" s="381">
        <v>0</v>
      </c>
      <c r="E33" s="381">
        <v>2.7817612785364703</v>
      </c>
      <c r="F33" s="381">
        <v>0</v>
      </c>
      <c r="G33" s="381">
        <v>0</v>
      </c>
      <c r="H33" s="381">
        <v>0</v>
      </c>
      <c r="I33" s="381">
        <v>0</v>
      </c>
      <c r="J33" s="381">
        <v>0</v>
      </c>
      <c r="K33" s="381">
        <v>2.7817612785364703</v>
      </c>
      <c r="L33" s="381">
        <v>0</v>
      </c>
      <c r="M33" s="381">
        <v>0</v>
      </c>
      <c r="N33" s="381">
        <v>0</v>
      </c>
      <c r="O33" s="381">
        <f t="shared" si="3"/>
        <v>5.5635225570729405</v>
      </c>
      <c r="P33" s="1012"/>
      <c r="Q33" s="1012"/>
      <c r="R33" s="1012"/>
      <c r="S33" s="1012"/>
      <c r="T33" s="1012"/>
      <c r="U33" s="1012"/>
    </row>
    <row r="34" spans="1:21" s="120" customFormat="1">
      <c r="A34" s="269"/>
      <c r="B34" s="1008" t="s">
        <v>824</v>
      </c>
      <c r="C34" s="362">
        <f t="shared" ref="C34:N34" si="9">+C35+C36</f>
        <v>36.134764514234902</v>
      </c>
      <c r="D34" s="362">
        <f t="shared" si="9"/>
        <v>2.9596761817906336</v>
      </c>
      <c r="E34" s="362">
        <f t="shared" si="9"/>
        <v>4.2767159698171797</v>
      </c>
      <c r="F34" s="362">
        <f t="shared" si="9"/>
        <v>1.9687637420143582</v>
      </c>
      <c r="G34" s="362">
        <f t="shared" si="9"/>
        <v>1.8538339338183487</v>
      </c>
      <c r="H34" s="362">
        <f t="shared" si="9"/>
        <v>3.0528799605893648</v>
      </c>
      <c r="I34" s="362">
        <f t="shared" si="9"/>
        <v>1.0401173197729361</v>
      </c>
      <c r="J34" s="362">
        <f t="shared" si="9"/>
        <v>2.7160374668144249</v>
      </c>
      <c r="K34" s="362">
        <f t="shared" si="9"/>
        <v>3.7530660580574349</v>
      </c>
      <c r="L34" s="362">
        <f t="shared" si="9"/>
        <v>1.7753901743618004</v>
      </c>
      <c r="M34" s="362">
        <f t="shared" si="9"/>
        <v>1.6092205357567408</v>
      </c>
      <c r="N34" s="362">
        <f t="shared" si="9"/>
        <v>2.6564234668119209</v>
      </c>
      <c r="O34" s="362">
        <f t="shared" si="3"/>
        <v>63.796889323840063</v>
      </c>
      <c r="P34" s="1012"/>
      <c r="Q34" s="463"/>
      <c r="R34" s="463"/>
      <c r="S34" s="463"/>
      <c r="T34" s="463"/>
      <c r="U34" s="463"/>
    </row>
    <row r="35" spans="1:21" s="120" customFormat="1">
      <c r="A35" s="269"/>
      <c r="B35" s="370" t="s">
        <v>72</v>
      </c>
      <c r="C35" s="381">
        <v>35.654012134234904</v>
      </c>
      <c r="D35" s="381">
        <v>0.61536445179063293</v>
      </c>
      <c r="E35" s="381">
        <v>0.60529160981718</v>
      </c>
      <c r="F35" s="381">
        <v>0.59493353201435806</v>
      </c>
      <c r="G35" s="381">
        <v>0.58447694381834903</v>
      </c>
      <c r="H35" s="381">
        <v>0.57377586058936403</v>
      </c>
      <c r="I35" s="381">
        <v>0.562919679772936</v>
      </c>
      <c r="J35" s="381">
        <v>0.55181303681442495</v>
      </c>
      <c r="K35" s="381">
        <v>0.54054212805743407</v>
      </c>
      <c r="L35" s="381">
        <v>0.52905725436179996</v>
      </c>
      <c r="M35" s="381">
        <v>0.51731176575674098</v>
      </c>
      <c r="N35" s="381">
        <v>0.50538760681192096</v>
      </c>
      <c r="O35" s="381">
        <f t="shared" si="3"/>
        <v>41.834886003840055</v>
      </c>
      <c r="P35" s="1012"/>
      <c r="Q35" s="463"/>
      <c r="R35" s="463"/>
      <c r="S35" s="463"/>
      <c r="T35" s="463"/>
      <c r="U35" s="463"/>
    </row>
    <row r="36" spans="1:21" s="120" customFormat="1">
      <c r="A36" s="269"/>
      <c r="B36" s="348" t="s">
        <v>70</v>
      </c>
      <c r="C36" s="349">
        <v>0.48075237999999992</v>
      </c>
      <c r="D36" s="349">
        <v>2.3443117300000007</v>
      </c>
      <c r="E36" s="349">
        <v>3.6714243600000001</v>
      </c>
      <c r="F36" s="349">
        <v>1.3738302100000002</v>
      </c>
      <c r="G36" s="349">
        <v>1.2693569899999997</v>
      </c>
      <c r="H36" s="349">
        <v>2.4791041000000007</v>
      </c>
      <c r="I36" s="349">
        <v>0.47719763999999998</v>
      </c>
      <c r="J36" s="349">
        <v>2.16422443</v>
      </c>
      <c r="K36" s="349">
        <v>3.2125239300000006</v>
      </c>
      <c r="L36" s="349">
        <v>1.2463329200000004</v>
      </c>
      <c r="M36" s="349">
        <v>1.0919087699999999</v>
      </c>
      <c r="N36" s="349">
        <v>2.1510358599999999</v>
      </c>
      <c r="O36" s="349">
        <f t="shared" si="3"/>
        <v>21.962003320000001</v>
      </c>
      <c r="P36" s="1012"/>
      <c r="Q36" s="463"/>
      <c r="R36" s="463"/>
      <c r="S36" s="463"/>
      <c r="T36" s="463"/>
      <c r="U36" s="463"/>
    </row>
    <row r="37" spans="1:21" s="120" customFormat="1" ht="13.5" thickBot="1">
      <c r="A37" s="269"/>
      <c r="B37" s="350"/>
      <c r="C37" s="350"/>
      <c r="D37" s="350"/>
      <c r="E37" s="350"/>
      <c r="F37" s="350"/>
      <c r="G37" s="350"/>
      <c r="H37" s="350"/>
      <c r="I37" s="350"/>
      <c r="J37" s="350"/>
      <c r="K37" s="350"/>
      <c r="L37" s="350"/>
      <c r="M37" s="350"/>
      <c r="N37" s="350"/>
      <c r="O37" s="81"/>
      <c r="P37" s="1012"/>
      <c r="Q37" s="463"/>
      <c r="R37" s="463"/>
      <c r="S37" s="463"/>
      <c r="T37" s="463"/>
      <c r="U37" s="463"/>
    </row>
    <row r="38" spans="1:21" s="120" customFormat="1" ht="13.5" thickBot="1">
      <c r="A38" s="269"/>
      <c r="B38" s="796" t="s">
        <v>307</v>
      </c>
      <c r="C38" s="78">
        <f>+C56+SUM(C73:C118)+C121+C39</f>
        <v>1137.2959856374973</v>
      </c>
      <c r="D38" s="78">
        <f t="shared" ref="D38:O38" si="10">+D56+SUM(D73:D118)+D121+D39</f>
        <v>304.77936828243026</v>
      </c>
      <c r="E38" s="78">
        <f t="shared" si="10"/>
        <v>912.63267283528148</v>
      </c>
      <c r="F38" s="78">
        <f t="shared" si="10"/>
        <v>1415.0247097246011</v>
      </c>
      <c r="G38" s="78">
        <f t="shared" si="10"/>
        <v>814.26562472503895</v>
      </c>
      <c r="H38" s="78">
        <f t="shared" si="10"/>
        <v>2643.4130078481553</v>
      </c>
      <c r="I38" s="78">
        <f t="shared" si="10"/>
        <v>854.84140905625134</v>
      </c>
      <c r="J38" s="78">
        <f t="shared" si="10"/>
        <v>130.73397895919516</v>
      </c>
      <c r="K38" s="78">
        <f t="shared" si="10"/>
        <v>369.29562325393738</v>
      </c>
      <c r="L38" s="78">
        <f t="shared" si="10"/>
        <v>1278.9153647881551</v>
      </c>
      <c r="M38" s="78">
        <f t="shared" si="10"/>
        <v>681.88465474446355</v>
      </c>
      <c r="N38" s="78">
        <f t="shared" si="10"/>
        <v>1775.145979473622</v>
      </c>
      <c r="O38" s="78">
        <f t="shared" si="10"/>
        <v>12318.228379328631</v>
      </c>
      <c r="P38" s="1012"/>
      <c r="Q38" s="463"/>
      <c r="R38" s="463"/>
      <c r="S38" s="463"/>
      <c r="T38" s="463"/>
      <c r="U38" s="463"/>
    </row>
    <row r="39" spans="1:21" s="993" customFormat="1">
      <c r="A39" s="994"/>
      <c r="B39" s="355" t="s">
        <v>74</v>
      </c>
      <c r="C39" s="356">
        <f>+C40+C43+C50+C53</f>
        <v>0</v>
      </c>
      <c r="D39" s="356">
        <f t="shared" ref="D39:N39" si="11">+D40+D43+D50+D53</f>
        <v>0</v>
      </c>
      <c r="E39" s="356">
        <f t="shared" si="11"/>
        <v>254.0970538613939</v>
      </c>
      <c r="F39" s="356">
        <f t="shared" si="11"/>
        <v>0</v>
      </c>
      <c r="G39" s="356">
        <f t="shared" si="11"/>
        <v>0</v>
      </c>
      <c r="H39" s="356">
        <f t="shared" si="11"/>
        <v>0</v>
      </c>
      <c r="I39" s="356">
        <f t="shared" si="11"/>
        <v>0</v>
      </c>
      <c r="J39" s="356">
        <f t="shared" si="11"/>
        <v>0</v>
      </c>
      <c r="K39" s="356">
        <f t="shared" si="11"/>
        <v>254.0970538613939</v>
      </c>
      <c r="L39" s="356">
        <f t="shared" si="11"/>
        <v>0</v>
      </c>
      <c r="M39" s="356">
        <f t="shared" si="11"/>
        <v>0</v>
      </c>
      <c r="N39" s="356">
        <f t="shared" si="11"/>
        <v>0</v>
      </c>
      <c r="O39" s="356">
        <f>+SUM(C39:N39)</f>
        <v>508.19410772278781</v>
      </c>
      <c r="P39" s="1012"/>
      <c r="Q39" s="1012"/>
      <c r="R39" s="1012"/>
      <c r="S39" s="1012"/>
      <c r="T39" s="1012"/>
      <c r="U39" s="1012"/>
    </row>
    <row r="40" spans="1:21" s="993" customFormat="1">
      <c r="A40" s="994"/>
      <c r="B40" s="994" t="s">
        <v>19</v>
      </c>
      <c r="C40" s="990">
        <f>+C41+C42</f>
        <v>0</v>
      </c>
      <c r="D40" s="990">
        <f t="shared" ref="D40:N40" si="12">+D41+D42</f>
        <v>0</v>
      </c>
      <c r="E40" s="990">
        <f t="shared" si="12"/>
        <v>5.384714465869882</v>
      </c>
      <c r="F40" s="990">
        <f t="shared" si="12"/>
        <v>0</v>
      </c>
      <c r="G40" s="990">
        <f t="shared" si="12"/>
        <v>0</v>
      </c>
      <c r="H40" s="990">
        <f t="shared" si="12"/>
        <v>0</v>
      </c>
      <c r="I40" s="990">
        <f t="shared" si="12"/>
        <v>0</v>
      </c>
      <c r="J40" s="990">
        <f t="shared" si="12"/>
        <v>0</v>
      </c>
      <c r="K40" s="990">
        <f t="shared" si="12"/>
        <v>5.384714465869882</v>
      </c>
      <c r="L40" s="990">
        <f t="shared" si="12"/>
        <v>0</v>
      </c>
      <c r="M40" s="990">
        <f t="shared" si="12"/>
        <v>0</v>
      </c>
      <c r="N40" s="990">
        <f t="shared" si="12"/>
        <v>0</v>
      </c>
      <c r="O40" s="1009">
        <f t="shared" ref="O40:O55" si="13">+SUM(C40:N40)</f>
        <v>10.769428931739764</v>
      </c>
      <c r="P40" s="1012"/>
      <c r="Q40" s="1012"/>
      <c r="R40" s="1012"/>
      <c r="S40" s="1012"/>
      <c r="T40" s="1012"/>
      <c r="U40" s="1012"/>
    </row>
    <row r="41" spans="1:21" s="993" customFormat="1">
      <c r="A41" s="994"/>
      <c r="B41" s="358" t="s">
        <v>240</v>
      </c>
      <c r="C41" s="990">
        <v>0</v>
      </c>
      <c r="D41" s="990">
        <v>0</v>
      </c>
      <c r="E41" s="990">
        <v>5.36338427438353</v>
      </c>
      <c r="F41" s="990">
        <v>0</v>
      </c>
      <c r="G41" s="990">
        <v>0</v>
      </c>
      <c r="H41" s="990">
        <v>0</v>
      </c>
      <c r="I41" s="990">
        <v>0</v>
      </c>
      <c r="J41" s="990">
        <v>0</v>
      </c>
      <c r="K41" s="990">
        <v>5.36338427438353</v>
      </c>
      <c r="L41" s="990">
        <v>0</v>
      </c>
      <c r="M41" s="990">
        <v>0</v>
      </c>
      <c r="N41" s="991">
        <v>0</v>
      </c>
      <c r="O41" s="1009">
        <f t="shared" si="13"/>
        <v>10.72676854876706</v>
      </c>
      <c r="P41" s="1012"/>
      <c r="Q41" s="1012"/>
      <c r="R41" s="1012"/>
      <c r="S41" s="1012"/>
      <c r="T41" s="1012"/>
      <c r="U41" s="1012"/>
    </row>
    <row r="42" spans="1:21" s="993" customFormat="1">
      <c r="A42" s="994"/>
      <c r="B42" s="358" t="s">
        <v>241</v>
      </c>
      <c r="C42" s="990">
        <v>0</v>
      </c>
      <c r="D42" s="990">
        <v>0</v>
      </c>
      <c r="E42" s="990">
        <v>2.1330191486352401E-2</v>
      </c>
      <c r="F42" s="990">
        <v>0</v>
      </c>
      <c r="G42" s="990">
        <v>0</v>
      </c>
      <c r="H42" s="990">
        <v>0</v>
      </c>
      <c r="I42" s="990">
        <v>0</v>
      </c>
      <c r="J42" s="990">
        <v>0</v>
      </c>
      <c r="K42" s="990">
        <v>2.1330191486352401E-2</v>
      </c>
      <c r="L42" s="990">
        <v>0</v>
      </c>
      <c r="M42" s="990">
        <v>0</v>
      </c>
      <c r="N42" s="991">
        <v>0</v>
      </c>
      <c r="O42" s="1009">
        <f t="shared" si="13"/>
        <v>4.2660382972704802E-2</v>
      </c>
      <c r="P42" s="1012"/>
      <c r="Q42" s="1012"/>
      <c r="R42" s="1012"/>
      <c r="S42" s="1012"/>
      <c r="T42" s="1012"/>
      <c r="U42" s="1012"/>
    </row>
    <row r="43" spans="1:21" s="993" customFormat="1">
      <c r="A43" s="994"/>
      <c r="B43" s="994" t="s">
        <v>20</v>
      </c>
      <c r="C43" s="990">
        <f>+C44+C47</f>
        <v>0</v>
      </c>
      <c r="D43" s="990">
        <f t="shared" ref="D43:N43" si="14">+D44+D47</f>
        <v>0</v>
      </c>
      <c r="E43" s="990">
        <f t="shared" si="14"/>
        <v>125.52432972000001</v>
      </c>
      <c r="F43" s="990">
        <f t="shared" si="14"/>
        <v>0</v>
      </c>
      <c r="G43" s="990">
        <f t="shared" si="14"/>
        <v>0</v>
      </c>
      <c r="H43" s="990">
        <f t="shared" si="14"/>
        <v>0</v>
      </c>
      <c r="I43" s="990">
        <f t="shared" si="14"/>
        <v>0</v>
      </c>
      <c r="J43" s="990">
        <f t="shared" si="14"/>
        <v>0</v>
      </c>
      <c r="K43" s="990">
        <f t="shared" si="14"/>
        <v>125.52432972000001</v>
      </c>
      <c r="L43" s="990">
        <f t="shared" si="14"/>
        <v>0</v>
      </c>
      <c r="M43" s="990">
        <f t="shared" si="14"/>
        <v>0</v>
      </c>
      <c r="N43" s="990">
        <f t="shared" si="14"/>
        <v>0</v>
      </c>
      <c r="O43" s="1009">
        <f t="shared" si="13"/>
        <v>251.04865944000002</v>
      </c>
      <c r="P43" s="1012"/>
      <c r="Q43" s="1012"/>
      <c r="R43" s="1012"/>
      <c r="S43" s="1012"/>
      <c r="T43" s="1012"/>
      <c r="U43" s="1012"/>
    </row>
    <row r="44" spans="1:21" s="993" customFormat="1">
      <c r="A44" s="994"/>
      <c r="B44" s="358" t="s">
        <v>240</v>
      </c>
      <c r="C44" s="990">
        <f>+C45+C46</f>
        <v>0</v>
      </c>
      <c r="D44" s="990">
        <f t="shared" ref="D44:N44" si="15">+D45+D46</f>
        <v>0</v>
      </c>
      <c r="E44" s="990">
        <f t="shared" si="15"/>
        <v>122.36722570000001</v>
      </c>
      <c r="F44" s="990">
        <f t="shared" si="15"/>
        <v>0</v>
      </c>
      <c r="G44" s="990">
        <f t="shared" si="15"/>
        <v>0</v>
      </c>
      <c r="H44" s="990">
        <f t="shared" si="15"/>
        <v>0</v>
      </c>
      <c r="I44" s="990">
        <f t="shared" si="15"/>
        <v>0</v>
      </c>
      <c r="J44" s="990">
        <f t="shared" si="15"/>
        <v>0</v>
      </c>
      <c r="K44" s="990">
        <f t="shared" si="15"/>
        <v>122.36722570000001</v>
      </c>
      <c r="L44" s="990">
        <f t="shared" si="15"/>
        <v>0</v>
      </c>
      <c r="M44" s="990">
        <f t="shared" si="15"/>
        <v>0</v>
      </c>
      <c r="N44" s="990">
        <f t="shared" si="15"/>
        <v>0</v>
      </c>
      <c r="O44" s="1009">
        <f t="shared" si="13"/>
        <v>244.73445140000001</v>
      </c>
      <c r="P44" s="1012"/>
      <c r="Q44" s="1012"/>
      <c r="R44" s="1012"/>
      <c r="S44" s="1012"/>
      <c r="T44" s="1012"/>
      <c r="U44" s="1012"/>
    </row>
    <row r="45" spans="1:21" s="993" customFormat="1">
      <c r="A45" s="994"/>
      <c r="B45" s="359" t="s">
        <v>242</v>
      </c>
      <c r="C45" s="990">
        <v>0</v>
      </c>
      <c r="D45" s="990">
        <v>0</v>
      </c>
      <c r="E45" s="990">
        <v>99.312922409999999</v>
      </c>
      <c r="F45" s="990">
        <v>0</v>
      </c>
      <c r="G45" s="990">
        <v>0</v>
      </c>
      <c r="H45" s="990">
        <v>0</v>
      </c>
      <c r="I45" s="990">
        <v>0</v>
      </c>
      <c r="J45" s="990">
        <v>0</v>
      </c>
      <c r="K45" s="990">
        <v>99.312922409999999</v>
      </c>
      <c r="L45" s="990">
        <v>0</v>
      </c>
      <c r="M45" s="990">
        <v>0</v>
      </c>
      <c r="N45" s="991">
        <v>0</v>
      </c>
      <c r="O45" s="1009">
        <f t="shared" si="13"/>
        <v>198.62584482</v>
      </c>
      <c r="P45" s="1012"/>
      <c r="Q45" s="1012"/>
      <c r="R45" s="1012"/>
      <c r="S45" s="1012"/>
      <c r="T45" s="1012"/>
      <c r="U45" s="1012"/>
    </row>
    <row r="46" spans="1:21" s="993" customFormat="1">
      <c r="A46" s="994"/>
      <c r="B46" s="360" t="s">
        <v>243</v>
      </c>
      <c r="C46" s="990">
        <v>0</v>
      </c>
      <c r="D46" s="990">
        <v>0</v>
      </c>
      <c r="E46" s="990">
        <v>23.05430329</v>
      </c>
      <c r="F46" s="990">
        <v>0</v>
      </c>
      <c r="G46" s="990">
        <v>0</v>
      </c>
      <c r="H46" s="990">
        <v>0</v>
      </c>
      <c r="I46" s="990">
        <v>0</v>
      </c>
      <c r="J46" s="990">
        <v>0</v>
      </c>
      <c r="K46" s="990">
        <v>23.05430329</v>
      </c>
      <c r="L46" s="990">
        <v>0</v>
      </c>
      <c r="M46" s="990">
        <v>0</v>
      </c>
      <c r="N46" s="991">
        <v>0</v>
      </c>
      <c r="O46" s="1009">
        <f t="shared" si="13"/>
        <v>46.10860658</v>
      </c>
      <c r="P46" s="1012"/>
      <c r="Q46" s="1012"/>
      <c r="R46" s="1012"/>
      <c r="S46" s="1012"/>
      <c r="T46" s="1012"/>
      <c r="U46" s="1012"/>
    </row>
    <row r="47" spans="1:21" s="993" customFormat="1">
      <c r="A47" s="994"/>
      <c r="B47" s="358" t="s">
        <v>241</v>
      </c>
      <c r="C47" s="990">
        <f>+C48+C49</f>
        <v>0</v>
      </c>
      <c r="D47" s="990">
        <f t="shared" ref="D47:N47" si="16">+D48+D49</f>
        <v>0</v>
      </c>
      <c r="E47" s="990">
        <f t="shared" si="16"/>
        <v>3.1571040199999998</v>
      </c>
      <c r="F47" s="990">
        <f t="shared" si="16"/>
        <v>0</v>
      </c>
      <c r="G47" s="990">
        <f t="shared" si="16"/>
        <v>0</v>
      </c>
      <c r="H47" s="990">
        <f t="shared" si="16"/>
        <v>0</v>
      </c>
      <c r="I47" s="990">
        <f t="shared" si="16"/>
        <v>0</v>
      </c>
      <c r="J47" s="990">
        <f t="shared" si="16"/>
        <v>0</v>
      </c>
      <c r="K47" s="990">
        <f t="shared" si="16"/>
        <v>3.1571040199999998</v>
      </c>
      <c r="L47" s="990">
        <f t="shared" si="16"/>
        <v>0</v>
      </c>
      <c r="M47" s="990">
        <f t="shared" si="16"/>
        <v>0</v>
      </c>
      <c r="N47" s="990">
        <f t="shared" si="16"/>
        <v>0</v>
      </c>
      <c r="O47" s="1009">
        <f t="shared" si="13"/>
        <v>6.3142080399999996</v>
      </c>
      <c r="P47" s="1012"/>
      <c r="Q47" s="1012"/>
      <c r="R47" s="1012"/>
      <c r="S47" s="1012"/>
      <c r="T47" s="1012"/>
      <c r="U47" s="1012"/>
    </row>
    <row r="48" spans="1:21" s="993" customFormat="1">
      <c r="A48" s="994"/>
      <c r="B48" s="359" t="s">
        <v>242</v>
      </c>
      <c r="C48" s="990">
        <v>0</v>
      </c>
      <c r="D48" s="990">
        <v>0</v>
      </c>
      <c r="E48" s="990">
        <v>1.8176096099999999</v>
      </c>
      <c r="F48" s="990">
        <v>0</v>
      </c>
      <c r="G48" s="990">
        <v>0</v>
      </c>
      <c r="H48" s="990">
        <v>0</v>
      </c>
      <c r="I48" s="990">
        <v>0</v>
      </c>
      <c r="J48" s="990">
        <v>0</v>
      </c>
      <c r="K48" s="990">
        <v>1.8176096099999999</v>
      </c>
      <c r="L48" s="990">
        <v>0</v>
      </c>
      <c r="M48" s="990">
        <v>0</v>
      </c>
      <c r="N48" s="991">
        <v>0</v>
      </c>
      <c r="O48" s="1009">
        <f t="shared" si="13"/>
        <v>3.6352192199999998</v>
      </c>
      <c r="P48" s="1012"/>
      <c r="Q48" s="1012"/>
      <c r="R48" s="1012"/>
      <c r="S48" s="1012"/>
      <c r="T48" s="1012"/>
      <c r="U48" s="1012"/>
    </row>
    <row r="49" spans="1:21" s="993" customFormat="1">
      <c r="A49" s="994"/>
      <c r="B49" s="360" t="s">
        <v>243</v>
      </c>
      <c r="C49" s="990">
        <v>0</v>
      </c>
      <c r="D49" s="990">
        <v>0</v>
      </c>
      <c r="E49" s="990">
        <v>1.3394944099999999</v>
      </c>
      <c r="F49" s="990">
        <v>0</v>
      </c>
      <c r="G49" s="990">
        <v>0</v>
      </c>
      <c r="H49" s="990">
        <v>0</v>
      </c>
      <c r="I49" s="990">
        <v>0</v>
      </c>
      <c r="J49" s="990">
        <v>0</v>
      </c>
      <c r="K49" s="990">
        <v>1.3394944099999999</v>
      </c>
      <c r="L49" s="990">
        <v>0</v>
      </c>
      <c r="M49" s="990">
        <v>0</v>
      </c>
      <c r="N49" s="991">
        <v>0</v>
      </c>
      <c r="O49" s="1009">
        <f t="shared" si="13"/>
        <v>2.6789888199999998</v>
      </c>
      <c r="P49" s="1012"/>
      <c r="Q49" s="1012"/>
      <c r="R49" s="1012"/>
      <c r="S49" s="1012"/>
      <c r="T49" s="1012"/>
      <c r="U49" s="1012"/>
    </row>
    <row r="50" spans="1:21" s="993" customFormat="1">
      <c r="A50" s="994"/>
      <c r="B50" s="994" t="s">
        <v>21</v>
      </c>
      <c r="C50" s="990">
        <f>+C51+C52</f>
        <v>0</v>
      </c>
      <c r="D50" s="990">
        <f t="shared" ref="D50:N50" si="17">+D51+D52</f>
        <v>0</v>
      </c>
      <c r="E50" s="990">
        <f t="shared" si="17"/>
        <v>122.62915632776597</v>
      </c>
      <c r="F50" s="990">
        <f t="shared" si="17"/>
        <v>0</v>
      </c>
      <c r="G50" s="990">
        <f t="shared" si="17"/>
        <v>0</v>
      </c>
      <c r="H50" s="990">
        <f t="shared" si="17"/>
        <v>0</v>
      </c>
      <c r="I50" s="990">
        <f t="shared" si="17"/>
        <v>0</v>
      </c>
      <c r="J50" s="990">
        <f t="shared" si="17"/>
        <v>0</v>
      </c>
      <c r="K50" s="990">
        <f t="shared" si="17"/>
        <v>122.62915632776597</v>
      </c>
      <c r="L50" s="990">
        <f t="shared" si="17"/>
        <v>0</v>
      </c>
      <c r="M50" s="990">
        <f t="shared" si="17"/>
        <v>0</v>
      </c>
      <c r="N50" s="990">
        <f t="shared" si="17"/>
        <v>0</v>
      </c>
      <c r="O50" s="1009">
        <f t="shared" si="13"/>
        <v>245.25831265553194</v>
      </c>
      <c r="P50" s="1012"/>
      <c r="Q50" s="1012"/>
      <c r="R50" s="1012"/>
      <c r="S50" s="1012"/>
      <c r="T50" s="1012"/>
      <c r="U50" s="1012"/>
    </row>
    <row r="51" spans="1:21" s="993" customFormat="1">
      <c r="A51" s="994"/>
      <c r="B51" s="358" t="s">
        <v>240</v>
      </c>
      <c r="C51" s="990">
        <v>0</v>
      </c>
      <c r="D51" s="990">
        <v>0</v>
      </c>
      <c r="E51" s="990">
        <v>95.381701199417094</v>
      </c>
      <c r="F51" s="990">
        <v>0</v>
      </c>
      <c r="G51" s="990">
        <v>0</v>
      </c>
      <c r="H51" s="990">
        <v>0</v>
      </c>
      <c r="I51" s="990">
        <v>0</v>
      </c>
      <c r="J51" s="990">
        <v>0</v>
      </c>
      <c r="K51" s="990">
        <v>95.381701199417094</v>
      </c>
      <c r="L51" s="990">
        <v>0</v>
      </c>
      <c r="M51" s="990">
        <v>0</v>
      </c>
      <c r="N51" s="991">
        <v>0</v>
      </c>
      <c r="O51" s="1009">
        <f t="shared" si="13"/>
        <v>190.76340239883419</v>
      </c>
      <c r="P51" s="1012"/>
      <c r="Q51" s="1012"/>
      <c r="R51" s="1012"/>
      <c r="S51" s="1012"/>
      <c r="T51" s="1012"/>
      <c r="U51" s="1012"/>
    </row>
    <row r="52" spans="1:21" s="993" customFormat="1">
      <c r="A52" s="994"/>
      <c r="B52" s="358" t="s">
        <v>241</v>
      </c>
      <c r="C52" s="990">
        <v>0</v>
      </c>
      <c r="D52" s="990">
        <v>0</v>
      </c>
      <c r="E52" s="990">
        <v>27.247455128348882</v>
      </c>
      <c r="F52" s="990">
        <v>0</v>
      </c>
      <c r="G52" s="990">
        <v>0</v>
      </c>
      <c r="H52" s="990">
        <v>0</v>
      </c>
      <c r="I52" s="990">
        <v>0</v>
      </c>
      <c r="J52" s="990">
        <v>0</v>
      </c>
      <c r="K52" s="990">
        <v>27.247455128348882</v>
      </c>
      <c r="L52" s="990">
        <v>0</v>
      </c>
      <c r="M52" s="990">
        <v>0</v>
      </c>
      <c r="N52" s="991">
        <v>0</v>
      </c>
      <c r="O52" s="1009">
        <f t="shared" si="13"/>
        <v>54.494910256697764</v>
      </c>
      <c r="P52" s="1012"/>
      <c r="Q52" s="1012"/>
      <c r="R52" s="1012"/>
      <c r="S52" s="1012"/>
      <c r="T52" s="1012"/>
      <c r="U52" s="1012"/>
    </row>
    <row r="53" spans="1:21" s="993" customFormat="1">
      <c r="A53" s="994"/>
      <c r="B53" s="994" t="s">
        <v>22</v>
      </c>
      <c r="C53" s="990">
        <f>+C54+C55</f>
        <v>0</v>
      </c>
      <c r="D53" s="990">
        <f t="shared" ref="D53:N53" si="18">+D54+D55</f>
        <v>0</v>
      </c>
      <c r="E53" s="990">
        <f t="shared" si="18"/>
        <v>0.55885334775803319</v>
      </c>
      <c r="F53" s="990">
        <f t="shared" si="18"/>
        <v>0</v>
      </c>
      <c r="G53" s="990">
        <f t="shared" si="18"/>
        <v>0</v>
      </c>
      <c r="H53" s="990">
        <f t="shared" si="18"/>
        <v>0</v>
      </c>
      <c r="I53" s="990">
        <f t="shared" si="18"/>
        <v>0</v>
      </c>
      <c r="J53" s="990">
        <f t="shared" si="18"/>
        <v>0</v>
      </c>
      <c r="K53" s="990">
        <f t="shared" si="18"/>
        <v>0.55885334775803319</v>
      </c>
      <c r="L53" s="990">
        <f t="shared" si="18"/>
        <v>0</v>
      </c>
      <c r="M53" s="990">
        <f t="shared" si="18"/>
        <v>0</v>
      </c>
      <c r="N53" s="990">
        <f t="shared" si="18"/>
        <v>0</v>
      </c>
      <c r="O53" s="1009">
        <f t="shared" si="13"/>
        <v>1.1177066955160664</v>
      </c>
      <c r="P53" s="1012"/>
      <c r="Q53" s="1012"/>
      <c r="R53" s="1012"/>
      <c r="S53" s="1012"/>
      <c r="T53" s="1012"/>
      <c r="U53" s="1012"/>
    </row>
    <row r="54" spans="1:21" s="993" customFormat="1">
      <c r="A54" s="994"/>
      <c r="B54" s="358" t="s">
        <v>240</v>
      </c>
      <c r="C54" s="990">
        <v>0</v>
      </c>
      <c r="D54" s="990">
        <v>0</v>
      </c>
      <c r="E54" s="990">
        <v>0.53251591980480606</v>
      </c>
      <c r="F54" s="990">
        <v>0</v>
      </c>
      <c r="G54" s="990">
        <v>0</v>
      </c>
      <c r="H54" s="990">
        <v>0</v>
      </c>
      <c r="I54" s="990">
        <v>0</v>
      </c>
      <c r="J54" s="990">
        <v>0</v>
      </c>
      <c r="K54" s="990">
        <v>0.53251591980480606</v>
      </c>
      <c r="L54" s="990">
        <v>0</v>
      </c>
      <c r="M54" s="990">
        <v>0</v>
      </c>
      <c r="N54" s="991">
        <v>0</v>
      </c>
      <c r="O54" s="1009">
        <f t="shared" si="13"/>
        <v>1.0650318396096121</v>
      </c>
      <c r="P54" s="1012"/>
      <c r="Q54" s="1012"/>
      <c r="R54" s="1012"/>
      <c r="S54" s="1012"/>
      <c r="T54" s="1012"/>
      <c r="U54" s="1012"/>
    </row>
    <row r="55" spans="1:21" s="993" customFormat="1">
      <c r="A55" s="994"/>
      <c r="B55" s="358" t="s">
        <v>241</v>
      </c>
      <c r="C55" s="990">
        <v>0</v>
      </c>
      <c r="D55" s="990">
        <v>0</v>
      </c>
      <c r="E55" s="990">
        <v>2.6337427953227108E-2</v>
      </c>
      <c r="F55" s="990">
        <v>0</v>
      </c>
      <c r="G55" s="990">
        <v>0</v>
      </c>
      <c r="H55" s="990">
        <v>0</v>
      </c>
      <c r="I55" s="990">
        <v>0</v>
      </c>
      <c r="J55" s="990">
        <v>0</v>
      </c>
      <c r="K55" s="990">
        <v>2.6337427953227108E-2</v>
      </c>
      <c r="L55" s="990">
        <v>0</v>
      </c>
      <c r="M55" s="990">
        <v>0</v>
      </c>
      <c r="N55" s="991">
        <v>0</v>
      </c>
      <c r="O55" s="1009">
        <f t="shared" si="13"/>
        <v>5.2674855906454217E-2</v>
      </c>
      <c r="P55" s="1012"/>
      <c r="Q55" s="1012"/>
      <c r="R55" s="1012"/>
      <c r="S55" s="1012"/>
      <c r="T55" s="1012"/>
      <c r="U55" s="1012"/>
    </row>
    <row r="56" spans="1:21" s="120" customFormat="1">
      <c r="A56" s="269"/>
      <c r="B56" s="361" t="s">
        <v>75</v>
      </c>
      <c r="C56" s="1263">
        <f>+C57+C60+C67+C70</f>
        <v>0</v>
      </c>
      <c r="D56" s="1263">
        <f t="shared" ref="D56:N56" si="19">+D57+D60+D67+D70</f>
        <v>0</v>
      </c>
      <c r="E56" s="1263">
        <f t="shared" si="19"/>
        <v>0</v>
      </c>
      <c r="F56" s="1263">
        <f t="shared" si="19"/>
        <v>0</v>
      </c>
      <c r="G56" s="1263">
        <f t="shared" si="19"/>
        <v>0</v>
      </c>
      <c r="H56" s="1263">
        <f t="shared" si="19"/>
        <v>869.67226823301962</v>
      </c>
      <c r="I56" s="1263">
        <f t="shared" si="19"/>
        <v>0</v>
      </c>
      <c r="J56" s="1263">
        <f t="shared" si="19"/>
        <v>0</v>
      </c>
      <c r="K56" s="1263">
        <f t="shared" si="19"/>
        <v>0</v>
      </c>
      <c r="L56" s="1263">
        <f t="shared" si="19"/>
        <v>0</v>
      </c>
      <c r="M56" s="1263">
        <f t="shared" si="19"/>
        <v>0</v>
      </c>
      <c r="N56" s="1263">
        <f t="shared" si="19"/>
        <v>869.67226823301962</v>
      </c>
      <c r="O56" s="362">
        <f t="shared" ref="O56:O128" si="20">+SUM(C56:N56)</f>
        <v>1739.3445364660392</v>
      </c>
      <c r="P56" s="1012"/>
      <c r="Q56" s="463"/>
      <c r="R56" s="463"/>
      <c r="S56" s="463"/>
      <c r="T56" s="463"/>
      <c r="U56" s="463"/>
    </row>
    <row r="57" spans="1:21" s="120" customFormat="1">
      <c r="A57" s="269"/>
      <c r="B57" s="994" t="s">
        <v>23</v>
      </c>
      <c r="C57" s="1264">
        <f>+C58+C59</f>
        <v>0</v>
      </c>
      <c r="D57" s="1264">
        <f t="shared" ref="D57:N57" si="21">+D58+D59</f>
        <v>0</v>
      </c>
      <c r="E57" s="1264">
        <f t="shared" si="21"/>
        <v>0</v>
      </c>
      <c r="F57" s="1264">
        <f t="shared" si="21"/>
        <v>0</v>
      </c>
      <c r="G57" s="1264">
        <f t="shared" si="21"/>
        <v>0</v>
      </c>
      <c r="H57" s="1264">
        <f t="shared" si="21"/>
        <v>83.836007386691719</v>
      </c>
      <c r="I57" s="1264">
        <f t="shared" si="21"/>
        <v>0</v>
      </c>
      <c r="J57" s="1264">
        <f t="shared" si="21"/>
        <v>0</v>
      </c>
      <c r="K57" s="1264">
        <f t="shared" si="21"/>
        <v>0</v>
      </c>
      <c r="L57" s="1264">
        <f t="shared" si="21"/>
        <v>0</v>
      </c>
      <c r="M57" s="1264">
        <f t="shared" si="21"/>
        <v>0</v>
      </c>
      <c r="N57" s="1264">
        <f t="shared" si="21"/>
        <v>83.836007386691719</v>
      </c>
      <c r="O57" s="990">
        <f t="shared" si="20"/>
        <v>167.67201477338344</v>
      </c>
      <c r="P57" s="1012"/>
      <c r="Q57" s="463"/>
      <c r="R57" s="463"/>
      <c r="S57" s="463"/>
      <c r="T57" s="463"/>
      <c r="U57" s="463"/>
    </row>
    <row r="58" spans="1:21" s="120" customFormat="1">
      <c r="A58" s="269"/>
      <c r="B58" s="358" t="s">
        <v>240</v>
      </c>
      <c r="C58" s="1264">
        <v>0</v>
      </c>
      <c r="D58" s="1264">
        <v>0</v>
      </c>
      <c r="E58" s="1264">
        <v>0</v>
      </c>
      <c r="F58" s="1264">
        <v>0</v>
      </c>
      <c r="G58" s="1264">
        <v>0</v>
      </c>
      <c r="H58" s="1264">
        <v>82.8402067355713</v>
      </c>
      <c r="I58" s="1264">
        <v>0</v>
      </c>
      <c r="J58" s="1264">
        <v>0</v>
      </c>
      <c r="K58" s="1264">
        <v>0</v>
      </c>
      <c r="L58" s="1264">
        <v>0</v>
      </c>
      <c r="M58" s="1264">
        <v>0</v>
      </c>
      <c r="N58" s="990">
        <v>82.8402067355713</v>
      </c>
      <c r="O58" s="990">
        <f t="shared" si="20"/>
        <v>165.6804134711426</v>
      </c>
      <c r="P58" s="1012"/>
      <c r="Q58" s="463"/>
      <c r="R58" s="463"/>
      <c r="S58" s="463"/>
      <c r="T58" s="463"/>
      <c r="U58" s="463"/>
    </row>
    <row r="59" spans="1:21" s="120" customFormat="1">
      <c r="A59" s="269"/>
      <c r="B59" s="358" t="s">
        <v>241</v>
      </c>
      <c r="C59" s="1264">
        <v>0</v>
      </c>
      <c r="D59" s="1264">
        <v>0</v>
      </c>
      <c r="E59" s="1264">
        <v>0</v>
      </c>
      <c r="F59" s="1264">
        <v>0</v>
      </c>
      <c r="G59" s="1264">
        <v>0</v>
      </c>
      <c r="H59" s="1264">
        <v>0.99580065112041494</v>
      </c>
      <c r="I59" s="1264">
        <v>0</v>
      </c>
      <c r="J59" s="1264">
        <v>0</v>
      </c>
      <c r="K59" s="1264">
        <v>0</v>
      </c>
      <c r="L59" s="1264">
        <v>0</v>
      </c>
      <c r="M59" s="1264">
        <v>0</v>
      </c>
      <c r="N59" s="990">
        <v>0.99580065112041494</v>
      </c>
      <c r="O59" s="990">
        <f t="shared" si="20"/>
        <v>1.9916013022408299</v>
      </c>
      <c r="P59" s="1012"/>
      <c r="Q59" s="463"/>
      <c r="R59" s="463"/>
      <c r="S59" s="463"/>
      <c r="T59" s="463"/>
      <c r="U59" s="463"/>
    </row>
    <row r="60" spans="1:21" s="120" customFormat="1">
      <c r="A60" s="269"/>
      <c r="B60" s="994" t="s">
        <v>24</v>
      </c>
      <c r="C60" s="1264">
        <f>+C61+C64</f>
        <v>0</v>
      </c>
      <c r="D60" s="1264">
        <f t="shared" ref="D60:N60" si="22">+D61+D64</f>
        <v>0</v>
      </c>
      <c r="E60" s="1264">
        <f t="shared" si="22"/>
        <v>0</v>
      </c>
      <c r="F60" s="1264">
        <f t="shared" si="22"/>
        <v>0</v>
      </c>
      <c r="G60" s="1264">
        <f t="shared" si="22"/>
        <v>0</v>
      </c>
      <c r="H60" s="1264">
        <f t="shared" si="22"/>
        <v>530.70812977999992</v>
      </c>
      <c r="I60" s="1264">
        <f t="shared" si="22"/>
        <v>0</v>
      </c>
      <c r="J60" s="1264">
        <f t="shared" si="22"/>
        <v>0</v>
      </c>
      <c r="K60" s="1264">
        <f t="shared" si="22"/>
        <v>0</v>
      </c>
      <c r="L60" s="1264">
        <f t="shared" si="22"/>
        <v>0</v>
      </c>
      <c r="M60" s="1264">
        <f t="shared" si="22"/>
        <v>0</v>
      </c>
      <c r="N60" s="1264">
        <f t="shared" si="22"/>
        <v>530.70812977999992</v>
      </c>
      <c r="O60" s="990">
        <f t="shared" si="20"/>
        <v>1061.4162595599998</v>
      </c>
      <c r="P60" s="1012"/>
      <c r="Q60" s="463"/>
      <c r="R60" s="463"/>
      <c r="S60" s="463"/>
      <c r="T60" s="463"/>
      <c r="U60" s="463"/>
    </row>
    <row r="61" spans="1:21" s="120" customFormat="1">
      <c r="A61" s="269"/>
      <c r="B61" s="363" t="s">
        <v>240</v>
      </c>
      <c r="C61" s="1264">
        <f>+C62+C63</f>
        <v>0</v>
      </c>
      <c r="D61" s="1264">
        <f t="shared" ref="D61:N61" si="23">+D62+D63</f>
        <v>0</v>
      </c>
      <c r="E61" s="1264">
        <f t="shared" si="23"/>
        <v>0</v>
      </c>
      <c r="F61" s="1264">
        <f t="shared" si="23"/>
        <v>0</v>
      </c>
      <c r="G61" s="1264">
        <f t="shared" si="23"/>
        <v>0</v>
      </c>
      <c r="H61" s="1264">
        <f t="shared" si="23"/>
        <v>469.10147129999996</v>
      </c>
      <c r="I61" s="1264">
        <f t="shared" si="23"/>
        <v>0</v>
      </c>
      <c r="J61" s="1264">
        <f t="shared" si="23"/>
        <v>0</v>
      </c>
      <c r="K61" s="1264">
        <f t="shared" si="23"/>
        <v>0</v>
      </c>
      <c r="L61" s="1264">
        <f t="shared" si="23"/>
        <v>0</v>
      </c>
      <c r="M61" s="1264">
        <f t="shared" si="23"/>
        <v>0</v>
      </c>
      <c r="N61" s="1264">
        <f t="shared" si="23"/>
        <v>469.10147129999996</v>
      </c>
      <c r="O61" s="990">
        <f t="shared" si="20"/>
        <v>938.20294259999991</v>
      </c>
      <c r="P61" s="1012"/>
      <c r="Q61" s="463"/>
      <c r="R61" s="463"/>
      <c r="S61" s="463"/>
      <c r="T61" s="463"/>
      <c r="U61" s="463"/>
    </row>
    <row r="62" spans="1:21" s="120" customFormat="1">
      <c r="A62" s="269"/>
      <c r="B62" s="797" t="s">
        <v>242</v>
      </c>
      <c r="C62" s="1264">
        <v>0</v>
      </c>
      <c r="D62" s="1264">
        <v>0</v>
      </c>
      <c r="E62" s="1264">
        <v>0</v>
      </c>
      <c r="F62" s="1264">
        <v>0</v>
      </c>
      <c r="G62" s="1264">
        <v>0</v>
      </c>
      <c r="H62" s="1264">
        <v>176.42785387000001</v>
      </c>
      <c r="I62" s="1264">
        <v>0</v>
      </c>
      <c r="J62" s="1264">
        <v>0</v>
      </c>
      <c r="K62" s="1264">
        <v>0</v>
      </c>
      <c r="L62" s="1264">
        <v>0</v>
      </c>
      <c r="M62" s="1264">
        <v>0</v>
      </c>
      <c r="N62" s="990">
        <v>176.42785387000001</v>
      </c>
      <c r="O62" s="990">
        <f t="shared" si="20"/>
        <v>352.85570774000001</v>
      </c>
      <c r="P62" s="1012"/>
      <c r="Q62" s="463"/>
      <c r="R62" s="463"/>
      <c r="S62" s="463"/>
      <c r="T62" s="463"/>
      <c r="U62" s="463"/>
    </row>
    <row r="63" spans="1:21" s="120" customFormat="1">
      <c r="A63" s="269"/>
      <c r="B63" s="798" t="s">
        <v>243</v>
      </c>
      <c r="C63" s="1264">
        <v>0</v>
      </c>
      <c r="D63" s="1264">
        <v>0</v>
      </c>
      <c r="E63" s="1264">
        <v>0</v>
      </c>
      <c r="F63" s="1264">
        <v>0</v>
      </c>
      <c r="G63" s="1264">
        <v>0</v>
      </c>
      <c r="H63" s="1264">
        <v>292.67361742999998</v>
      </c>
      <c r="I63" s="1264">
        <v>0</v>
      </c>
      <c r="J63" s="1264">
        <v>0</v>
      </c>
      <c r="K63" s="1264">
        <v>0</v>
      </c>
      <c r="L63" s="1264">
        <v>0</v>
      </c>
      <c r="M63" s="1264">
        <v>0</v>
      </c>
      <c r="N63" s="990">
        <v>292.67361742999998</v>
      </c>
      <c r="O63" s="990">
        <f t="shared" si="20"/>
        <v>585.34723485999996</v>
      </c>
      <c r="P63" s="1012"/>
      <c r="Q63" s="463"/>
      <c r="R63" s="463"/>
      <c r="S63" s="463"/>
      <c r="T63" s="463"/>
      <c r="U63" s="463"/>
    </row>
    <row r="64" spans="1:21" s="120" customFormat="1">
      <c r="A64" s="269"/>
      <c r="B64" s="363" t="s">
        <v>241</v>
      </c>
      <c r="C64" s="1264">
        <f>+C65+C66</f>
        <v>0</v>
      </c>
      <c r="D64" s="1264">
        <f t="shared" ref="D64:N64" si="24">+D65+D66</f>
        <v>0</v>
      </c>
      <c r="E64" s="1264">
        <f t="shared" si="24"/>
        <v>0</v>
      </c>
      <c r="F64" s="1264">
        <f t="shared" si="24"/>
        <v>0</v>
      </c>
      <c r="G64" s="1264">
        <f t="shared" si="24"/>
        <v>0</v>
      </c>
      <c r="H64" s="1264">
        <f t="shared" si="24"/>
        <v>61.60665848</v>
      </c>
      <c r="I64" s="1264">
        <f t="shared" si="24"/>
        <v>0</v>
      </c>
      <c r="J64" s="1264">
        <f t="shared" si="24"/>
        <v>0</v>
      </c>
      <c r="K64" s="1264">
        <f t="shared" si="24"/>
        <v>0</v>
      </c>
      <c r="L64" s="1264">
        <f t="shared" si="24"/>
        <v>0</v>
      </c>
      <c r="M64" s="1264">
        <f t="shared" si="24"/>
        <v>0</v>
      </c>
      <c r="N64" s="1264">
        <f t="shared" si="24"/>
        <v>61.60665848</v>
      </c>
      <c r="O64" s="990">
        <f t="shared" si="20"/>
        <v>123.21331696</v>
      </c>
      <c r="P64" s="1012"/>
      <c r="Q64" s="463"/>
      <c r="R64" s="463"/>
      <c r="S64" s="463"/>
      <c r="T64" s="463"/>
      <c r="U64" s="463"/>
    </row>
    <row r="65" spans="1:21" s="120" customFormat="1">
      <c r="A65" s="269"/>
      <c r="B65" s="797" t="s">
        <v>242</v>
      </c>
      <c r="C65" s="1264">
        <v>0</v>
      </c>
      <c r="D65" s="1264">
        <v>0</v>
      </c>
      <c r="E65" s="1264">
        <v>0</v>
      </c>
      <c r="F65" s="1264">
        <v>0</v>
      </c>
      <c r="G65" s="1264">
        <v>0</v>
      </c>
      <c r="H65" s="1264">
        <v>53.975224019999999</v>
      </c>
      <c r="I65" s="1264">
        <v>0</v>
      </c>
      <c r="J65" s="1264">
        <v>0</v>
      </c>
      <c r="K65" s="1264">
        <v>0</v>
      </c>
      <c r="L65" s="1264">
        <v>0</v>
      </c>
      <c r="M65" s="1264">
        <v>0</v>
      </c>
      <c r="N65" s="990">
        <v>53.975224019999999</v>
      </c>
      <c r="O65" s="990">
        <f t="shared" si="20"/>
        <v>107.95044804</v>
      </c>
      <c r="P65" s="1012"/>
      <c r="Q65" s="463"/>
      <c r="R65" s="463"/>
      <c r="S65" s="463"/>
      <c r="T65" s="463"/>
      <c r="U65" s="463"/>
    </row>
    <row r="66" spans="1:21" s="120" customFormat="1">
      <c r="A66" s="269"/>
      <c r="B66" s="798" t="s">
        <v>243</v>
      </c>
      <c r="C66" s="1264">
        <v>0</v>
      </c>
      <c r="D66" s="1264">
        <v>0</v>
      </c>
      <c r="E66" s="1264">
        <v>0</v>
      </c>
      <c r="F66" s="1264">
        <v>0</v>
      </c>
      <c r="G66" s="1264">
        <v>0</v>
      </c>
      <c r="H66" s="1264">
        <v>7.6314344600000004</v>
      </c>
      <c r="I66" s="1264">
        <v>0</v>
      </c>
      <c r="J66" s="1264">
        <v>0</v>
      </c>
      <c r="K66" s="1264">
        <v>0</v>
      </c>
      <c r="L66" s="1264">
        <v>0</v>
      </c>
      <c r="M66" s="1264">
        <v>0</v>
      </c>
      <c r="N66" s="990">
        <v>7.6314344600000004</v>
      </c>
      <c r="O66" s="990">
        <f t="shared" si="20"/>
        <v>15.262868920000001</v>
      </c>
      <c r="P66" s="1012"/>
      <c r="Q66" s="463"/>
      <c r="R66" s="463"/>
      <c r="S66" s="463"/>
      <c r="T66" s="463"/>
      <c r="U66" s="463"/>
    </row>
    <row r="67" spans="1:21" s="120" customFormat="1">
      <c r="A67" s="269"/>
      <c r="B67" s="457" t="s">
        <v>25</v>
      </c>
      <c r="C67" s="1264">
        <f>+C68+C69</f>
        <v>0</v>
      </c>
      <c r="D67" s="1264">
        <f t="shared" ref="D67:N67" si="25">+D68+D69</f>
        <v>0</v>
      </c>
      <c r="E67" s="1264">
        <f t="shared" si="25"/>
        <v>0</v>
      </c>
      <c r="F67" s="1264">
        <f t="shared" si="25"/>
        <v>0</v>
      </c>
      <c r="G67" s="1264">
        <f t="shared" si="25"/>
        <v>0</v>
      </c>
      <c r="H67" s="1264">
        <f t="shared" si="25"/>
        <v>253.16971766618082</v>
      </c>
      <c r="I67" s="1264">
        <f t="shared" si="25"/>
        <v>0</v>
      </c>
      <c r="J67" s="1264">
        <f t="shared" si="25"/>
        <v>0</v>
      </c>
      <c r="K67" s="1264">
        <f t="shared" si="25"/>
        <v>0</v>
      </c>
      <c r="L67" s="1264">
        <f t="shared" si="25"/>
        <v>0</v>
      </c>
      <c r="M67" s="1264">
        <f t="shared" si="25"/>
        <v>0</v>
      </c>
      <c r="N67" s="1264">
        <f t="shared" si="25"/>
        <v>253.16971766618082</v>
      </c>
      <c r="O67" s="990">
        <f t="shared" si="20"/>
        <v>506.33943533236163</v>
      </c>
      <c r="P67" s="1012"/>
      <c r="Q67" s="463"/>
      <c r="R67" s="463"/>
      <c r="S67" s="463"/>
      <c r="T67" s="463"/>
      <c r="U67" s="463"/>
    </row>
    <row r="68" spans="1:21" s="120" customFormat="1">
      <c r="A68" s="269"/>
      <c r="B68" s="363" t="s">
        <v>240</v>
      </c>
      <c r="C68" s="1264">
        <v>0</v>
      </c>
      <c r="D68" s="1264">
        <v>0</v>
      </c>
      <c r="E68" s="1264">
        <v>0</v>
      </c>
      <c r="F68" s="1264">
        <v>0</v>
      </c>
      <c r="G68" s="1264">
        <v>0</v>
      </c>
      <c r="H68" s="1264">
        <v>136.51959736576597</v>
      </c>
      <c r="I68" s="1264">
        <v>0</v>
      </c>
      <c r="J68" s="1264">
        <v>0</v>
      </c>
      <c r="K68" s="1264">
        <v>0</v>
      </c>
      <c r="L68" s="1264">
        <v>0</v>
      </c>
      <c r="M68" s="1264">
        <v>0</v>
      </c>
      <c r="N68" s="990">
        <v>136.51959736576597</v>
      </c>
      <c r="O68" s="990">
        <f t="shared" si="20"/>
        <v>273.03919473153195</v>
      </c>
      <c r="P68" s="1012"/>
      <c r="Q68" s="463"/>
      <c r="R68" s="463"/>
      <c r="S68" s="463"/>
      <c r="T68" s="463"/>
      <c r="U68" s="463"/>
    </row>
    <row r="69" spans="1:21" s="120" customFormat="1">
      <c r="A69" s="269"/>
      <c r="B69" s="363" t="s">
        <v>241</v>
      </c>
      <c r="C69" s="1264">
        <v>0</v>
      </c>
      <c r="D69" s="1264">
        <v>0</v>
      </c>
      <c r="E69" s="1264">
        <v>0</v>
      </c>
      <c r="F69" s="1264">
        <v>0</v>
      </c>
      <c r="G69" s="1264">
        <v>0</v>
      </c>
      <c r="H69" s="1264">
        <v>116.65012030041486</v>
      </c>
      <c r="I69" s="1264">
        <v>0</v>
      </c>
      <c r="J69" s="1264">
        <v>0</v>
      </c>
      <c r="K69" s="1264">
        <v>0</v>
      </c>
      <c r="L69" s="1264">
        <v>0</v>
      </c>
      <c r="M69" s="1264">
        <v>0</v>
      </c>
      <c r="N69" s="990">
        <v>116.65012030041486</v>
      </c>
      <c r="O69" s="990">
        <f t="shared" si="20"/>
        <v>233.30024060082971</v>
      </c>
      <c r="P69" s="1012"/>
      <c r="Q69" s="463"/>
      <c r="R69" s="463"/>
      <c r="S69" s="463"/>
      <c r="T69" s="463"/>
      <c r="U69" s="463"/>
    </row>
    <row r="70" spans="1:21" s="120" customFormat="1">
      <c r="A70" s="269"/>
      <c r="B70" s="457" t="s">
        <v>26</v>
      </c>
      <c r="C70" s="1264">
        <f>+C71+C72</f>
        <v>0</v>
      </c>
      <c r="D70" s="1264">
        <f t="shared" ref="D70:N70" si="26">+D71+D72</f>
        <v>0</v>
      </c>
      <c r="E70" s="1264">
        <f t="shared" si="26"/>
        <v>0</v>
      </c>
      <c r="F70" s="1264">
        <f t="shared" si="26"/>
        <v>0</v>
      </c>
      <c r="G70" s="1264">
        <f t="shared" si="26"/>
        <v>0</v>
      </c>
      <c r="H70" s="1264">
        <f t="shared" si="26"/>
        <v>1.9584134001473155</v>
      </c>
      <c r="I70" s="1264">
        <f t="shared" si="26"/>
        <v>0</v>
      </c>
      <c r="J70" s="1264">
        <f t="shared" si="26"/>
        <v>0</v>
      </c>
      <c r="K70" s="1264">
        <f t="shared" si="26"/>
        <v>0</v>
      </c>
      <c r="L70" s="1264">
        <f t="shared" si="26"/>
        <v>0</v>
      </c>
      <c r="M70" s="1264">
        <f t="shared" si="26"/>
        <v>0</v>
      </c>
      <c r="N70" s="1264">
        <f t="shared" si="26"/>
        <v>1.9584134001473155</v>
      </c>
      <c r="O70" s="990">
        <f t="shared" si="20"/>
        <v>3.9168268002946309</v>
      </c>
      <c r="P70" s="1012"/>
      <c r="Q70" s="463"/>
      <c r="R70" s="463"/>
      <c r="S70" s="463"/>
      <c r="T70" s="463"/>
      <c r="U70" s="463"/>
    </row>
    <row r="71" spans="1:21" s="120" customFormat="1">
      <c r="A71" s="269"/>
      <c r="B71" s="363" t="s">
        <v>240</v>
      </c>
      <c r="C71" s="1264">
        <v>0</v>
      </c>
      <c r="D71" s="1264">
        <v>0</v>
      </c>
      <c r="E71" s="1264">
        <v>0</v>
      </c>
      <c r="F71" s="1264">
        <v>0</v>
      </c>
      <c r="G71" s="1264">
        <v>0</v>
      </c>
      <c r="H71" s="1264">
        <v>1.35123859396004</v>
      </c>
      <c r="I71" s="1264">
        <v>0</v>
      </c>
      <c r="J71" s="1264">
        <v>0</v>
      </c>
      <c r="K71" s="1264">
        <v>0</v>
      </c>
      <c r="L71" s="1264">
        <v>0</v>
      </c>
      <c r="M71" s="1264">
        <v>0</v>
      </c>
      <c r="N71" s="990">
        <v>1.35123859396004</v>
      </c>
      <c r="O71" s="990">
        <f t="shared" si="20"/>
        <v>2.70247718792008</v>
      </c>
      <c r="P71" s="1012"/>
      <c r="Q71" s="463"/>
      <c r="R71" s="463"/>
      <c r="S71" s="463"/>
      <c r="T71" s="463"/>
      <c r="U71" s="463"/>
    </row>
    <row r="72" spans="1:21" s="120" customFormat="1">
      <c r="A72" s="269"/>
      <c r="B72" s="363" t="s">
        <v>241</v>
      </c>
      <c r="C72" s="1264">
        <v>0</v>
      </c>
      <c r="D72" s="1264">
        <v>0</v>
      </c>
      <c r="E72" s="1264">
        <v>0</v>
      </c>
      <c r="F72" s="1264">
        <v>0</v>
      </c>
      <c r="G72" s="1264">
        <v>0</v>
      </c>
      <c r="H72" s="1264">
        <v>0.60717480618727548</v>
      </c>
      <c r="I72" s="1264">
        <v>0</v>
      </c>
      <c r="J72" s="1264">
        <v>0</v>
      </c>
      <c r="K72" s="1264">
        <v>0</v>
      </c>
      <c r="L72" s="1264">
        <v>0</v>
      </c>
      <c r="M72" s="1264">
        <v>0</v>
      </c>
      <c r="N72" s="990">
        <v>0.60717480618727548</v>
      </c>
      <c r="O72" s="990">
        <f t="shared" si="20"/>
        <v>1.214349612374551</v>
      </c>
      <c r="P72" s="1012"/>
      <c r="Q72" s="463"/>
      <c r="R72" s="463"/>
      <c r="S72" s="463"/>
      <c r="T72" s="463"/>
      <c r="U72" s="463"/>
    </row>
    <row r="73" spans="1:21" s="120" customFormat="1">
      <c r="A73" s="269"/>
      <c r="B73" s="997" t="s">
        <v>27</v>
      </c>
      <c r="C73" s="998">
        <v>0</v>
      </c>
      <c r="D73" s="1011">
        <v>0</v>
      </c>
      <c r="E73" s="1011">
        <v>0</v>
      </c>
      <c r="F73" s="1011">
        <v>0</v>
      </c>
      <c r="G73" s="1011">
        <v>0</v>
      </c>
      <c r="H73" s="1011">
        <v>115.42288011659799</v>
      </c>
      <c r="I73" s="1011">
        <v>0</v>
      </c>
      <c r="J73" s="1011">
        <v>0</v>
      </c>
      <c r="K73" s="1011">
        <v>0</v>
      </c>
      <c r="L73" s="1011">
        <v>0</v>
      </c>
      <c r="M73" s="998">
        <v>0</v>
      </c>
      <c r="N73" s="999">
        <v>115.42288011659799</v>
      </c>
      <c r="O73" s="539">
        <f t="shared" si="20"/>
        <v>230.84576023319599</v>
      </c>
      <c r="P73" s="1012"/>
      <c r="Q73" s="463"/>
      <c r="R73" s="463"/>
      <c r="S73" s="463"/>
      <c r="T73" s="463"/>
      <c r="U73" s="463"/>
    </row>
    <row r="74" spans="1:21" s="120" customFormat="1">
      <c r="A74" s="269"/>
      <c r="B74" s="997" t="s">
        <v>690</v>
      </c>
      <c r="C74" s="998">
        <v>0</v>
      </c>
      <c r="D74" s="1011">
        <v>0</v>
      </c>
      <c r="E74" s="1011">
        <v>74.993613084711995</v>
      </c>
      <c r="F74" s="1011">
        <v>0</v>
      </c>
      <c r="G74" s="1011">
        <v>0</v>
      </c>
      <c r="H74" s="1011">
        <v>75.817718723005498</v>
      </c>
      <c r="I74" s="1011">
        <v>0</v>
      </c>
      <c r="J74" s="1011">
        <v>0</v>
      </c>
      <c r="K74" s="1011">
        <v>75.817718723005498</v>
      </c>
      <c r="L74" s="1011">
        <v>0</v>
      </c>
      <c r="M74" s="998">
        <v>0</v>
      </c>
      <c r="N74" s="999">
        <v>74.993613084711995</v>
      </c>
      <c r="O74" s="539">
        <f t="shared" si="20"/>
        <v>301.62266361543499</v>
      </c>
      <c r="P74" s="1012"/>
      <c r="Q74" s="463"/>
      <c r="R74" s="463"/>
      <c r="S74" s="463"/>
      <c r="T74" s="463"/>
      <c r="U74" s="463"/>
    </row>
    <row r="75" spans="1:21" s="120" customFormat="1">
      <c r="A75" s="269"/>
      <c r="B75" s="996" t="s">
        <v>387</v>
      </c>
      <c r="C75" s="998">
        <v>0</v>
      </c>
      <c r="D75" s="1011">
        <v>0</v>
      </c>
      <c r="E75" s="1011">
        <v>35.5861173817514</v>
      </c>
      <c r="F75" s="1011">
        <v>0</v>
      </c>
      <c r="G75" s="1011">
        <v>0</v>
      </c>
      <c r="H75" s="1011">
        <v>0</v>
      </c>
      <c r="I75" s="1011">
        <v>0</v>
      </c>
      <c r="J75" s="1011">
        <v>0</v>
      </c>
      <c r="K75" s="1011">
        <v>0</v>
      </c>
      <c r="L75" s="1011">
        <v>0</v>
      </c>
      <c r="M75" s="998">
        <v>0</v>
      </c>
      <c r="N75" s="999">
        <v>0</v>
      </c>
      <c r="O75" s="539">
        <f t="shared" si="20"/>
        <v>35.5861173817514</v>
      </c>
      <c r="P75" s="1012"/>
      <c r="Q75" s="463"/>
      <c r="R75" s="463"/>
      <c r="S75" s="463"/>
      <c r="T75" s="463"/>
      <c r="U75" s="463"/>
    </row>
    <row r="76" spans="1:21" s="120" customFormat="1">
      <c r="A76" s="269"/>
      <c r="B76" s="996" t="s">
        <v>534</v>
      </c>
      <c r="C76" s="998">
        <v>112.514411144665</v>
      </c>
      <c r="D76" s="1011">
        <v>0</v>
      </c>
      <c r="E76" s="1011">
        <v>0</v>
      </c>
      <c r="F76" s="1011">
        <v>111.291428414832</v>
      </c>
      <c r="G76" s="1011">
        <v>0</v>
      </c>
      <c r="H76" s="1011">
        <v>0</v>
      </c>
      <c r="I76" s="1011">
        <v>111.291428414832</v>
      </c>
      <c r="J76" s="1011">
        <v>0</v>
      </c>
      <c r="K76" s="1011">
        <v>0</v>
      </c>
      <c r="L76" s="1011">
        <v>112.514411144665</v>
      </c>
      <c r="M76" s="998">
        <v>0</v>
      </c>
      <c r="N76" s="999">
        <v>0</v>
      </c>
      <c r="O76" s="539">
        <f t="shared" si="20"/>
        <v>447.611679118994</v>
      </c>
      <c r="P76" s="1012"/>
      <c r="Q76" s="463"/>
      <c r="R76" s="463"/>
      <c r="S76" s="463"/>
      <c r="T76" s="463"/>
      <c r="U76" s="463"/>
    </row>
    <row r="77" spans="1:21" s="120" customFormat="1">
      <c r="A77" s="269"/>
      <c r="B77" s="996" t="s">
        <v>656</v>
      </c>
      <c r="C77" s="998">
        <v>3.95561718774522</v>
      </c>
      <c r="D77" s="1011">
        <v>3.7979320130227903</v>
      </c>
      <c r="E77" s="1011">
        <v>3.9012891431672099</v>
      </c>
      <c r="F77" s="1011">
        <v>3.8749916268469797</v>
      </c>
      <c r="G77" s="1011">
        <v>3.8478176086484703</v>
      </c>
      <c r="H77" s="1011">
        <v>3.8204912428416402</v>
      </c>
      <c r="I77" s="1011">
        <v>3.7930116754320102</v>
      </c>
      <c r="J77" s="1011">
        <v>3.7653780474163097</v>
      </c>
      <c r="K77" s="1011">
        <v>3.7375894952834101</v>
      </c>
      <c r="L77" s="1011">
        <v>3.7096451503464398</v>
      </c>
      <c r="M77" s="998">
        <v>3.6815441392436798</v>
      </c>
      <c r="N77" s="999">
        <v>3.6532855834376798</v>
      </c>
      <c r="O77" s="539">
        <f t="shared" si="20"/>
        <v>45.538592913431835</v>
      </c>
      <c r="P77" s="1012"/>
      <c r="Q77" s="463"/>
      <c r="R77" s="463"/>
      <c r="S77" s="463"/>
      <c r="T77" s="463"/>
      <c r="U77" s="463"/>
    </row>
    <row r="78" spans="1:21" s="120" customFormat="1">
      <c r="A78" s="269"/>
      <c r="B78" s="996" t="s">
        <v>507</v>
      </c>
      <c r="C78" s="998">
        <v>0</v>
      </c>
      <c r="D78" s="1011">
        <v>0</v>
      </c>
      <c r="E78" s="1011">
        <v>0</v>
      </c>
      <c r="F78" s="1011">
        <v>124.95455071124501</v>
      </c>
      <c r="G78" s="1011">
        <v>0</v>
      </c>
      <c r="H78" s="1011">
        <v>0</v>
      </c>
      <c r="I78" s="1011">
        <v>0</v>
      </c>
      <c r="J78" s="1011">
        <v>0</v>
      </c>
      <c r="K78" s="1011">
        <v>0</v>
      </c>
      <c r="L78" s="1011">
        <v>124.95455071124501</v>
      </c>
      <c r="M78" s="998">
        <v>0</v>
      </c>
      <c r="N78" s="999">
        <v>0</v>
      </c>
      <c r="O78" s="539">
        <f t="shared" si="20"/>
        <v>249.90910142249001</v>
      </c>
      <c r="P78" s="1012"/>
      <c r="Q78" s="463"/>
      <c r="R78" s="463"/>
      <c r="S78" s="463"/>
      <c r="T78" s="463"/>
      <c r="U78" s="463"/>
    </row>
    <row r="79" spans="1:21" s="120" customFormat="1">
      <c r="A79" s="269"/>
      <c r="B79" s="997" t="s">
        <v>508</v>
      </c>
      <c r="C79" s="998">
        <v>0</v>
      </c>
      <c r="D79" s="1011">
        <v>0</v>
      </c>
      <c r="E79" s="1011">
        <v>0</v>
      </c>
      <c r="F79" s="1011">
        <v>85.683750638283698</v>
      </c>
      <c r="G79" s="1011">
        <v>0</v>
      </c>
      <c r="H79" s="1011">
        <v>0</v>
      </c>
      <c r="I79" s="1011">
        <v>0</v>
      </c>
      <c r="J79" s="1011">
        <v>0</v>
      </c>
      <c r="K79" s="1011">
        <v>0</v>
      </c>
      <c r="L79" s="1011">
        <v>85.683750638283698</v>
      </c>
      <c r="M79" s="998">
        <v>0</v>
      </c>
      <c r="N79" s="999">
        <v>0</v>
      </c>
      <c r="O79" s="539">
        <f t="shared" si="20"/>
        <v>171.3675012765674</v>
      </c>
      <c r="P79" s="1012"/>
      <c r="Q79" s="463"/>
      <c r="R79" s="463"/>
      <c r="S79" s="463"/>
      <c r="T79" s="463"/>
      <c r="U79" s="463"/>
    </row>
    <row r="80" spans="1:21" s="120" customFormat="1">
      <c r="A80" s="269"/>
      <c r="B80" s="996" t="s">
        <v>509</v>
      </c>
      <c r="C80" s="998">
        <v>0</v>
      </c>
      <c r="D80" s="1011">
        <v>0</v>
      </c>
      <c r="E80" s="1011">
        <v>0</v>
      </c>
      <c r="F80" s="1011">
        <v>94.957842878036601</v>
      </c>
      <c r="G80" s="1011">
        <v>0</v>
      </c>
      <c r="H80" s="1011">
        <v>0</v>
      </c>
      <c r="I80" s="1011">
        <v>0</v>
      </c>
      <c r="J80" s="1011">
        <v>0</v>
      </c>
      <c r="K80" s="1011">
        <v>0</v>
      </c>
      <c r="L80" s="1011">
        <v>94.957842878036601</v>
      </c>
      <c r="M80" s="998">
        <v>0</v>
      </c>
      <c r="N80" s="999">
        <v>0</v>
      </c>
      <c r="O80" s="539">
        <f t="shared" si="20"/>
        <v>189.9156857560732</v>
      </c>
      <c r="P80" s="1012"/>
      <c r="Q80" s="463"/>
      <c r="R80" s="463"/>
      <c r="S80" s="463"/>
      <c r="T80" s="463"/>
      <c r="U80" s="463"/>
    </row>
    <row r="81" spans="1:21" s="120" customFormat="1">
      <c r="A81" s="269"/>
      <c r="B81" s="997" t="s">
        <v>682</v>
      </c>
      <c r="C81" s="998">
        <v>0</v>
      </c>
      <c r="D81" s="1011">
        <v>0</v>
      </c>
      <c r="E81" s="1011">
        <v>0</v>
      </c>
      <c r="F81" s="1011">
        <v>0</v>
      </c>
      <c r="G81" s="1011">
        <v>270.892831382586</v>
      </c>
      <c r="H81" s="1011">
        <v>0</v>
      </c>
      <c r="I81" s="1011">
        <v>0</v>
      </c>
      <c r="J81" s="1011">
        <v>0</v>
      </c>
      <c r="K81" s="1011">
        <v>0</v>
      </c>
      <c r="L81" s="1011">
        <v>0</v>
      </c>
      <c r="M81" s="998">
        <v>270.892831382586</v>
      </c>
      <c r="N81" s="999">
        <v>0</v>
      </c>
      <c r="O81" s="539">
        <f t="shared" si="20"/>
        <v>541.78566276517199</v>
      </c>
      <c r="P81" s="1012"/>
      <c r="Q81" s="463"/>
      <c r="R81" s="463"/>
      <c r="S81" s="463"/>
      <c r="T81" s="463"/>
      <c r="U81" s="463"/>
    </row>
    <row r="82" spans="1:21" s="120" customFormat="1">
      <c r="A82" s="269"/>
      <c r="B82" s="1010" t="s">
        <v>631</v>
      </c>
      <c r="C82" s="998">
        <v>0</v>
      </c>
      <c r="D82" s="1011">
        <v>0</v>
      </c>
      <c r="E82" s="1011">
        <v>0</v>
      </c>
      <c r="F82" s="1011">
        <v>0</v>
      </c>
      <c r="G82" s="1011">
        <v>290.24680932000001</v>
      </c>
      <c r="H82" s="1011">
        <v>0</v>
      </c>
      <c r="I82" s="1011">
        <v>0</v>
      </c>
      <c r="J82" s="1011">
        <v>0</v>
      </c>
      <c r="K82" s="1011">
        <v>0</v>
      </c>
      <c r="L82" s="1011">
        <v>0</v>
      </c>
      <c r="M82" s="998">
        <v>232.22530891999997</v>
      </c>
      <c r="N82" s="999">
        <v>0</v>
      </c>
      <c r="O82" s="539">
        <f t="shared" si="20"/>
        <v>522.47211823999999</v>
      </c>
      <c r="P82" s="1012"/>
      <c r="Q82" s="463"/>
      <c r="R82" s="463"/>
      <c r="S82" s="463"/>
      <c r="T82" s="463"/>
      <c r="U82" s="463"/>
    </row>
    <row r="83" spans="1:21" s="120" customFormat="1">
      <c r="A83" s="269"/>
      <c r="B83" s="996" t="s">
        <v>379</v>
      </c>
      <c r="C83" s="998">
        <v>0</v>
      </c>
      <c r="D83" s="1011">
        <v>0</v>
      </c>
      <c r="E83" s="1011">
        <v>0</v>
      </c>
      <c r="F83" s="1011">
        <v>117.90242668</v>
      </c>
      <c r="G83" s="1011">
        <v>0</v>
      </c>
      <c r="H83" s="1011">
        <v>0</v>
      </c>
      <c r="I83" s="1011">
        <v>0</v>
      </c>
      <c r="J83" s="1011">
        <v>0</v>
      </c>
      <c r="K83" s="1011">
        <v>0</v>
      </c>
      <c r="L83" s="1011">
        <v>117.90242668</v>
      </c>
      <c r="M83" s="998">
        <v>0</v>
      </c>
      <c r="N83" s="999">
        <v>0</v>
      </c>
      <c r="O83" s="539">
        <f t="shared" si="20"/>
        <v>235.80485336000001</v>
      </c>
      <c r="P83" s="1012"/>
      <c r="Q83" s="463"/>
      <c r="R83" s="463"/>
      <c r="S83" s="463"/>
      <c r="T83" s="463"/>
      <c r="U83" s="463"/>
    </row>
    <row r="84" spans="1:21" s="120" customFormat="1">
      <c r="A84" s="269"/>
      <c r="B84" s="997" t="s">
        <v>494</v>
      </c>
      <c r="C84" s="998">
        <v>0</v>
      </c>
      <c r="D84" s="1011">
        <v>0</v>
      </c>
      <c r="E84" s="1011">
        <v>0</v>
      </c>
      <c r="F84" s="1011">
        <v>0</v>
      </c>
      <c r="G84" s="1011">
        <v>0</v>
      </c>
      <c r="H84" s="1011">
        <v>174.28794468000001</v>
      </c>
      <c r="I84" s="1011">
        <v>0</v>
      </c>
      <c r="J84" s="1011">
        <v>0</v>
      </c>
      <c r="K84" s="1011">
        <v>0</v>
      </c>
      <c r="L84" s="1011">
        <v>0</v>
      </c>
      <c r="M84" s="998">
        <v>0</v>
      </c>
      <c r="N84" s="999">
        <v>174.28794468000001</v>
      </c>
      <c r="O84" s="539">
        <f t="shared" si="20"/>
        <v>348.57588936000002</v>
      </c>
      <c r="P84" s="1012"/>
      <c r="Q84" s="463"/>
      <c r="R84" s="463"/>
      <c r="S84" s="463"/>
      <c r="T84" s="463"/>
      <c r="U84" s="463"/>
    </row>
    <row r="85" spans="1:21" s="120" customFormat="1">
      <c r="A85" s="269"/>
      <c r="B85" s="996" t="s">
        <v>495</v>
      </c>
      <c r="C85" s="998">
        <v>0</v>
      </c>
      <c r="D85" s="1011">
        <v>0</v>
      </c>
      <c r="E85" s="1011">
        <v>0</v>
      </c>
      <c r="F85" s="1011">
        <v>0</v>
      </c>
      <c r="G85" s="1011">
        <v>0</v>
      </c>
      <c r="H85" s="1011">
        <v>177.59946388999998</v>
      </c>
      <c r="I85" s="1011">
        <v>0</v>
      </c>
      <c r="J85" s="1011">
        <v>0</v>
      </c>
      <c r="K85" s="1011">
        <v>0</v>
      </c>
      <c r="L85" s="1011">
        <v>0</v>
      </c>
      <c r="M85" s="998">
        <v>0</v>
      </c>
      <c r="N85" s="999">
        <v>177.59946388999998</v>
      </c>
      <c r="O85" s="539">
        <f t="shared" si="20"/>
        <v>355.19892777999996</v>
      </c>
      <c r="P85" s="1012"/>
      <c r="Q85" s="463"/>
      <c r="R85" s="463"/>
      <c r="S85" s="463"/>
      <c r="T85" s="463"/>
      <c r="U85" s="463"/>
    </row>
    <row r="86" spans="1:21" s="120" customFormat="1">
      <c r="A86" s="269"/>
      <c r="B86" s="997" t="s">
        <v>496</v>
      </c>
      <c r="C86" s="998">
        <v>0</v>
      </c>
      <c r="D86" s="1011">
        <v>0</v>
      </c>
      <c r="E86" s="1011">
        <v>0</v>
      </c>
      <c r="F86" s="1011">
        <v>0</v>
      </c>
      <c r="G86" s="1011">
        <v>0</v>
      </c>
      <c r="H86" s="1011">
        <v>184.68842028999998</v>
      </c>
      <c r="I86" s="1011">
        <v>0</v>
      </c>
      <c r="J86" s="1011">
        <v>0</v>
      </c>
      <c r="K86" s="1011">
        <v>0</v>
      </c>
      <c r="L86" s="1011">
        <v>0</v>
      </c>
      <c r="M86" s="998">
        <v>0</v>
      </c>
      <c r="N86" s="999">
        <v>184.68842028999998</v>
      </c>
      <c r="O86" s="539">
        <f t="shared" si="20"/>
        <v>369.37684057999996</v>
      </c>
      <c r="P86" s="1012"/>
      <c r="Q86" s="463"/>
      <c r="R86" s="463"/>
      <c r="S86" s="463"/>
      <c r="T86" s="463"/>
      <c r="U86" s="463"/>
    </row>
    <row r="87" spans="1:21" s="120" customFormat="1">
      <c r="A87" s="269"/>
      <c r="B87" s="997" t="s">
        <v>540</v>
      </c>
      <c r="C87" s="998">
        <v>0</v>
      </c>
      <c r="D87" s="1011">
        <v>0</v>
      </c>
      <c r="E87" s="1011">
        <v>0</v>
      </c>
      <c r="F87" s="1011">
        <v>44.154652329999998</v>
      </c>
      <c r="G87" s="1011">
        <v>0</v>
      </c>
      <c r="H87" s="1011">
        <v>0</v>
      </c>
      <c r="I87" s="1011">
        <v>0</v>
      </c>
      <c r="J87" s="1011">
        <v>0</v>
      </c>
      <c r="K87" s="1011">
        <v>0</v>
      </c>
      <c r="L87" s="1011">
        <v>44.154652329999998</v>
      </c>
      <c r="M87" s="998">
        <v>0</v>
      </c>
      <c r="N87" s="999">
        <v>0</v>
      </c>
      <c r="O87" s="539">
        <f t="shared" si="20"/>
        <v>88.309304659999995</v>
      </c>
      <c r="P87" s="1012"/>
      <c r="Q87" s="463"/>
      <c r="R87" s="463"/>
      <c r="S87" s="463"/>
      <c r="T87" s="463"/>
      <c r="U87" s="463"/>
    </row>
    <row r="88" spans="1:21" s="120" customFormat="1">
      <c r="A88" s="269"/>
      <c r="B88" s="1010" t="s">
        <v>541</v>
      </c>
      <c r="C88" s="998">
        <v>0</v>
      </c>
      <c r="D88" s="1011">
        <v>0</v>
      </c>
      <c r="E88" s="1011">
        <v>0</v>
      </c>
      <c r="F88" s="1011">
        <v>103.72979526</v>
      </c>
      <c r="G88" s="1011">
        <v>0</v>
      </c>
      <c r="H88" s="1011">
        <v>0</v>
      </c>
      <c r="I88" s="1011">
        <v>0</v>
      </c>
      <c r="J88" s="1011">
        <v>0</v>
      </c>
      <c r="K88" s="1011">
        <v>0</v>
      </c>
      <c r="L88" s="1011">
        <v>103.72979526</v>
      </c>
      <c r="M88" s="998">
        <v>0</v>
      </c>
      <c r="N88" s="999">
        <v>0</v>
      </c>
      <c r="O88" s="539">
        <f t="shared" si="20"/>
        <v>207.45959052000001</v>
      </c>
      <c r="P88" s="1012"/>
      <c r="Q88" s="463"/>
      <c r="R88" s="463"/>
      <c r="S88" s="463"/>
      <c r="T88" s="463"/>
      <c r="U88" s="463"/>
    </row>
    <row r="89" spans="1:21" s="120" customFormat="1">
      <c r="A89" s="269"/>
      <c r="B89" s="1010" t="s">
        <v>702</v>
      </c>
      <c r="C89" s="998">
        <v>0</v>
      </c>
      <c r="D89" s="1011">
        <v>0</v>
      </c>
      <c r="E89" s="1011">
        <v>0</v>
      </c>
      <c r="F89" s="1011">
        <v>0</v>
      </c>
      <c r="G89" s="1011">
        <v>84.81139395999999</v>
      </c>
      <c r="H89" s="1011">
        <v>0</v>
      </c>
      <c r="I89" s="1011">
        <v>0</v>
      </c>
      <c r="J89" s="1011">
        <v>0</v>
      </c>
      <c r="K89" s="1011">
        <v>0</v>
      </c>
      <c r="L89" s="1011">
        <v>0</v>
      </c>
      <c r="M89" s="998">
        <v>0</v>
      </c>
      <c r="N89" s="999">
        <v>0</v>
      </c>
      <c r="O89" s="539">
        <f t="shared" si="20"/>
        <v>84.81139395999999</v>
      </c>
      <c r="P89" s="1012"/>
      <c r="Q89" s="463"/>
      <c r="R89" s="463"/>
      <c r="S89" s="463"/>
      <c r="T89" s="463"/>
      <c r="U89" s="463"/>
    </row>
    <row r="90" spans="1:21" s="993" customFormat="1">
      <c r="A90" s="994"/>
      <c r="B90" s="1010" t="s">
        <v>714</v>
      </c>
      <c r="C90" s="1011">
        <v>0</v>
      </c>
      <c r="D90" s="1011">
        <v>83.926609977800908</v>
      </c>
      <c r="E90" s="1011">
        <v>0</v>
      </c>
      <c r="F90" s="1011">
        <v>0</v>
      </c>
      <c r="G90" s="1011">
        <v>82.102118456544403</v>
      </c>
      <c r="H90" s="1011">
        <v>0</v>
      </c>
      <c r="I90" s="1011">
        <v>0</v>
      </c>
      <c r="J90" s="1011">
        <v>83.926609977800908</v>
      </c>
      <c r="K90" s="1011">
        <v>0</v>
      </c>
      <c r="L90" s="1011">
        <v>0</v>
      </c>
      <c r="M90" s="1011">
        <v>83.926609977800908</v>
      </c>
      <c r="N90" s="999">
        <v>0</v>
      </c>
      <c r="O90" s="999">
        <f t="shared" si="20"/>
        <v>333.88194838994713</v>
      </c>
      <c r="P90" s="1012"/>
      <c r="Q90" s="1012"/>
      <c r="R90" s="1012"/>
      <c r="S90" s="1012"/>
      <c r="T90" s="1012"/>
      <c r="U90" s="1012"/>
    </row>
    <row r="91" spans="1:21" s="120" customFormat="1">
      <c r="A91" s="269"/>
      <c r="B91" s="997" t="s">
        <v>704</v>
      </c>
      <c r="C91" s="998">
        <v>0</v>
      </c>
      <c r="D91" s="1011">
        <v>116.69121895000001</v>
      </c>
      <c r="E91" s="1011">
        <v>0</v>
      </c>
      <c r="F91" s="1011">
        <v>0</v>
      </c>
      <c r="G91" s="1011">
        <v>0</v>
      </c>
      <c r="H91" s="1011">
        <v>0</v>
      </c>
      <c r="I91" s="1011">
        <v>0</v>
      </c>
      <c r="J91" s="1011">
        <v>0</v>
      </c>
      <c r="K91" s="1011">
        <v>0</v>
      </c>
      <c r="L91" s="1011">
        <v>0</v>
      </c>
      <c r="M91" s="998">
        <v>0</v>
      </c>
      <c r="N91" s="999">
        <v>0</v>
      </c>
      <c r="O91" s="539">
        <f t="shared" si="20"/>
        <v>116.69121895000001</v>
      </c>
      <c r="P91" s="1012"/>
      <c r="Q91" s="463"/>
      <c r="R91" s="463"/>
      <c r="S91" s="463"/>
      <c r="T91" s="463"/>
      <c r="U91" s="463"/>
    </row>
    <row r="92" spans="1:21" s="120" customFormat="1">
      <c r="A92" s="269"/>
      <c r="B92" s="997" t="s">
        <v>419</v>
      </c>
      <c r="C92" s="998">
        <v>0</v>
      </c>
      <c r="D92" s="1011">
        <v>0</v>
      </c>
      <c r="E92" s="1011">
        <v>0</v>
      </c>
      <c r="F92" s="1011">
        <v>154.6875</v>
      </c>
      <c r="G92" s="1011">
        <v>0</v>
      </c>
      <c r="H92" s="1011">
        <v>0</v>
      </c>
      <c r="I92" s="1011">
        <v>0</v>
      </c>
      <c r="J92" s="1011">
        <v>0</v>
      </c>
      <c r="K92" s="1011">
        <v>0</v>
      </c>
      <c r="L92" s="1011">
        <v>154.6875</v>
      </c>
      <c r="M92" s="998">
        <v>0</v>
      </c>
      <c r="N92" s="999">
        <v>0</v>
      </c>
      <c r="O92" s="539">
        <f t="shared" si="20"/>
        <v>309.375</v>
      </c>
      <c r="P92" s="1012"/>
      <c r="Q92" s="463"/>
      <c r="R92" s="463"/>
      <c r="S92" s="463"/>
      <c r="T92" s="463"/>
      <c r="U92" s="463"/>
    </row>
    <row r="93" spans="1:21" s="120" customFormat="1">
      <c r="A93" s="269"/>
      <c r="B93" s="997" t="s">
        <v>420</v>
      </c>
      <c r="C93" s="998">
        <v>0</v>
      </c>
      <c r="D93" s="1011">
        <v>0</v>
      </c>
      <c r="E93" s="1011">
        <v>0</v>
      </c>
      <c r="F93" s="1011">
        <v>243.75</v>
      </c>
      <c r="G93" s="1011">
        <v>0</v>
      </c>
      <c r="H93" s="1011">
        <v>0</v>
      </c>
      <c r="I93" s="1011">
        <v>0</v>
      </c>
      <c r="J93" s="1011">
        <v>0</v>
      </c>
      <c r="K93" s="1011">
        <v>0</v>
      </c>
      <c r="L93" s="1011">
        <v>243.75</v>
      </c>
      <c r="M93" s="998">
        <v>0</v>
      </c>
      <c r="N93" s="999">
        <v>0</v>
      </c>
      <c r="O93" s="539">
        <f t="shared" si="20"/>
        <v>487.5</v>
      </c>
      <c r="P93" s="1012"/>
      <c r="Q93" s="463"/>
      <c r="R93" s="463"/>
      <c r="S93" s="463"/>
      <c r="T93" s="463"/>
      <c r="U93" s="463"/>
    </row>
    <row r="94" spans="1:21" s="120" customFormat="1">
      <c r="A94" s="269"/>
      <c r="B94" s="996" t="s">
        <v>421</v>
      </c>
      <c r="C94" s="998">
        <v>0</v>
      </c>
      <c r="D94" s="1011">
        <v>0</v>
      </c>
      <c r="E94" s="1011">
        <v>0</v>
      </c>
      <c r="F94" s="1011">
        <v>104.84375</v>
      </c>
      <c r="G94" s="1011">
        <v>0</v>
      </c>
      <c r="H94" s="1011">
        <v>0</v>
      </c>
      <c r="I94" s="1011">
        <v>0</v>
      </c>
      <c r="J94" s="1011">
        <v>0</v>
      </c>
      <c r="K94" s="1011">
        <v>0</v>
      </c>
      <c r="L94" s="1011">
        <v>104.84375</v>
      </c>
      <c r="M94" s="998">
        <v>0</v>
      </c>
      <c r="N94" s="999">
        <v>0</v>
      </c>
      <c r="O94" s="539">
        <f t="shared" si="20"/>
        <v>209.6875</v>
      </c>
      <c r="P94" s="1012"/>
      <c r="Q94" s="463"/>
      <c r="R94" s="463"/>
      <c r="S94" s="463"/>
      <c r="T94" s="463"/>
      <c r="U94" s="463"/>
    </row>
    <row r="95" spans="1:21" s="120" customFormat="1">
      <c r="A95" s="269"/>
      <c r="B95" s="997" t="s">
        <v>426</v>
      </c>
      <c r="C95" s="998">
        <v>33.125</v>
      </c>
      <c r="D95" s="1011">
        <v>0</v>
      </c>
      <c r="E95" s="1011">
        <v>0</v>
      </c>
      <c r="F95" s="1011">
        <v>0</v>
      </c>
      <c r="G95" s="1011">
        <v>0</v>
      </c>
      <c r="H95" s="1011">
        <v>0</v>
      </c>
      <c r="I95" s="1011">
        <v>33.125</v>
      </c>
      <c r="J95" s="1011">
        <v>0</v>
      </c>
      <c r="K95" s="1011">
        <v>0</v>
      </c>
      <c r="L95" s="1011">
        <v>0</v>
      </c>
      <c r="M95" s="998">
        <v>0</v>
      </c>
      <c r="N95" s="999">
        <v>0</v>
      </c>
      <c r="O95" s="539">
        <f t="shared" si="20"/>
        <v>66.25</v>
      </c>
      <c r="P95" s="1012"/>
      <c r="Q95" s="463"/>
      <c r="R95" s="463"/>
      <c r="S95" s="463"/>
      <c r="T95" s="463"/>
      <c r="U95" s="463"/>
    </row>
    <row r="96" spans="1:21" s="120" customFormat="1">
      <c r="A96" s="269"/>
      <c r="B96" s="996" t="s">
        <v>621</v>
      </c>
      <c r="C96" s="998">
        <v>40.46875</v>
      </c>
      <c r="D96" s="1011">
        <v>0</v>
      </c>
      <c r="E96" s="1011">
        <v>0</v>
      </c>
      <c r="F96" s="1011">
        <v>0</v>
      </c>
      <c r="G96" s="1011">
        <v>0</v>
      </c>
      <c r="H96" s="1011">
        <v>0</v>
      </c>
      <c r="I96" s="1011">
        <v>40.46875</v>
      </c>
      <c r="J96" s="1011">
        <v>0</v>
      </c>
      <c r="K96" s="1011">
        <v>0</v>
      </c>
      <c r="L96" s="1011">
        <v>0</v>
      </c>
      <c r="M96" s="998">
        <v>0</v>
      </c>
      <c r="N96" s="999">
        <v>0</v>
      </c>
      <c r="O96" s="539">
        <f t="shared" si="20"/>
        <v>80.9375</v>
      </c>
      <c r="P96" s="1012"/>
      <c r="Q96" s="463"/>
      <c r="R96" s="463"/>
      <c r="S96" s="463"/>
      <c r="T96" s="463"/>
      <c r="U96" s="463"/>
    </row>
    <row r="97" spans="1:21" s="120" customFormat="1">
      <c r="A97" s="269"/>
      <c r="B97" s="996" t="s">
        <v>427</v>
      </c>
      <c r="C97" s="998">
        <v>62.34375</v>
      </c>
      <c r="D97" s="1011">
        <v>0</v>
      </c>
      <c r="E97" s="1011">
        <v>0</v>
      </c>
      <c r="F97" s="1011">
        <v>0</v>
      </c>
      <c r="G97" s="1011">
        <v>0</v>
      </c>
      <c r="H97" s="1011">
        <v>0</v>
      </c>
      <c r="I97" s="1011">
        <v>62.34375</v>
      </c>
      <c r="J97" s="1011">
        <v>0</v>
      </c>
      <c r="K97" s="1011">
        <v>0</v>
      </c>
      <c r="L97" s="1011">
        <v>0</v>
      </c>
      <c r="M97" s="998">
        <v>0</v>
      </c>
      <c r="N97" s="999">
        <v>0</v>
      </c>
      <c r="O97" s="539">
        <f t="shared" si="20"/>
        <v>124.6875</v>
      </c>
      <c r="P97" s="1012"/>
      <c r="Q97" s="463"/>
      <c r="R97" s="463"/>
      <c r="S97" s="463"/>
      <c r="T97" s="463"/>
      <c r="U97" s="463"/>
    </row>
    <row r="98" spans="1:21" s="120" customFormat="1">
      <c r="A98" s="269"/>
      <c r="B98" s="997" t="s">
        <v>538</v>
      </c>
      <c r="C98" s="998">
        <v>0</v>
      </c>
      <c r="D98" s="1011">
        <v>0</v>
      </c>
      <c r="E98" s="1011">
        <v>0</v>
      </c>
      <c r="F98" s="1011">
        <v>0</v>
      </c>
      <c r="G98" s="1011">
        <v>0</v>
      </c>
      <c r="H98" s="1011">
        <v>97.96875</v>
      </c>
      <c r="I98" s="1011">
        <v>0</v>
      </c>
      <c r="J98" s="1011">
        <v>0</v>
      </c>
      <c r="K98" s="1011">
        <v>0</v>
      </c>
      <c r="L98" s="1011">
        <v>0</v>
      </c>
      <c r="M98" s="998">
        <v>0</v>
      </c>
      <c r="N98" s="999">
        <v>97.96875</v>
      </c>
      <c r="O98" s="539">
        <f t="shared" si="20"/>
        <v>195.9375</v>
      </c>
      <c r="P98" s="1012"/>
      <c r="Q98" s="463"/>
      <c r="R98" s="463"/>
      <c r="S98" s="463"/>
      <c r="T98" s="463"/>
      <c r="U98" s="463"/>
    </row>
    <row r="99" spans="1:21" s="120" customFormat="1">
      <c r="A99" s="269"/>
      <c r="B99" s="997" t="s">
        <v>539</v>
      </c>
      <c r="C99" s="998">
        <v>0</v>
      </c>
      <c r="D99" s="1011">
        <v>0</v>
      </c>
      <c r="E99" s="1011">
        <v>0</v>
      </c>
      <c r="F99" s="1011">
        <v>0</v>
      </c>
      <c r="G99" s="1011">
        <v>0</v>
      </c>
      <c r="H99" s="1011">
        <v>0</v>
      </c>
      <c r="I99" s="1011">
        <v>0</v>
      </c>
      <c r="J99" s="1011">
        <v>0</v>
      </c>
      <c r="K99" s="1011">
        <v>0</v>
      </c>
      <c r="L99" s="1011">
        <v>13.949163050217001</v>
      </c>
      <c r="M99" s="998">
        <v>0</v>
      </c>
      <c r="N99" s="999">
        <v>0</v>
      </c>
      <c r="O99" s="539">
        <f t="shared" si="20"/>
        <v>13.949163050217001</v>
      </c>
      <c r="P99" s="1012"/>
      <c r="Q99" s="463"/>
      <c r="R99" s="463"/>
      <c r="S99" s="463"/>
      <c r="T99" s="463"/>
      <c r="U99" s="463"/>
    </row>
    <row r="100" spans="1:21" s="120" customFormat="1">
      <c r="A100" s="269"/>
      <c r="B100" s="997" t="s">
        <v>536</v>
      </c>
      <c r="C100" s="998">
        <v>0</v>
      </c>
      <c r="D100" s="1011">
        <v>0</v>
      </c>
      <c r="E100" s="1011">
        <v>0</v>
      </c>
      <c r="F100" s="1011">
        <v>0</v>
      </c>
      <c r="G100" s="1011">
        <v>0</v>
      </c>
      <c r="H100" s="1011">
        <v>0</v>
      </c>
      <c r="I100" s="1011">
        <v>0</v>
      </c>
      <c r="J100" s="1011">
        <v>0</v>
      </c>
      <c r="K100" s="1011">
        <v>0</v>
      </c>
      <c r="L100" s="1011">
        <v>0</v>
      </c>
      <c r="M100" s="998">
        <v>0</v>
      </c>
      <c r="N100" s="999">
        <v>0</v>
      </c>
      <c r="O100" s="539">
        <f t="shared" si="20"/>
        <v>0</v>
      </c>
      <c r="P100" s="1012"/>
      <c r="Q100" s="463"/>
      <c r="R100" s="463"/>
      <c r="S100" s="463"/>
      <c r="T100" s="463"/>
      <c r="U100" s="463"/>
    </row>
    <row r="101" spans="1:21" s="120" customFormat="1">
      <c r="A101" s="269"/>
      <c r="B101" s="996" t="s">
        <v>425</v>
      </c>
      <c r="C101" s="998">
        <v>0</v>
      </c>
      <c r="D101" s="1011">
        <v>3.4734359700000002</v>
      </c>
      <c r="E101" s="1011">
        <v>0</v>
      </c>
      <c r="F101" s="1011">
        <v>0</v>
      </c>
      <c r="G101" s="1011">
        <v>0</v>
      </c>
      <c r="H101" s="1011">
        <v>0</v>
      </c>
      <c r="I101" s="1011">
        <v>0</v>
      </c>
      <c r="J101" s="1011">
        <v>3.4734359700000002</v>
      </c>
      <c r="K101" s="1011">
        <v>0</v>
      </c>
      <c r="L101" s="1011">
        <v>0</v>
      </c>
      <c r="M101" s="998">
        <v>0</v>
      </c>
      <c r="N101" s="999">
        <v>0</v>
      </c>
      <c r="O101" s="539">
        <f t="shared" si="20"/>
        <v>6.9468719400000003</v>
      </c>
      <c r="P101" s="1012"/>
      <c r="Q101" s="463"/>
      <c r="R101" s="463"/>
      <c r="S101" s="463"/>
      <c r="T101" s="463"/>
      <c r="U101" s="463"/>
    </row>
    <row r="102" spans="1:21" s="993" customFormat="1">
      <c r="A102" s="994"/>
      <c r="B102" s="1008" t="s">
        <v>622</v>
      </c>
      <c r="C102" s="1011">
        <v>124.84375</v>
      </c>
      <c r="D102" s="1011">
        <v>0</v>
      </c>
      <c r="E102" s="1011">
        <v>0</v>
      </c>
      <c r="F102" s="1011">
        <v>0</v>
      </c>
      <c r="G102" s="1011">
        <v>0</v>
      </c>
      <c r="H102" s="1011">
        <v>0</v>
      </c>
      <c r="I102" s="1011">
        <v>124.84375</v>
      </c>
      <c r="J102" s="1011">
        <v>0</v>
      </c>
      <c r="K102" s="1011">
        <v>0</v>
      </c>
      <c r="L102" s="1011">
        <v>0</v>
      </c>
      <c r="M102" s="1011">
        <v>0</v>
      </c>
      <c r="N102" s="999">
        <v>0</v>
      </c>
      <c r="O102" s="999">
        <f t="shared" si="20"/>
        <v>249.6875</v>
      </c>
      <c r="P102" s="1012"/>
      <c r="Q102" s="1012"/>
      <c r="R102" s="1012"/>
      <c r="S102" s="1012"/>
      <c r="T102" s="1012"/>
      <c r="U102" s="1012"/>
    </row>
    <row r="103" spans="1:21" s="993" customFormat="1">
      <c r="A103" s="994"/>
      <c r="B103" s="1008" t="s">
        <v>517</v>
      </c>
      <c r="C103" s="1011">
        <v>91.40625</v>
      </c>
      <c r="D103" s="1011">
        <v>0</v>
      </c>
      <c r="E103" s="1011">
        <v>0</v>
      </c>
      <c r="F103" s="1011">
        <v>0</v>
      </c>
      <c r="G103" s="1011">
        <v>0</v>
      </c>
      <c r="H103" s="1011">
        <v>0</v>
      </c>
      <c r="I103" s="1011">
        <v>91.40625</v>
      </c>
      <c r="J103" s="1011">
        <v>0</v>
      </c>
      <c r="K103" s="1011">
        <v>0</v>
      </c>
      <c r="L103" s="1011">
        <v>0</v>
      </c>
      <c r="M103" s="1011">
        <v>0</v>
      </c>
      <c r="N103" s="999">
        <v>0</v>
      </c>
      <c r="O103" s="999">
        <f t="shared" si="20"/>
        <v>182.8125</v>
      </c>
      <c r="P103" s="1012"/>
      <c r="Q103" s="1012"/>
      <c r="R103" s="1012"/>
      <c r="S103" s="1012"/>
      <c r="T103" s="1012"/>
      <c r="U103" s="1012"/>
    </row>
    <row r="104" spans="1:21" s="993" customFormat="1">
      <c r="A104" s="994"/>
      <c r="B104" s="1008" t="s">
        <v>623</v>
      </c>
      <c r="C104" s="1011">
        <v>103.125</v>
      </c>
      <c r="D104" s="1011">
        <v>0</v>
      </c>
      <c r="E104" s="1011">
        <v>0</v>
      </c>
      <c r="F104" s="1011">
        <v>0</v>
      </c>
      <c r="G104" s="1011">
        <v>0</v>
      </c>
      <c r="H104" s="1011">
        <v>0</v>
      </c>
      <c r="I104" s="1011">
        <v>103.125</v>
      </c>
      <c r="J104" s="1011">
        <v>0</v>
      </c>
      <c r="K104" s="1011">
        <v>0</v>
      </c>
      <c r="L104" s="1011">
        <v>0</v>
      </c>
      <c r="M104" s="1011">
        <v>0</v>
      </c>
      <c r="N104" s="999">
        <v>0</v>
      </c>
      <c r="O104" s="999">
        <f t="shared" si="20"/>
        <v>206.25</v>
      </c>
      <c r="P104" s="1012"/>
      <c r="Q104" s="1012"/>
      <c r="R104" s="1012"/>
      <c r="S104" s="1012"/>
      <c r="T104" s="1012"/>
      <c r="U104" s="1012"/>
    </row>
    <row r="105" spans="1:21" s="993" customFormat="1">
      <c r="A105" s="994"/>
      <c r="B105" s="1008" t="s">
        <v>518</v>
      </c>
      <c r="C105" s="1011">
        <v>128.90625</v>
      </c>
      <c r="D105" s="1011">
        <v>0</v>
      </c>
      <c r="E105" s="1011">
        <v>0</v>
      </c>
      <c r="F105" s="1011">
        <v>0</v>
      </c>
      <c r="G105" s="1011">
        <v>0</v>
      </c>
      <c r="H105" s="1011">
        <v>0</v>
      </c>
      <c r="I105" s="1011">
        <v>128.90625</v>
      </c>
      <c r="J105" s="1011">
        <v>0</v>
      </c>
      <c r="K105" s="1011">
        <v>0</v>
      </c>
      <c r="L105" s="1011">
        <v>0</v>
      </c>
      <c r="M105" s="1011">
        <v>0</v>
      </c>
      <c r="N105" s="999">
        <v>0</v>
      </c>
      <c r="O105" s="999">
        <f t="shared" si="20"/>
        <v>257.8125</v>
      </c>
      <c r="P105" s="1012"/>
      <c r="Q105" s="1012"/>
      <c r="R105" s="1012"/>
      <c r="S105" s="1012"/>
      <c r="T105" s="1012"/>
      <c r="U105" s="1012"/>
    </row>
    <row r="106" spans="1:21" s="993" customFormat="1">
      <c r="A106" s="994"/>
      <c r="B106" s="1008" t="s">
        <v>428</v>
      </c>
      <c r="C106" s="1011">
        <v>35.757719676644101</v>
      </c>
      <c r="D106" s="1011">
        <v>0</v>
      </c>
      <c r="E106" s="1011">
        <v>0</v>
      </c>
      <c r="F106" s="1011">
        <v>0</v>
      </c>
      <c r="G106" s="1011">
        <v>0</v>
      </c>
      <c r="H106" s="1011">
        <v>0</v>
      </c>
      <c r="I106" s="1011">
        <v>35.757719676644101</v>
      </c>
      <c r="J106" s="1011">
        <v>0</v>
      </c>
      <c r="K106" s="1011">
        <v>0</v>
      </c>
      <c r="L106" s="1011">
        <v>0</v>
      </c>
      <c r="M106" s="1011">
        <v>0</v>
      </c>
      <c r="N106" s="999">
        <v>0</v>
      </c>
      <c r="O106" s="999">
        <f t="shared" si="20"/>
        <v>71.515439353288201</v>
      </c>
      <c r="P106" s="1012"/>
      <c r="Q106" s="1012"/>
      <c r="R106" s="1012"/>
      <c r="S106" s="1012"/>
      <c r="T106" s="1012"/>
      <c r="U106" s="1012"/>
    </row>
    <row r="107" spans="1:21" s="993" customFormat="1">
      <c r="A107" s="994"/>
      <c r="B107" s="1008" t="s">
        <v>510</v>
      </c>
      <c r="C107" s="1011">
        <v>0</v>
      </c>
      <c r="D107" s="1011">
        <v>0</v>
      </c>
      <c r="E107" s="1011">
        <v>0</v>
      </c>
      <c r="F107" s="1011">
        <v>58.938424056922898</v>
      </c>
      <c r="G107" s="1011">
        <v>0</v>
      </c>
      <c r="H107" s="1011">
        <v>0</v>
      </c>
      <c r="I107" s="1011">
        <v>0</v>
      </c>
      <c r="J107" s="1011">
        <v>0</v>
      </c>
      <c r="K107" s="1011">
        <v>0</v>
      </c>
      <c r="L107" s="1011">
        <v>0</v>
      </c>
      <c r="M107" s="1011">
        <v>0</v>
      </c>
      <c r="N107" s="999">
        <v>0</v>
      </c>
      <c r="O107" s="999">
        <f t="shared" si="20"/>
        <v>58.938424056922898</v>
      </c>
      <c r="P107" s="1012"/>
      <c r="Q107" s="1012"/>
      <c r="R107" s="1012"/>
      <c r="S107" s="1012"/>
      <c r="T107" s="1012"/>
      <c r="U107" s="1012"/>
    </row>
    <row r="108" spans="1:21" s="993" customFormat="1">
      <c r="A108" s="994"/>
      <c r="B108" s="1008" t="s">
        <v>624</v>
      </c>
      <c r="C108" s="1011">
        <v>0</v>
      </c>
      <c r="D108" s="1011">
        <v>0</v>
      </c>
      <c r="E108" s="1011">
        <v>20.0497258668778</v>
      </c>
      <c r="F108" s="1011">
        <v>0</v>
      </c>
      <c r="G108" s="1011">
        <v>0</v>
      </c>
      <c r="H108" s="1011">
        <v>0</v>
      </c>
      <c r="I108" s="1011">
        <v>0</v>
      </c>
      <c r="J108" s="1011">
        <v>0</v>
      </c>
      <c r="K108" s="1011">
        <v>20.0497258668778</v>
      </c>
      <c r="L108" s="1011">
        <v>0</v>
      </c>
      <c r="M108" s="1011">
        <v>0</v>
      </c>
      <c r="N108" s="999">
        <v>0</v>
      </c>
      <c r="O108" s="999">
        <f t="shared" si="20"/>
        <v>40.0994517337556</v>
      </c>
      <c r="P108" s="1012"/>
      <c r="Q108" s="1012"/>
      <c r="R108" s="1012"/>
      <c r="S108" s="1012"/>
      <c r="T108" s="1012"/>
      <c r="U108" s="1012"/>
    </row>
    <row r="109" spans="1:21" s="993" customFormat="1">
      <c r="A109" s="994"/>
      <c r="B109" s="1008" t="s">
        <v>668</v>
      </c>
      <c r="C109" s="1011">
        <v>0</v>
      </c>
      <c r="D109" s="1011">
        <v>0</v>
      </c>
      <c r="E109" s="1011">
        <v>0</v>
      </c>
      <c r="F109" s="1011">
        <v>19.838952768323299</v>
      </c>
      <c r="G109" s="1011">
        <v>0</v>
      </c>
      <c r="H109" s="1011">
        <v>0</v>
      </c>
      <c r="I109" s="1011">
        <v>0</v>
      </c>
      <c r="J109" s="1011">
        <v>0</v>
      </c>
      <c r="K109" s="1011">
        <v>0</v>
      </c>
      <c r="L109" s="1011">
        <v>19.838952768323299</v>
      </c>
      <c r="M109" s="1011">
        <v>0</v>
      </c>
      <c r="N109" s="999">
        <v>0</v>
      </c>
      <c r="O109" s="999">
        <f t="shared" si="20"/>
        <v>39.677905536646598</v>
      </c>
      <c r="P109" s="1012"/>
      <c r="Q109" s="1012"/>
      <c r="R109" s="1012"/>
      <c r="S109" s="1012"/>
      <c r="T109" s="1012"/>
      <c r="U109" s="1012"/>
    </row>
    <row r="110" spans="1:21" s="993" customFormat="1">
      <c r="A110" s="994"/>
      <c r="B110" s="1008" t="s">
        <v>703</v>
      </c>
      <c r="C110" s="1011">
        <v>0</v>
      </c>
      <c r="D110" s="1011">
        <v>0</v>
      </c>
      <c r="E110" s="1011">
        <v>0</v>
      </c>
      <c r="F110" s="1011">
        <v>0</v>
      </c>
      <c r="G110" s="1011">
        <v>38.181585434810401</v>
      </c>
      <c r="H110" s="1011">
        <v>0</v>
      </c>
      <c r="I110" s="1011">
        <v>0</v>
      </c>
      <c r="J110" s="1011">
        <v>0</v>
      </c>
      <c r="K110" s="1011">
        <v>0</v>
      </c>
      <c r="L110" s="1011">
        <v>0</v>
      </c>
      <c r="M110" s="1011">
        <v>38.181585434810401</v>
      </c>
      <c r="N110" s="999">
        <v>0</v>
      </c>
      <c r="O110" s="999">
        <f t="shared" si="20"/>
        <v>76.363170869620802</v>
      </c>
      <c r="P110" s="1012"/>
      <c r="Q110" s="1012"/>
      <c r="R110" s="1012"/>
      <c r="S110" s="1012"/>
      <c r="T110" s="1012"/>
      <c r="U110" s="1012"/>
    </row>
    <row r="111" spans="1:21" s="993" customFormat="1">
      <c r="A111" s="994"/>
      <c r="B111" s="1008" t="s">
        <v>569</v>
      </c>
      <c r="C111" s="1011">
        <v>0</v>
      </c>
      <c r="D111" s="1011">
        <v>0</v>
      </c>
      <c r="E111" s="1011">
        <v>416.35837780816399</v>
      </c>
      <c r="F111" s="1011">
        <v>0</v>
      </c>
      <c r="G111" s="1011">
        <v>0</v>
      </c>
      <c r="H111" s="1011">
        <v>420.93374459721201</v>
      </c>
      <c r="I111" s="1011">
        <v>0</v>
      </c>
      <c r="J111" s="1011">
        <v>0</v>
      </c>
      <c r="K111" s="1011">
        <v>0</v>
      </c>
      <c r="L111" s="1011">
        <v>0</v>
      </c>
      <c r="M111" s="1011">
        <v>0</v>
      </c>
      <c r="N111" s="999">
        <v>0</v>
      </c>
      <c r="O111" s="999">
        <f t="shared" si="20"/>
        <v>837.29212240537595</v>
      </c>
      <c r="P111" s="1012"/>
      <c r="Q111" s="1012"/>
      <c r="R111" s="1012"/>
      <c r="S111" s="1012"/>
      <c r="T111" s="1012"/>
      <c r="U111" s="1012"/>
    </row>
    <row r="112" spans="1:21" s="993" customFormat="1">
      <c r="A112" s="994"/>
      <c r="B112" s="1008" t="s">
        <v>573</v>
      </c>
      <c r="C112" s="1011">
        <v>37.832081605201196</v>
      </c>
      <c r="D112" s="1011">
        <v>0</v>
      </c>
      <c r="E112" s="1011">
        <v>0</v>
      </c>
      <c r="F112" s="1011">
        <v>0</v>
      </c>
      <c r="G112" s="1011">
        <v>0</v>
      </c>
      <c r="H112" s="1011">
        <v>0</v>
      </c>
      <c r="I112" s="1011">
        <v>0</v>
      </c>
      <c r="J112" s="1011">
        <v>0</v>
      </c>
      <c r="K112" s="1011">
        <v>0</v>
      </c>
      <c r="L112" s="1011">
        <v>0</v>
      </c>
      <c r="M112" s="1011">
        <v>0</v>
      </c>
      <c r="N112" s="999">
        <v>0</v>
      </c>
      <c r="O112" s="999">
        <f t="shared" si="20"/>
        <v>37.832081605201196</v>
      </c>
      <c r="P112" s="1012"/>
      <c r="Q112" s="1012"/>
      <c r="R112" s="1012"/>
      <c r="S112" s="1012"/>
      <c r="T112" s="1012"/>
      <c r="U112" s="1012"/>
    </row>
    <row r="113" spans="1:21" s="993" customFormat="1">
      <c r="A113" s="994"/>
      <c r="B113" s="1008" t="s">
        <v>511</v>
      </c>
      <c r="C113" s="1011">
        <v>54.296043044501701</v>
      </c>
      <c r="D113" s="1011">
        <v>0</v>
      </c>
      <c r="E113" s="1011">
        <v>0</v>
      </c>
      <c r="F113" s="1011">
        <v>0</v>
      </c>
      <c r="G113" s="1011">
        <v>0</v>
      </c>
      <c r="H113" s="1011">
        <v>0</v>
      </c>
      <c r="I113" s="1011">
        <v>0</v>
      </c>
      <c r="J113" s="1011">
        <v>0</v>
      </c>
      <c r="K113" s="1011">
        <v>0</v>
      </c>
      <c r="L113" s="1011">
        <v>0</v>
      </c>
      <c r="M113" s="1011">
        <v>0</v>
      </c>
      <c r="N113" s="999">
        <v>0</v>
      </c>
      <c r="O113" s="999">
        <f t="shared" si="20"/>
        <v>54.296043044501701</v>
      </c>
      <c r="P113" s="1012"/>
      <c r="Q113" s="1012"/>
      <c r="R113" s="1012"/>
      <c r="S113" s="1012"/>
      <c r="T113" s="1012"/>
      <c r="U113" s="1012"/>
    </row>
    <row r="114" spans="1:21" s="993" customFormat="1">
      <c r="A114" s="994"/>
      <c r="B114" s="1008" t="s">
        <v>512</v>
      </c>
      <c r="C114" s="1011">
        <v>70.059410380002205</v>
      </c>
      <c r="D114" s="1011">
        <v>0</v>
      </c>
      <c r="E114" s="1011">
        <v>0</v>
      </c>
      <c r="F114" s="1011">
        <v>0</v>
      </c>
      <c r="G114" s="1011">
        <v>0</v>
      </c>
      <c r="H114" s="1011">
        <v>0</v>
      </c>
      <c r="I114" s="1011">
        <v>0</v>
      </c>
      <c r="J114" s="1011">
        <v>0</v>
      </c>
      <c r="K114" s="1011">
        <v>0</v>
      </c>
      <c r="L114" s="1011">
        <v>0</v>
      </c>
      <c r="M114" s="1011">
        <v>0</v>
      </c>
      <c r="N114" s="999">
        <v>0</v>
      </c>
      <c r="O114" s="999">
        <f t="shared" si="20"/>
        <v>70.059410380002205</v>
      </c>
      <c r="P114" s="1012"/>
      <c r="Q114" s="1012"/>
      <c r="R114" s="1012"/>
      <c r="S114" s="1012"/>
      <c r="T114" s="1012"/>
      <c r="U114" s="1012"/>
    </row>
    <row r="115" spans="1:21" s="993" customFormat="1">
      <c r="A115" s="994"/>
      <c r="B115" s="1008" t="s">
        <v>574</v>
      </c>
      <c r="C115" s="1011">
        <v>58.849904719201902</v>
      </c>
      <c r="D115" s="1011">
        <v>0</v>
      </c>
      <c r="E115" s="1011">
        <v>0</v>
      </c>
      <c r="F115" s="1011">
        <v>0</v>
      </c>
      <c r="G115" s="1011">
        <v>0</v>
      </c>
      <c r="H115" s="1011">
        <v>0</v>
      </c>
      <c r="I115" s="1011">
        <v>0</v>
      </c>
      <c r="J115" s="1011">
        <v>0</v>
      </c>
      <c r="K115" s="1011">
        <v>0</v>
      </c>
      <c r="L115" s="1011">
        <v>0</v>
      </c>
      <c r="M115" s="1011">
        <v>0</v>
      </c>
      <c r="N115" s="999">
        <v>0</v>
      </c>
      <c r="O115" s="999">
        <f t="shared" si="20"/>
        <v>58.849904719201902</v>
      </c>
      <c r="P115" s="1012"/>
      <c r="Q115" s="1012"/>
      <c r="R115" s="1012"/>
      <c r="S115" s="1012"/>
      <c r="T115" s="1012"/>
      <c r="U115" s="1012"/>
    </row>
    <row r="116" spans="1:21" s="993" customFormat="1">
      <c r="A116" s="994"/>
      <c r="B116" s="1008" t="s">
        <v>575</v>
      </c>
      <c r="C116" s="1011">
        <v>0</v>
      </c>
      <c r="D116" s="1011">
        <v>0</v>
      </c>
      <c r="E116" s="1011">
        <v>0</v>
      </c>
      <c r="F116" s="1011">
        <v>0</v>
      </c>
      <c r="G116" s="1011">
        <v>0</v>
      </c>
      <c r="H116" s="1011">
        <v>0</v>
      </c>
      <c r="I116" s="1011">
        <v>0</v>
      </c>
      <c r="J116" s="1011">
        <v>0</v>
      </c>
      <c r="K116" s="1011">
        <v>0</v>
      </c>
      <c r="L116" s="1011">
        <v>0</v>
      </c>
      <c r="M116" s="1011">
        <v>52.688515480327304</v>
      </c>
      <c r="N116" s="999">
        <v>0</v>
      </c>
      <c r="O116" s="999">
        <f t="shared" si="20"/>
        <v>52.688515480327304</v>
      </c>
      <c r="P116" s="1012"/>
      <c r="Q116" s="1012"/>
      <c r="R116" s="1012"/>
      <c r="S116" s="1012"/>
      <c r="T116" s="1012"/>
      <c r="U116" s="1012"/>
    </row>
    <row r="117" spans="1:21" s="993" customFormat="1">
      <c r="A117" s="994"/>
      <c r="B117" s="997" t="s">
        <v>79</v>
      </c>
      <c r="C117" s="998">
        <v>105.68886642</v>
      </c>
      <c r="D117" s="1011">
        <v>39.496581230000004</v>
      </c>
      <c r="E117" s="1011">
        <v>15.099320689999999</v>
      </c>
      <c r="F117" s="1011">
        <v>40.791734780000006</v>
      </c>
      <c r="G117" s="1011">
        <v>0</v>
      </c>
      <c r="H117" s="1011">
        <v>76.541330130000006</v>
      </c>
      <c r="I117" s="1011">
        <v>105.13566219999998</v>
      </c>
      <c r="J117" s="1011">
        <v>39.067270569999998</v>
      </c>
      <c r="K117" s="1011">
        <v>15.26524729</v>
      </c>
      <c r="L117" s="1011">
        <v>40.791734780000006</v>
      </c>
      <c r="M117" s="998">
        <v>0</v>
      </c>
      <c r="N117" s="999">
        <v>76.578043490000013</v>
      </c>
      <c r="O117" s="999">
        <f t="shared" si="20"/>
        <v>554.4557915800001</v>
      </c>
      <c r="P117" s="1012"/>
      <c r="Q117" s="995"/>
      <c r="R117" s="995"/>
      <c r="S117" s="995"/>
      <c r="T117" s="995"/>
      <c r="U117" s="995"/>
    </row>
    <row r="118" spans="1:21" s="120" customFormat="1">
      <c r="A118" s="269"/>
      <c r="B118" s="339" t="s">
        <v>220</v>
      </c>
      <c r="C118" s="992">
        <f t="shared" ref="C118:N118" si="27">+C119+C120</f>
        <v>56.610659811559373</v>
      </c>
      <c r="D118" s="1011">
        <f t="shared" si="27"/>
        <v>57.042787003589531</v>
      </c>
      <c r="E118" s="1011">
        <f t="shared" si="27"/>
        <v>92.177191165038806</v>
      </c>
      <c r="F118" s="1011">
        <f t="shared" si="27"/>
        <v>89.639468486685075</v>
      </c>
      <c r="G118" s="1011">
        <f t="shared" si="27"/>
        <v>43.853113332832422</v>
      </c>
      <c r="H118" s="1011">
        <f t="shared" si="27"/>
        <v>446.336990019702</v>
      </c>
      <c r="I118" s="1011">
        <f t="shared" si="27"/>
        <v>0</v>
      </c>
      <c r="J118" s="1011">
        <f t="shared" si="27"/>
        <v>0.19217707588279501</v>
      </c>
      <c r="K118" s="1011">
        <f t="shared" si="27"/>
        <v>0</v>
      </c>
      <c r="L118" s="1011">
        <f t="shared" si="27"/>
        <v>0</v>
      </c>
      <c r="M118" s="992">
        <f t="shared" si="27"/>
        <v>0</v>
      </c>
      <c r="N118" s="992">
        <f t="shared" si="27"/>
        <v>0</v>
      </c>
      <c r="O118" s="340">
        <f t="shared" si="20"/>
        <v>785.85238689529001</v>
      </c>
      <c r="P118" s="1012"/>
      <c r="Q118" s="463"/>
      <c r="R118" s="463"/>
      <c r="S118" s="463"/>
      <c r="T118" s="463"/>
      <c r="U118" s="463"/>
    </row>
    <row r="119" spans="1:21" s="120" customFormat="1">
      <c r="A119" s="269"/>
      <c r="B119" s="347" t="s">
        <v>72</v>
      </c>
      <c r="C119" s="1000">
        <v>56.610659811559373</v>
      </c>
      <c r="D119" s="1000">
        <v>57.042787003589531</v>
      </c>
      <c r="E119" s="1000">
        <v>92.177191165038806</v>
      </c>
      <c r="F119" s="1000">
        <v>89.639468486685075</v>
      </c>
      <c r="G119" s="1000">
        <v>43.853113332832422</v>
      </c>
      <c r="H119" s="1000">
        <v>446.336990019702</v>
      </c>
      <c r="I119" s="1000">
        <v>0</v>
      </c>
      <c r="J119" s="1000">
        <v>0.19217707588279501</v>
      </c>
      <c r="K119" s="1000">
        <v>0</v>
      </c>
      <c r="L119" s="1000">
        <v>0</v>
      </c>
      <c r="M119" s="1000">
        <v>0</v>
      </c>
      <c r="N119" s="1000">
        <v>0</v>
      </c>
      <c r="O119" s="343">
        <f t="shared" si="20"/>
        <v>785.85238689529001</v>
      </c>
      <c r="P119" s="1012"/>
      <c r="Q119" s="463"/>
      <c r="R119" s="463"/>
      <c r="S119" s="463"/>
      <c r="T119" s="463"/>
      <c r="U119" s="463"/>
    </row>
    <row r="120" spans="1:21">
      <c r="B120" s="377" t="s">
        <v>70</v>
      </c>
      <c r="C120" s="1000">
        <v>0</v>
      </c>
      <c r="D120" s="1000">
        <v>0</v>
      </c>
      <c r="E120" s="1000">
        <v>0</v>
      </c>
      <c r="F120" s="1000">
        <v>0</v>
      </c>
      <c r="G120" s="1000">
        <v>0</v>
      </c>
      <c r="H120" s="1000">
        <v>0</v>
      </c>
      <c r="I120" s="1000">
        <v>0</v>
      </c>
      <c r="J120" s="1000">
        <v>0</v>
      </c>
      <c r="K120" s="1000">
        <v>0</v>
      </c>
      <c r="L120" s="1000">
        <v>0</v>
      </c>
      <c r="M120" s="1000">
        <v>0</v>
      </c>
      <c r="N120" s="1000">
        <v>0</v>
      </c>
      <c r="O120" s="343">
        <f t="shared" si="20"/>
        <v>0</v>
      </c>
      <c r="P120" s="1012"/>
      <c r="Q120" s="463"/>
      <c r="R120" s="463"/>
      <c r="S120" s="463"/>
      <c r="T120" s="463"/>
      <c r="U120" s="463"/>
    </row>
    <row r="121" spans="1:21" s="120" customFormat="1">
      <c r="A121" s="269"/>
      <c r="B121" s="339" t="s">
        <v>344</v>
      </c>
      <c r="C121" s="340">
        <f t="shared" ref="C121" si="28">+C122+C127</f>
        <v>17.512521647976332</v>
      </c>
      <c r="D121" s="1011">
        <f t="shared" ref="D121:N121" si="29">+D122+D127</f>
        <v>0.35080313801698298</v>
      </c>
      <c r="E121" s="1011">
        <f t="shared" si="29"/>
        <v>0.36998383417629699</v>
      </c>
      <c r="F121" s="1011">
        <f t="shared" si="29"/>
        <v>15.98544109342561</v>
      </c>
      <c r="G121" s="1011">
        <f t="shared" si="29"/>
        <v>0.32995522961720497</v>
      </c>
      <c r="H121" s="1011">
        <f t="shared" si="29"/>
        <v>0.32300592577651899</v>
      </c>
      <c r="I121" s="1011">
        <f t="shared" si="29"/>
        <v>14.644837089343232</v>
      </c>
      <c r="J121" s="1011">
        <f t="shared" si="29"/>
        <v>0.30910731809514702</v>
      </c>
      <c r="K121" s="1011">
        <f t="shared" si="29"/>
        <v>0.32828801737674096</v>
      </c>
      <c r="L121" s="1011">
        <f t="shared" si="29"/>
        <v>13.447189397038157</v>
      </c>
      <c r="M121" s="1011">
        <f t="shared" si="29"/>
        <v>0.28825940969536801</v>
      </c>
      <c r="N121" s="1011">
        <f t="shared" si="29"/>
        <v>0.28131010585468197</v>
      </c>
      <c r="O121" s="340">
        <f t="shared" si="20"/>
        <v>64.170702206392278</v>
      </c>
      <c r="P121" s="1012"/>
      <c r="Q121" s="463"/>
      <c r="R121" s="463"/>
      <c r="S121" s="463"/>
      <c r="T121" s="463"/>
      <c r="U121" s="463"/>
    </row>
    <row r="122" spans="1:21" s="120" customFormat="1">
      <c r="A122" s="269"/>
      <c r="B122" s="346" t="s">
        <v>72</v>
      </c>
      <c r="C122" s="367">
        <f t="shared" ref="C122" si="30">+C123+C125</f>
        <v>17.512521647976332</v>
      </c>
      <c r="D122" s="367">
        <f t="shared" ref="D122:N122" si="31">+D123+D125</f>
        <v>0.35080313801698298</v>
      </c>
      <c r="E122" s="367">
        <f t="shared" si="31"/>
        <v>0.343853834176297</v>
      </c>
      <c r="F122" s="367">
        <f t="shared" si="31"/>
        <v>15.98544109342561</v>
      </c>
      <c r="G122" s="367">
        <f t="shared" si="31"/>
        <v>0.32995522961720497</v>
      </c>
      <c r="H122" s="367">
        <f t="shared" si="31"/>
        <v>0.32300592577651899</v>
      </c>
      <c r="I122" s="367">
        <f t="shared" si="31"/>
        <v>14.644837089343232</v>
      </c>
      <c r="J122" s="367">
        <f t="shared" si="31"/>
        <v>0.30910731809514702</v>
      </c>
      <c r="K122" s="367">
        <f t="shared" si="31"/>
        <v>0.30215801737674097</v>
      </c>
      <c r="L122" s="367">
        <f t="shared" si="31"/>
        <v>13.447189397038157</v>
      </c>
      <c r="M122" s="367">
        <f t="shared" si="31"/>
        <v>0.28825940969536801</v>
      </c>
      <c r="N122" s="367">
        <f t="shared" si="31"/>
        <v>0.28131010585468197</v>
      </c>
      <c r="O122" s="367">
        <f t="shared" si="20"/>
        <v>64.118442206392274</v>
      </c>
      <c r="P122" s="1012"/>
      <c r="Q122" s="463"/>
      <c r="R122" s="463"/>
      <c r="S122" s="463"/>
      <c r="T122" s="463"/>
      <c r="U122" s="463"/>
    </row>
    <row r="123" spans="1:21" s="120" customFormat="1">
      <c r="A123" s="269"/>
      <c r="B123" s="783" t="s">
        <v>674</v>
      </c>
      <c r="C123" s="372">
        <f t="shared" ref="C123:N123" si="32">+C124</f>
        <v>0.35776423471183105</v>
      </c>
      <c r="D123" s="372">
        <f t="shared" si="32"/>
        <v>0.35080313801698298</v>
      </c>
      <c r="E123" s="372">
        <f t="shared" si="32"/>
        <v>0.343853834176297</v>
      </c>
      <c r="F123" s="372">
        <f t="shared" si="32"/>
        <v>0.33690453033561102</v>
      </c>
      <c r="G123" s="372">
        <f t="shared" si="32"/>
        <v>0.32995522961720497</v>
      </c>
      <c r="H123" s="372">
        <f t="shared" si="32"/>
        <v>0.32300592577651899</v>
      </c>
      <c r="I123" s="372">
        <f t="shared" si="32"/>
        <v>0.316056621935833</v>
      </c>
      <c r="J123" s="372">
        <f t="shared" si="32"/>
        <v>0.30910731809514702</v>
      </c>
      <c r="K123" s="372">
        <f t="shared" si="32"/>
        <v>0.30215801737674097</v>
      </c>
      <c r="L123" s="372">
        <f t="shared" si="32"/>
        <v>0.29520871353605499</v>
      </c>
      <c r="M123" s="372">
        <f t="shared" si="32"/>
        <v>0.28825940969536801</v>
      </c>
      <c r="N123" s="372">
        <f t="shared" si="32"/>
        <v>0.28131010585468197</v>
      </c>
      <c r="O123" s="372">
        <f t="shared" si="20"/>
        <v>3.8343870791282719</v>
      </c>
      <c r="P123" s="1012"/>
      <c r="Q123" s="463"/>
      <c r="R123" s="463"/>
      <c r="S123" s="463"/>
      <c r="T123" s="463"/>
      <c r="U123" s="463"/>
    </row>
    <row r="124" spans="1:21" s="120" customFormat="1">
      <c r="A124" s="269"/>
      <c r="B124" s="784" t="s">
        <v>815</v>
      </c>
      <c r="C124" s="1001">
        <v>0.35776423471183105</v>
      </c>
      <c r="D124" s="1003">
        <v>0.35080313801698298</v>
      </c>
      <c r="E124" s="1003">
        <v>0.343853834176297</v>
      </c>
      <c r="F124" s="1003">
        <v>0.33690453033561102</v>
      </c>
      <c r="G124" s="1003">
        <v>0.32995522961720497</v>
      </c>
      <c r="H124" s="1003">
        <v>0.32300592577651899</v>
      </c>
      <c r="I124" s="1003">
        <v>0.316056621935833</v>
      </c>
      <c r="J124" s="1003">
        <v>0.30910731809514702</v>
      </c>
      <c r="K124" s="1003">
        <v>0.30215801737674097</v>
      </c>
      <c r="L124" s="1003">
        <v>0.29520871353605499</v>
      </c>
      <c r="M124" s="1001">
        <v>0.28825940969536801</v>
      </c>
      <c r="N124" s="1001">
        <v>0.28131010585468197</v>
      </c>
      <c r="O124" s="368">
        <f t="shared" si="20"/>
        <v>3.8343870791282719</v>
      </c>
      <c r="P124" s="1012"/>
      <c r="Q124" s="463"/>
      <c r="R124" s="463"/>
      <c r="S124" s="463"/>
      <c r="T124" s="463"/>
      <c r="U124" s="463"/>
    </row>
    <row r="125" spans="1:21" s="120" customFormat="1">
      <c r="A125" s="457"/>
      <c r="B125" s="785" t="s">
        <v>675</v>
      </c>
      <c r="C125" s="368">
        <f t="shared" ref="C125:N125" si="33">+C126</f>
        <v>17.154757413264502</v>
      </c>
      <c r="D125" s="1003">
        <f t="shared" si="33"/>
        <v>0</v>
      </c>
      <c r="E125" s="1003">
        <f t="shared" si="33"/>
        <v>0</v>
      </c>
      <c r="F125" s="1003">
        <f t="shared" si="33"/>
        <v>15.64853656309</v>
      </c>
      <c r="G125" s="1003">
        <f t="shared" si="33"/>
        <v>0</v>
      </c>
      <c r="H125" s="1003">
        <f t="shared" si="33"/>
        <v>0</v>
      </c>
      <c r="I125" s="1003">
        <f t="shared" si="33"/>
        <v>14.3287804674074</v>
      </c>
      <c r="J125" s="1003">
        <f t="shared" si="33"/>
        <v>0</v>
      </c>
      <c r="K125" s="1003">
        <f t="shared" si="33"/>
        <v>0</v>
      </c>
      <c r="L125" s="1003">
        <f t="shared" si="33"/>
        <v>13.151980683502101</v>
      </c>
      <c r="M125" s="1003">
        <f t="shared" si="33"/>
        <v>0</v>
      </c>
      <c r="N125" s="1003">
        <f t="shared" si="33"/>
        <v>0</v>
      </c>
      <c r="O125" s="368">
        <f t="shared" si="20"/>
        <v>60.284055127264004</v>
      </c>
      <c r="P125" s="1012"/>
      <c r="Q125" s="463"/>
      <c r="R125" s="463"/>
      <c r="S125" s="463"/>
      <c r="T125" s="463"/>
      <c r="U125" s="463"/>
    </row>
    <row r="126" spans="1:21">
      <c r="A126" s="454"/>
      <c r="B126" s="784" t="s">
        <v>815</v>
      </c>
      <c r="C126" s="1002">
        <v>17.154757413264502</v>
      </c>
      <c r="D126" s="1003">
        <v>0</v>
      </c>
      <c r="E126" s="1003">
        <v>0</v>
      </c>
      <c r="F126" s="1003">
        <v>15.64853656309</v>
      </c>
      <c r="G126" s="1003">
        <v>0</v>
      </c>
      <c r="H126" s="1003">
        <v>0</v>
      </c>
      <c r="I126" s="1003">
        <v>14.3287804674074</v>
      </c>
      <c r="J126" s="1003">
        <v>0</v>
      </c>
      <c r="K126" s="1003">
        <v>0</v>
      </c>
      <c r="L126" s="1003">
        <v>13.151980683502101</v>
      </c>
      <c r="M126" s="1002">
        <v>0</v>
      </c>
      <c r="N126" s="1002">
        <v>0</v>
      </c>
      <c r="O126" s="368">
        <f t="shared" si="20"/>
        <v>60.284055127264004</v>
      </c>
      <c r="P126" s="1012"/>
      <c r="Q126" s="463"/>
      <c r="R126" s="463"/>
      <c r="S126" s="463"/>
      <c r="T126" s="463"/>
      <c r="U126" s="463"/>
    </row>
    <row r="127" spans="1:21">
      <c r="A127" s="454"/>
      <c r="B127" s="347" t="s">
        <v>70</v>
      </c>
      <c r="C127" s="372">
        <f t="shared" ref="C127:N127" si="34">+C128</f>
        <v>0</v>
      </c>
      <c r="D127" s="372">
        <f t="shared" si="34"/>
        <v>0</v>
      </c>
      <c r="E127" s="372">
        <f t="shared" si="34"/>
        <v>2.613E-2</v>
      </c>
      <c r="F127" s="372">
        <f t="shared" si="34"/>
        <v>0</v>
      </c>
      <c r="G127" s="372">
        <f t="shared" si="34"/>
        <v>0</v>
      </c>
      <c r="H127" s="372">
        <f t="shared" si="34"/>
        <v>0</v>
      </c>
      <c r="I127" s="372">
        <f t="shared" si="34"/>
        <v>0</v>
      </c>
      <c r="J127" s="372">
        <f t="shared" si="34"/>
        <v>0</v>
      </c>
      <c r="K127" s="372">
        <f t="shared" si="34"/>
        <v>2.613E-2</v>
      </c>
      <c r="L127" s="372">
        <f t="shared" si="34"/>
        <v>0</v>
      </c>
      <c r="M127" s="372">
        <f t="shared" si="34"/>
        <v>0</v>
      </c>
      <c r="N127" s="372">
        <f t="shared" si="34"/>
        <v>0</v>
      </c>
      <c r="O127" s="372">
        <f t="shared" si="20"/>
        <v>5.2260000000000001E-2</v>
      </c>
      <c r="P127" s="1012"/>
      <c r="Q127" s="463"/>
      <c r="R127" s="463"/>
      <c r="S127" s="463"/>
      <c r="T127" s="463"/>
      <c r="U127" s="463"/>
    </row>
    <row r="128" spans="1:21">
      <c r="B128" s="784" t="s">
        <v>676</v>
      </c>
      <c r="C128" s="1003">
        <v>0</v>
      </c>
      <c r="D128" s="1003">
        <v>0</v>
      </c>
      <c r="E128" s="1003">
        <v>2.613E-2</v>
      </c>
      <c r="F128" s="1003">
        <v>0</v>
      </c>
      <c r="G128" s="1003">
        <v>0</v>
      </c>
      <c r="H128" s="1003">
        <v>0</v>
      </c>
      <c r="I128" s="1003">
        <v>0</v>
      </c>
      <c r="J128" s="1003">
        <v>0</v>
      </c>
      <c r="K128" s="1003">
        <v>2.613E-2</v>
      </c>
      <c r="L128" s="1003">
        <v>0</v>
      </c>
      <c r="M128" s="1003">
        <v>0</v>
      </c>
      <c r="N128" s="1003">
        <v>0</v>
      </c>
      <c r="O128" s="368">
        <f t="shared" si="20"/>
        <v>5.2260000000000001E-2</v>
      </c>
      <c r="P128" s="1012"/>
      <c r="Q128" s="463"/>
      <c r="R128" s="463"/>
      <c r="S128" s="463"/>
      <c r="T128" s="463"/>
      <c r="U128" s="463"/>
    </row>
    <row r="129" spans="2:21">
      <c r="B129" s="373"/>
      <c r="C129" s="86"/>
      <c r="D129" s="86"/>
      <c r="E129" s="86"/>
      <c r="F129" s="86"/>
      <c r="G129" s="86"/>
      <c r="H129" s="86"/>
      <c r="I129" s="86"/>
      <c r="J129" s="86"/>
      <c r="K129" s="86"/>
      <c r="L129" s="86"/>
      <c r="M129" s="86"/>
      <c r="N129" s="86"/>
      <c r="O129" s="86"/>
      <c r="P129" s="1012"/>
      <c r="Q129" s="463"/>
      <c r="R129" s="463"/>
      <c r="S129" s="463"/>
      <c r="T129" s="463"/>
      <c r="U129" s="463"/>
    </row>
    <row r="130" spans="2:21">
      <c r="B130" s="337" t="s">
        <v>105</v>
      </c>
      <c r="C130" s="338">
        <f t="shared" ref="C130:N130" si="35">+C131+C132</f>
        <v>333.38091445929439</v>
      </c>
      <c r="D130" s="338">
        <f t="shared" si="35"/>
        <v>265.28819371166878</v>
      </c>
      <c r="E130" s="338">
        <f t="shared" si="35"/>
        <v>654.7157230863553</v>
      </c>
      <c r="F130" s="338">
        <f t="shared" si="35"/>
        <v>677.06570566097787</v>
      </c>
      <c r="G130" s="338">
        <f t="shared" si="35"/>
        <v>442.48618728190866</v>
      </c>
      <c r="H130" s="338">
        <f t="shared" si="35"/>
        <v>1149.7267511703387</v>
      </c>
      <c r="I130" s="338">
        <f t="shared" si="35"/>
        <v>168.64787891066862</v>
      </c>
      <c r="J130" s="338">
        <f t="shared" si="35"/>
        <v>91.472867492056736</v>
      </c>
      <c r="K130" s="338">
        <f t="shared" si="35"/>
        <v>111.27634727292933</v>
      </c>
      <c r="L130" s="338">
        <f t="shared" si="35"/>
        <v>458.23336231694435</v>
      </c>
      <c r="M130" s="338">
        <f t="shared" si="35"/>
        <v>400.18310177646038</v>
      </c>
      <c r="N130" s="338">
        <f t="shared" si="35"/>
        <v>281.29044625875031</v>
      </c>
      <c r="O130" s="123">
        <f>+SUM(C130:N130)</f>
        <v>5033.7674793983542</v>
      </c>
      <c r="P130" s="1012"/>
    </row>
    <row r="131" spans="2:21">
      <c r="B131" s="339" t="s">
        <v>106</v>
      </c>
      <c r="C131" s="1004">
        <v>38.847672611385008</v>
      </c>
      <c r="D131" s="1011">
        <v>3.0829918380460559</v>
      </c>
      <c r="E131" s="1011">
        <v>31.093842893704746</v>
      </c>
      <c r="F131" s="1011">
        <v>81.77641865350391</v>
      </c>
      <c r="G131" s="1011">
        <v>41.109503039071939</v>
      </c>
      <c r="H131" s="1011">
        <v>202.24403072698834</v>
      </c>
      <c r="I131" s="1011">
        <v>38.671738673224269</v>
      </c>
      <c r="J131" s="1011">
        <v>2.9712446160172425</v>
      </c>
      <c r="K131" s="1011">
        <v>31.18049692658299</v>
      </c>
      <c r="L131" s="1011">
        <v>22.732123856503691</v>
      </c>
      <c r="M131" s="1004">
        <v>41.131982142427866</v>
      </c>
      <c r="N131" s="1004">
        <v>202.13815998378874</v>
      </c>
      <c r="O131" s="123">
        <f t="shared" ref="O131:O133" si="36">+SUM(C131:N131)</f>
        <v>736.98020596124479</v>
      </c>
      <c r="P131" s="1012"/>
    </row>
    <row r="132" spans="2:21">
      <c r="B132" s="339" t="s">
        <v>542</v>
      </c>
      <c r="C132" s="1004">
        <v>294.53324184790938</v>
      </c>
      <c r="D132" s="1011">
        <v>262.20520187362274</v>
      </c>
      <c r="E132" s="1011">
        <v>623.62188019265056</v>
      </c>
      <c r="F132" s="1011">
        <v>595.28928700747394</v>
      </c>
      <c r="G132" s="1011">
        <v>401.37668424283675</v>
      </c>
      <c r="H132" s="1011">
        <v>947.48272044335044</v>
      </c>
      <c r="I132" s="1011">
        <v>129.97614023744435</v>
      </c>
      <c r="J132" s="1011">
        <v>88.501622876039491</v>
      </c>
      <c r="K132" s="1011">
        <v>80.095850346346339</v>
      </c>
      <c r="L132" s="1011">
        <v>435.50123846044067</v>
      </c>
      <c r="M132" s="1004">
        <v>359.05111963403249</v>
      </c>
      <c r="N132" s="1004">
        <v>79.152286274961597</v>
      </c>
      <c r="O132" s="123">
        <f t="shared" si="36"/>
        <v>4296.7872734371085</v>
      </c>
      <c r="P132" s="1012"/>
    </row>
    <row r="133" spans="2:21">
      <c r="B133" s="337" t="s">
        <v>107</v>
      </c>
      <c r="C133" s="1011">
        <v>1002.184216143847</v>
      </c>
      <c r="D133" s="1011">
        <v>465.41352405049167</v>
      </c>
      <c r="E133" s="1011">
        <v>385.04125681659582</v>
      </c>
      <c r="F133" s="1011">
        <v>861.25690408961111</v>
      </c>
      <c r="G133" s="1011">
        <v>1035.6909725636187</v>
      </c>
      <c r="H133" s="1011">
        <v>1590.9397424035465</v>
      </c>
      <c r="I133" s="1011">
        <v>776.39962344194328</v>
      </c>
      <c r="J133" s="1011">
        <v>480.21475613918267</v>
      </c>
      <c r="K133" s="1011">
        <v>380.75294688356189</v>
      </c>
      <c r="L133" s="1011">
        <v>873.22193231749588</v>
      </c>
      <c r="M133" s="1011">
        <v>776.9249643133486</v>
      </c>
      <c r="N133" s="1011">
        <v>1586.1077098224478</v>
      </c>
      <c r="O133" s="123">
        <f t="shared" si="36"/>
        <v>10214.14854898569</v>
      </c>
      <c r="P133" s="1012"/>
    </row>
    <row r="134" spans="2:21">
      <c r="P134" s="1012"/>
    </row>
    <row r="135" spans="2:21">
      <c r="B135" s="98" t="s">
        <v>345</v>
      </c>
      <c r="C135" s="1012"/>
      <c r="D135" s="1012"/>
      <c r="E135" s="1012"/>
      <c r="F135" s="1012"/>
      <c r="G135" s="1012"/>
      <c r="H135" s="1012"/>
      <c r="I135" s="1012"/>
      <c r="J135" s="1012"/>
      <c r="K135" s="1012"/>
      <c r="L135" s="1012"/>
      <c r="M135" s="1012"/>
      <c r="N135" s="1012"/>
      <c r="O135" s="1012"/>
      <c r="P135" s="1012"/>
    </row>
    <row r="136" spans="2:21">
      <c r="C136" s="1012"/>
      <c r="D136" s="1012"/>
      <c r="E136" s="1012"/>
      <c r="F136" s="1012"/>
      <c r="G136" s="1012"/>
      <c r="H136" s="1012"/>
      <c r="I136" s="1012"/>
      <c r="J136" s="1012"/>
      <c r="K136" s="1012"/>
      <c r="L136" s="1012"/>
      <c r="M136" s="1012"/>
      <c r="N136" s="1012"/>
      <c r="O136" s="1012"/>
      <c r="P136" s="1012"/>
    </row>
    <row r="137" spans="2:21">
      <c r="C137" s="1012"/>
      <c r="D137" s="1012"/>
      <c r="E137" s="1012"/>
      <c r="F137" s="1012"/>
      <c r="G137" s="1012"/>
      <c r="H137" s="1012"/>
      <c r="I137" s="1012"/>
      <c r="J137" s="1012"/>
      <c r="K137" s="1012"/>
      <c r="L137" s="1012"/>
      <c r="M137" s="1012"/>
      <c r="N137" s="1012"/>
      <c r="O137" s="1012"/>
      <c r="P137" s="1012"/>
    </row>
    <row r="138" spans="2:21">
      <c r="C138" s="1012"/>
      <c r="D138" s="1012"/>
      <c r="E138" s="1012"/>
      <c r="F138" s="1012"/>
      <c r="G138" s="1012"/>
      <c r="H138" s="1012"/>
      <c r="I138" s="1012"/>
      <c r="J138" s="1012"/>
      <c r="K138" s="1012"/>
      <c r="L138" s="1012"/>
      <c r="M138" s="1012"/>
      <c r="N138" s="1012"/>
      <c r="O138" s="1012"/>
      <c r="P138" s="1012"/>
    </row>
    <row r="139" spans="2:21">
      <c r="C139" s="1012"/>
      <c r="D139" s="1012"/>
      <c r="E139" s="1012"/>
      <c r="F139" s="1012"/>
      <c r="G139" s="1012"/>
      <c r="H139" s="1012"/>
      <c r="I139" s="1012"/>
      <c r="J139" s="1012"/>
      <c r="K139" s="1012"/>
      <c r="L139" s="1012"/>
      <c r="M139" s="1012"/>
      <c r="N139" s="1012"/>
      <c r="O139" s="1012"/>
      <c r="P139" s="1012"/>
    </row>
    <row r="140" spans="2:21">
      <c r="C140" s="1012"/>
      <c r="D140" s="1012"/>
      <c r="E140" s="1012"/>
      <c r="F140" s="1012"/>
      <c r="G140" s="1012"/>
      <c r="H140" s="1012"/>
      <c r="I140" s="1012"/>
      <c r="J140" s="1012"/>
      <c r="K140" s="1012"/>
      <c r="L140" s="1012"/>
      <c r="M140" s="1012"/>
      <c r="N140" s="1012"/>
      <c r="O140" s="1012"/>
      <c r="P140" s="1012"/>
    </row>
    <row r="141" spans="2:21">
      <c r="P141" s="1012"/>
    </row>
    <row r="142" spans="2:21">
      <c r="P142" s="1012"/>
    </row>
    <row r="143" spans="2:21">
      <c r="P143" s="1012"/>
    </row>
    <row r="144" spans="2:21">
      <c r="P144" s="1012"/>
    </row>
    <row r="145" spans="3:16">
      <c r="C145" s="1012"/>
      <c r="D145" s="1012"/>
      <c r="E145" s="1012"/>
      <c r="F145" s="1012"/>
      <c r="G145" s="1012"/>
      <c r="H145" s="1012"/>
      <c r="I145" s="1012"/>
      <c r="J145" s="1012"/>
      <c r="K145" s="1012"/>
      <c r="L145" s="1012"/>
      <c r="M145" s="1012"/>
      <c r="N145" s="1012"/>
      <c r="O145" s="1012"/>
      <c r="P145" s="1012"/>
    </row>
    <row r="146" spans="3:16">
      <c r="C146" s="1012"/>
      <c r="D146" s="1012"/>
      <c r="E146" s="1012"/>
      <c r="F146" s="1012"/>
      <c r="G146" s="1012"/>
      <c r="H146" s="1012"/>
      <c r="I146" s="1012"/>
      <c r="J146" s="1012"/>
      <c r="K146" s="1012"/>
      <c r="L146" s="1012"/>
      <c r="M146" s="1012"/>
      <c r="N146" s="1012"/>
      <c r="O146" s="1012"/>
      <c r="P146" s="1012"/>
    </row>
    <row r="147" spans="3:16">
      <c r="C147" s="1012"/>
      <c r="D147" s="1012"/>
      <c r="E147" s="1012"/>
      <c r="F147" s="1012"/>
      <c r="G147" s="1012"/>
      <c r="H147" s="1012"/>
      <c r="I147" s="1012"/>
      <c r="J147" s="1012"/>
      <c r="K147" s="1012"/>
      <c r="L147" s="1012"/>
      <c r="M147" s="1012"/>
      <c r="N147" s="1012"/>
      <c r="O147" s="1012"/>
    </row>
    <row r="148" spans="3:16">
      <c r="C148" s="1012"/>
      <c r="D148" s="1012"/>
      <c r="E148" s="1012"/>
      <c r="F148" s="1012"/>
      <c r="G148" s="1012"/>
      <c r="H148" s="1012"/>
      <c r="I148" s="1012"/>
      <c r="J148" s="1012"/>
      <c r="K148" s="1012"/>
      <c r="L148" s="1012"/>
      <c r="M148" s="1012"/>
      <c r="N148" s="1012"/>
      <c r="O148" s="1012"/>
    </row>
  </sheetData>
  <mergeCells count="1">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sheetPr>
    <tabColor theme="3" tint="0.79998168889431442"/>
    <pageSetUpPr fitToPage="1"/>
  </sheetPr>
  <dimension ref="A1:AB187"/>
  <sheetViews>
    <sheetView showGridLines="0" zoomScaleNormal="100" zoomScaleSheetLayoutView="80" workbookViewId="0"/>
  </sheetViews>
  <sheetFormatPr baseColWidth="10" defaultColWidth="11.453125" defaultRowHeight="13"/>
  <cols>
    <col min="1" max="1" width="10.26953125" style="1" bestFit="1" customWidth="1"/>
    <col min="2" max="2" width="55.7265625" style="116" customWidth="1"/>
    <col min="3" max="4" width="11.81640625" style="71" customWidth="1"/>
    <col min="5" max="5" width="11.54296875" style="71" customWidth="1"/>
    <col min="6" max="6" width="11.81640625" style="71" customWidth="1"/>
    <col min="7" max="8" width="11.54296875" style="71" customWidth="1"/>
    <col min="9" max="9" width="11.81640625" style="71" customWidth="1"/>
    <col min="10" max="14" width="11.54296875" style="71" customWidth="1"/>
    <col min="15" max="15" width="9.54296875" style="71" customWidth="1"/>
    <col min="16" max="16" width="16.453125" style="116" bestFit="1" customWidth="1"/>
    <col min="17" max="24" width="11.453125" style="116" customWidth="1"/>
    <col min="25" max="16384" width="11.453125" style="116"/>
  </cols>
  <sheetData>
    <row r="1" spans="1:28" ht="14.5">
      <c r="A1" s="738" t="s">
        <v>219</v>
      </c>
      <c r="B1" s="741"/>
      <c r="C1" s="76"/>
      <c r="D1" s="76"/>
      <c r="E1" s="76"/>
      <c r="F1" s="76"/>
      <c r="G1" s="76"/>
      <c r="H1" s="76"/>
      <c r="I1" s="76"/>
      <c r="J1" s="76"/>
      <c r="K1" s="76"/>
      <c r="L1" s="76"/>
      <c r="M1" s="76"/>
      <c r="N1" s="76"/>
      <c r="O1" s="76"/>
    </row>
    <row r="2" spans="1:28" ht="15" customHeight="1">
      <c r="A2" s="42"/>
      <c r="B2" s="386" t="s">
        <v>889</v>
      </c>
      <c r="C2" s="3"/>
      <c r="D2" s="3"/>
      <c r="E2" s="3"/>
      <c r="F2" s="3"/>
      <c r="G2" s="3"/>
      <c r="H2" s="3"/>
      <c r="I2" s="3"/>
      <c r="J2" s="3"/>
      <c r="K2" s="3"/>
      <c r="L2" s="3"/>
      <c r="M2" s="3"/>
      <c r="N2" s="3"/>
      <c r="O2" s="87"/>
    </row>
    <row r="3" spans="1:28" ht="15" customHeight="1">
      <c r="A3" s="42"/>
      <c r="B3" s="270" t="s">
        <v>304</v>
      </c>
      <c r="C3" s="3"/>
      <c r="D3" s="3"/>
      <c r="E3" s="3"/>
      <c r="F3" s="3"/>
      <c r="G3" s="3"/>
      <c r="H3" s="3"/>
      <c r="I3" s="3"/>
      <c r="J3" s="3"/>
      <c r="K3" s="3"/>
      <c r="L3" s="3"/>
      <c r="M3" s="3"/>
      <c r="N3" s="3"/>
      <c r="O3" s="87"/>
    </row>
    <row r="4" spans="1:28" s="88" customFormat="1">
      <c r="A4" s="5"/>
      <c r="B4" s="87"/>
      <c r="C4" s="87"/>
      <c r="D4" s="87"/>
      <c r="E4" s="87"/>
      <c r="F4" s="87"/>
      <c r="G4" s="87"/>
      <c r="H4" s="87"/>
      <c r="I4" s="87"/>
      <c r="J4" s="87"/>
      <c r="K4" s="87"/>
      <c r="L4" s="87"/>
      <c r="M4" s="87"/>
      <c r="N4" s="87"/>
      <c r="O4" s="87"/>
      <c r="P4" s="116"/>
      <c r="Q4" s="116"/>
      <c r="R4" s="116"/>
      <c r="S4" s="116"/>
      <c r="T4" s="116"/>
      <c r="U4" s="116"/>
      <c r="V4" s="116"/>
      <c r="W4" s="116"/>
      <c r="X4" s="116"/>
      <c r="Y4" s="116"/>
    </row>
    <row r="5" spans="1:28" s="88" customFormat="1" ht="13.5" thickBot="1">
      <c r="A5" s="5"/>
      <c r="B5" s="87"/>
      <c r="C5" s="87"/>
      <c r="D5" s="87"/>
      <c r="E5" s="87"/>
      <c r="F5" s="87"/>
      <c r="G5" s="87"/>
      <c r="H5" s="87"/>
      <c r="I5" s="87"/>
      <c r="J5" s="87"/>
      <c r="K5" s="87"/>
      <c r="L5" s="87"/>
      <c r="M5" s="87"/>
      <c r="N5" s="87"/>
      <c r="O5" s="87"/>
      <c r="P5" s="116"/>
      <c r="Q5" s="116"/>
      <c r="R5" s="116"/>
      <c r="S5" s="116"/>
      <c r="T5" s="116"/>
      <c r="U5" s="116"/>
      <c r="V5" s="116"/>
      <c r="W5" s="116"/>
      <c r="X5" s="116"/>
      <c r="Y5" s="116"/>
    </row>
    <row r="6" spans="1:28" s="88" customFormat="1" ht="22.5" customHeight="1" thickBot="1">
      <c r="A6" s="5"/>
      <c r="B6" s="1487" t="s">
        <v>783</v>
      </c>
      <c r="C6" s="1488"/>
      <c r="D6" s="1488"/>
      <c r="E6" s="1488"/>
      <c r="F6" s="1488"/>
      <c r="G6" s="1488"/>
      <c r="H6" s="1488"/>
      <c r="I6" s="1488"/>
      <c r="J6" s="1488"/>
      <c r="K6" s="1488"/>
      <c r="L6" s="1488"/>
      <c r="M6" s="1488"/>
      <c r="N6" s="1488"/>
      <c r="O6" s="1489"/>
      <c r="P6" s="116"/>
      <c r="Q6" s="116"/>
      <c r="R6" s="116"/>
      <c r="S6" s="116"/>
      <c r="T6" s="116"/>
      <c r="U6" s="116"/>
      <c r="V6" s="116"/>
      <c r="W6" s="116"/>
      <c r="X6" s="116"/>
      <c r="Y6" s="116"/>
    </row>
    <row r="7" spans="1:28" s="88" customFormat="1">
      <c r="A7" s="5"/>
      <c r="B7" s="5"/>
      <c r="C7" s="5"/>
      <c r="D7" s="5"/>
      <c r="E7" s="5"/>
      <c r="F7" s="5"/>
      <c r="G7" s="5"/>
      <c r="H7" s="5"/>
      <c r="I7" s="5"/>
      <c r="J7" s="5"/>
      <c r="K7" s="5"/>
      <c r="L7" s="5"/>
      <c r="M7" s="5"/>
      <c r="N7" s="5"/>
      <c r="O7" s="5"/>
      <c r="P7" s="116"/>
      <c r="Q7" s="116"/>
      <c r="R7" s="116"/>
      <c r="S7" s="116"/>
      <c r="T7" s="116"/>
      <c r="U7" s="116"/>
      <c r="V7" s="116"/>
      <c r="W7" s="116"/>
      <c r="X7" s="116"/>
      <c r="Y7" s="116"/>
    </row>
    <row r="8" spans="1:28" s="88" customFormat="1" ht="13.5" thickBot="1">
      <c r="A8" s="5"/>
      <c r="B8" s="457" t="s">
        <v>915</v>
      </c>
      <c r="C8" s="5"/>
      <c r="D8" s="5"/>
      <c r="E8" s="5"/>
      <c r="F8" s="5"/>
      <c r="G8" s="5"/>
      <c r="H8" s="5"/>
      <c r="I8" s="5"/>
      <c r="J8" s="5"/>
      <c r="K8" s="5"/>
      <c r="L8" s="5"/>
      <c r="M8" s="5"/>
      <c r="N8" s="5"/>
      <c r="O8" s="75"/>
      <c r="P8" s="116"/>
      <c r="Q8" s="116"/>
      <c r="R8" s="116"/>
      <c r="S8" s="116"/>
      <c r="T8" s="116"/>
      <c r="U8" s="116"/>
      <c r="V8" s="116"/>
      <c r="W8" s="116"/>
      <c r="X8" s="116"/>
      <c r="Y8" s="116"/>
    </row>
    <row r="9" spans="1:28" s="88" customFormat="1" ht="14" thickTop="1" thickBot="1">
      <c r="A9" s="5"/>
      <c r="B9" s="117"/>
      <c r="C9" s="458">
        <v>44197</v>
      </c>
      <c r="D9" s="458">
        <v>44228</v>
      </c>
      <c r="E9" s="458">
        <v>44256</v>
      </c>
      <c r="F9" s="458">
        <v>44287</v>
      </c>
      <c r="G9" s="458">
        <v>44317</v>
      </c>
      <c r="H9" s="458">
        <v>44348</v>
      </c>
      <c r="I9" s="458">
        <v>44378</v>
      </c>
      <c r="J9" s="458">
        <v>44409</v>
      </c>
      <c r="K9" s="458">
        <v>44440</v>
      </c>
      <c r="L9" s="458">
        <v>44470</v>
      </c>
      <c r="M9" s="458">
        <v>44501</v>
      </c>
      <c r="N9" s="458">
        <v>44531</v>
      </c>
      <c r="O9" s="459">
        <v>2021</v>
      </c>
      <c r="P9" s="116"/>
      <c r="Q9" s="116"/>
      <c r="R9" s="116"/>
      <c r="S9" s="116"/>
      <c r="T9" s="116"/>
      <c r="U9" s="116"/>
      <c r="V9" s="116"/>
      <c r="W9" s="116"/>
      <c r="X9" s="116"/>
      <c r="Y9" s="116"/>
    </row>
    <row r="10" spans="1:28" s="88" customFormat="1" ht="14" thickTop="1" thickBot="1">
      <c r="A10" s="5"/>
      <c r="B10" s="5"/>
      <c r="C10" s="5"/>
      <c r="D10" s="5"/>
      <c r="E10" s="5"/>
      <c r="F10" s="93"/>
      <c r="G10" s="93"/>
      <c r="H10" s="93"/>
      <c r="I10" s="93"/>
      <c r="J10" s="93"/>
      <c r="K10" s="93"/>
      <c r="L10" s="93"/>
      <c r="M10" s="93"/>
      <c r="N10" s="93"/>
      <c r="O10" s="93"/>
      <c r="P10" s="116"/>
      <c r="Q10" s="116"/>
      <c r="R10" s="116"/>
      <c r="S10" s="116"/>
      <c r="T10" s="116"/>
      <c r="U10" s="116"/>
      <c r="V10" s="116"/>
      <c r="W10" s="116"/>
      <c r="X10" s="116"/>
      <c r="Y10" s="116"/>
      <c r="Z10" s="116"/>
      <c r="AA10" s="116"/>
      <c r="AB10" s="116"/>
    </row>
    <row r="11" spans="1:28" s="88" customFormat="1" ht="13.5" thickBot="1">
      <c r="A11" s="5"/>
      <c r="B11" s="1484" t="s">
        <v>747</v>
      </c>
      <c r="C11" s="1485"/>
      <c r="D11" s="1485"/>
      <c r="E11" s="1485"/>
      <c r="F11" s="1485"/>
      <c r="G11" s="1485"/>
      <c r="H11" s="1485"/>
      <c r="I11" s="1485"/>
      <c r="J11" s="1485"/>
      <c r="K11" s="1485"/>
      <c r="L11" s="1485"/>
      <c r="M11" s="1485"/>
      <c r="N11" s="1485"/>
      <c r="O11" s="1486"/>
      <c r="P11" s="116"/>
      <c r="Q11" s="116"/>
      <c r="R11" s="116"/>
      <c r="S11" s="116"/>
      <c r="T11" s="116"/>
      <c r="U11" s="116"/>
      <c r="V11" s="116"/>
      <c r="W11" s="116"/>
      <c r="X11" s="116"/>
      <c r="Y11" s="116"/>
      <c r="Z11" s="116"/>
      <c r="AA11" s="116"/>
      <c r="AB11" s="116"/>
    </row>
    <row r="12" spans="1:28" s="993" customFormat="1" ht="13.5" thickBot="1">
      <c r="A12" s="118"/>
      <c r="B12" s="119"/>
      <c r="C12" s="93"/>
      <c r="D12" s="93"/>
      <c r="E12" s="93"/>
      <c r="F12" s="93"/>
      <c r="G12" s="93"/>
      <c r="H12" s="93"/>
      <c r="I12" s="93"/>
      <c r="J12" s="93"/>
      <c r="K12" s="93"/>
      <c r="L12" s="93"/>
      <c r="M12" s="93"/>
      <c r="N12" s="93"/>
      <c r="O12" s="93"/>
      <c r="P12" s="116"/>
      <c r="Q12" s="116"/>
      <c r="R12" s="116"/>
      <c r="S12" s="116"/>
      <c r="T12" s="116"/>
      <c r="U12" s="116"/>
      <c r="V12" s="116"/>
      <c r="W12" s="116"/>
      <c r="X12" s="116"/>
      <c r="Y12" s="116"/>
    </row>
    <row r="13" spans="1:28" ht="15" thickBot="1">
      <c r="B13" s="331" t="s">
        <v>60</v>
      </c>
      <c r="C13" s="332">
        <f t="shared" ref="C13:O13" si="0">+C14+C15</f>
        <v>7910.210832967251</v>
      </c>
      <c r="D13" s="332">
        <f t="shared" si="0"/>
        <v>882.63606042568415</v>
      </c>
      <c r="E13" s="332">
        <f t="shared" si="0"/>
        <v>2451.7785931051758</v>
      </c>
      <c r="F13" s="332">
        <f t="shared" si="0"/>
        <v>4776.8577665760395</v>
      </c>
      <c r="G13" s="332">
        <f t="shared" si="0"/>
        <v>1569.6536316519994</v>
      </c>
      <c r="H13" s="332">
        <f t="shared" si="0"/>
        <v>5077.6775758353551</v>
      </c>
      <c r="I13" s="332">
        <f t="shared" si="0"/>
        <v>3213.3156106596775</v>
      </c>
      <c r="J13" s="332">
        <f t="shared" si="0"/>
        <v>148.9195484576511</v>
      </c>
      <c r="K13" s="332">
        <f t="shared" si="0"/>
        <v>4002.5722245359643</v>
      </c>
      <c r="L13" s="332">
        <f t="shared" si="0"/>
        <v>1233.6401729331783</v>
      </c>
      <c r="M13" s="332">
        <f t="shared" si="0"/>
        <v>189.86778890750389</v>
      </c>
      <c r="N13" s="332">
        <f t="shared" si="0"/>
        <v>2351.3183923959109</v>
      </c>
      <c r="O13" s="332">
        <f t="shared" si="0"/>
        <v>33808.448198451384</v>
      </c>
      <c r="P13" s="89"/>
      <c r="Q13" s="89"/>
      <c r="R13" s="89"/>
      <c r="S13" s="89"/>
      <c r="T13" s="89"/>
      <c r="U13" s="89"/>
      <c r="V13" s="89"/>
      <c r="W13" s="89"/>
      <c r="X13" s="89"/>
    </row>
    <row r="14" spans="1:28">
      <c r="A14" s="5"/>
      <c r="B14" s="464" t="s">
        <v>61</v>
      </c>
      <c r="C14" s="125">
        <v>0</v>
      </c>
      <c r="D14" s="125">
        <v>0</v>
      </c>
      <c r="E14" s="1013">
        <v>0</v>
      </c>
      <c r="F14" s="1013">
        <v>0</v>
      </c>
      <c r="G14" s="1013">
        <v>0</v>
      </c>
      <c r="H14" s="125">
        <v>0</v>
      </c>
      <c r="I14" s="125">
        <v>0</v>
      </c>
      <c r="J14" s="125">
        <v>0</v>
      </c>
      <c r="K14" s="125">
        <v>0</v>
      </c>
      <c r="L14" s="125">
        <v>0</v>
      </c>
      <c r="M14" s="125">
        <v>0</v>
      </c>
      <c r="N14" s="125">
        <v>0</v>
      </c>
      <c r="O14" s="125">
        <f>SUM(C14:N14)</f>
        <v>0</v>
      </c>
      <c r="P14" s="89"/>
      <c r="Q14" s="89"/>
      <c r="R14" s="89"/>
      <c r="S14" s="89"/>
      <c r="T14" s="89"/>
      <c r="U14" s="89"/>
      <c r="V14" s="89"/>
      <c r="W14" s="89"/>
      <c r="X14" s="89"/>
    </row>
    <row r="15" spans="1:28">
      <c r="A15" s="5"/>
      <c r="B15" s="464" t="s">
        <v>62</v>
      </c>
      <c r="C15" s="125">
        <v>7910.210832967251</v>
      </c>
      <c r="D15" s="125">
        <v>882.63606042568415</v>
      </c>
      <c r="E15" s="1013">
        <v>2451.7785931051758</v>
      </c>
      <c r="F15" s="1013">
        <v>4776.8577665760395</v>
      </c>
      <c r="G15" s="1013">
        <v>1569.6536316519994</v>
      </c>
      <c r="H15" s="125">
        <v>5077.6775758353551</v>
      </c>
      <c r="I15" s="125">
        <v>3213.3156106596775</v>
      </c>
      <c r="J15" s="125">
        <v>148.9195484576511</v>
      </c>
      <c r="K15" s="125">
        <v>4002.5722245359643</v>
      </c>
      <c r="L15" s="125">
        <v>1233.6401729331783</v>
      </c>
      <c r="M15" s="125">
        <v>189.86778890750389</v>
      </c>
      <c r="N15" s="125">
        <v>2351.3183923959109</v>
      </c>
      <c r="O15" s="125">
        <f>SUM(C15:N15)</f>
        <v>33808.448198451384</v>
      </c>
      <c r="P15" s="89"/>
      <c r="Q15" s="89"/>
      <c r="R15" s="89"/>
      <c r="S15" s="89"/>
      <c r="T15" s="89"/>
      <c r="U15" s="89"/>
      <c r="V15" s="89"/>
      <c r="W15" s="89"/>
      <c r="X15" s="89"/>
    </row>
    <row r="16" spans="1:28" s="993" customFormat="1" ht="13.5" thickBot="1">
      <c r="A16" s="5"/>
      <c r="B16" s="5"/>
      <c r="C16" s="460"/>
      <c r="D16" s="460"/>
      <c r="E16" s="471"/>
      <c r="F16" s="471"/>
      <c r="G16" s="471"/>
      <c r="H16" s="460"/>
      <c r="I16" s="460"/>
      <c r="J16" s="460"/>
      <c r="K16" s="460"/>
      <c r="L16" s="460"/>
      <c r="M16" s="460"/>
      <c r="N16" s="460"/>
      <c r="O16" s="460"/>
      <c r="P16" s="89"/>
      <c r="Q16" s="89"/>
      <c r="R16" s="89"/>
      <c r="S16" s="89"/>
      <c r="T16" s="89"/>
      <c r="U16" s="89"/>
      <c r="V16" s="89"/>
      <c r="W16" s="89"/>
      <c r="X16" s="89"/>
      <c r="Y16" s="116"/>
    </row>
    <row r="17" spans="1:28" s="71" customFormat="1" ht="13.5" thickBot="1">
      <c r="A17" s="5"/>
      <c r="B17" s="126" t="s">
        <v>53</v>
      </c>
      <c r="C17" s="78">
        <f>+C18+C23+C25+C26+C29</f>
        <v>267.43761312879684</v>
      </c>
      <c r="D17" s="78">
        <f t="shared" ref="D17:N17" si="1">+D18+D23+D25+D26+D29</f>
        <v>152.41858481729977</v>
      </c>
      <c r="E17" s="78">
        <f t="shared" si="1"/>
        <v>268.33855693939847</v>
      </c>
      <c r="F17" s="78">
        <f t="shared" si="1"/>
        <v>139.50767725048553</v>
      </c>
      <c r="G17" s="78">
        <f t="shared" si="1"/>
        <v>181.2181811786032</v>
      </c>
      <c r="H17" s="78">
        <f t="shared" si="1"/>
        <v>173.61212768635903</v>
      </c>
      <c r="I17" s="78">
        <f t="shared" si="1"/>
        <v>285.87646934394638</v>
      </c>
      <c r="J17" s="78">
        <f t="shared" si="1"/>
        <v>139.44872008844757</v>
      </c>
      <c r="K17" s="78">
        <f t="shared" si="1"/>
        <v>2103.4567397612182</v>
      </c>
      <c r="L17" s="78">
        <f t="shared" si="1"/>
        <v>112.43400085239647</v>
      </c>
      <c r="M17" s="78">
        <f t="shared" si="1"/>
        <v>180.30729754038731</v>
      </c>
      <c r="N17" s="78">
        <f t="shared" si="1"/>
        <v>1982.3344026159884</v>
      </c>
      <c r="O17" s="127">
        <f>+SUM(C17:N17)</f>
        <v>5986.390371203328</v>
      </c>
      <c r="P17" s="89"/>
      <c r="Q17" s="89"/>
      <c r="R17" s="89"/>
      <c r="S17" s="89"/>
      <c r="T17" s="89"/>
      <c r="U17" s="89"/>
      <c r="V17" s="89"/>
      <c r="W17" s="89"/>
      <c r="X17" s="89"/>
      <c r="Y17" s="89"/>
      <c r="Z17" s="89"/>
      <c r="AA17" s="89"/>
      <c r="AB17" s="89"/>
    </row>
    <row r="18" spans="1:28" s="71" customFormat="1">
      <c r="A18" s="5"/>
      <c r="B18" s="465" t="s">
        <v>63</v>
      </c>
      <c r="C18" s="79">
        <f t="shared" ref="C18:O18" si="2">SUM(C19:C22)</f>
        <v>112.76134673000001</v>
      </c>
      <c r="D18" s="79">
        <f t="shared" si="2"/>
        <v>140.696855841</v>
      </c>
      <c r="E18" s="79">
        <f t="shared" si="2"/>
        <v>251.99055497600006</v>
      </c>
      <c r="F18" s="79">
        <f t="shared" si="2"/>
        <v>111.12552811663716</v>
      </c>
      <c r="G18" s="79">
        <f t="shared" si="2"/>
        <v>148.39937556799998</v>
      </c>
      <c r="H18" s="79">
        <f t="shared" si="2"/>
        <v>150.40716954937909</v>
      </c>
      <c r="I18" s="79">
        <f t="shared" si="2"/>
        <v>131.115854657</v>
      </c>
      <c r="J18" s="79">
        <f t="shared" si="2"/>
        <v>127.36352241100002</v>
      </c>
      <c r="K18" s="79">
        <f t="shared" si="2"/>
        <v>2086.565937206266</v>
      </c>
      <c r="L18" s="79">
        <f t="shared" si="2"/>
        <v>101.87412697663717</v>
      </c>
      <c r="M18" s="79">
        <f t="shared" si="2"/>
        <v>147.23783221799999</v>
      </c>
      <c r="N18" s="79">
        <f t="shared" si="2"/>
        <v>1968.2543418686448</v>
      </c>
      <c r="O18" s="79">
        <f t="shared" si="2"/>
        <v>5477.7924461185648</v>
      </c>
      <c r="P18" s="89"/>
      <c r="Q18" s="89"/>
      <c r="R18" s="89"/>
      <c r="S18" s="89"/>
      <c r="T18" s="89"/>
      <c r="U18" s="89"/>
      <c r="V18" s="89"/>
      <c r="W18" s="89"/>
      <c r="X18" s="89"/>
      <c r="Y18" s="89"/>
      <c r="Z18" s="89"/>
      <c r="AA18" s="89"/>
      <c r="AB18" s="89"/>
    </row>
    <row r="19" spans="1:28" s="71" customFormat="1">
      <c r="A19" s="5"/>
      <c r="B19" s="466" t="s">
        <v>64</v>
      </c>
      <c r="C19" s="1005">
        <v>30.57680148</v>
      </c>
      <c r="D19" s="1005">
        <v>2.82987872</v>
      </c>
      <c r="E19" s="1005">
        <v>72.012018396000016</v>
      </c>
      <c r="F19" s="1005">
        <v>46.871388249999995</v>
      </c>
      <c r="G19" s="1005">
        <v>17.625357869999998</v>
      </c>
      <c r="H19" s="1005">
        <v>33.618539169999998</v>
      </c>
      <c r="I19" s="1005">
        <v>30.568778803999997</v>
      </c>
      <c r="J19" s="1005">
        <v>2.82987872</v>
      </c>
      <c r="K19" s="1005">
        <v>72.008568536000013</v>
      </c>
      <c r="L19" s="1005">
        <v>35.239831070000001</v>
      </c>
      <c r="M19" s="1005">
        <v>13.480841739999999</v>
      </c>
      <c r="N19" s="1005">
        <v>33.618539169999998</v>
      </c>
      <c r="O19" s="1005">
        <f>SUM(C19:N19)</f>
        <v>391.28042192600003</v>
      </c>
      <c r="P19" s="89"/>
      <c r="Q19" s="89"/>
      <c r="R19" s="89"/>
      <c r="S19" s="89"/>
      <c r="T19" s="89"/>
      <c r="U19" s="89"/>
      <c r="V19" s="89"/>
      <c r="W19" s="89"/>
      <c r="X19" s="89"/>
      <c r="Y19" s="116"/>
    </row>
    <row r="20" spans="1:28" s="71" customFormat="1">
      <c r="A20" s="5"/>
      <c r="B20" s="467" t="s">
        <v>65</v>
      </c>
      <c r="C20" s="1000">
        <v>53.888564550000012</v>
      </c>
      <c r="D20" s="1000">
        <v>46.867162941000004</v>
      </c>
      <c r="E20" s="1000">
        <v>138.62412871000004</v>
      </c>
      <c r="F20" s="1000">
        <v>49.225990769999996</v>
      </c>
      <c r="G20" s="1000">
        <v>98.409763017999992</v>
      </c>
      <c r="H20" s="1000">
        <v>43.456021130000003</v>
      </c>
      <c r="I20" s="1000">
        <v>53.888564490000007</v>
      </c>
      <c r="J20" s="1000">
        <v>33.533829511000008</v>
      </c>
      <c r="K20" s="1000">
        <v>138.62412861000001</v>
      </c>
      <c r="L20" s="1006">
        <v>51.417970889999992</v>
      </c>
      <c r="M20" s="1000">
        <v>101.39273565799999</v>
      </c>
      <c r="N20" s="1000">
        <v>26.746510760000003</v>
      </c>
      <c r="O20" s="1006">
        <f>SUM(C20:N20)</f>
        <v>836.07537103799996</v>
      </c>
      <c r="P20" s="89"/>
      <c r="Q20" s="89"/>
      <c r="R20" s="89"/>
      <c r="S20" s="89"/>
      <c r="T20" s="89"/>
      <c r="U20" s="89"/>
      <c r="V20" s="89"/>
      <c r="W20" s="89"/>
      <c r="X20" s="89"/>
      <c r="Y20" s="116"/>
    </row>
    <row r="21" spans="1:28" s="71" customFormat="1">
      <c r="A21" s="5"/>
      <c r="B21" s="467" t="s">
        <v>667</v>
      </c>
      <c r="C21" s="987">
        <v>0</v>
      </c>
      <c r="D21" s="987">
        <v>0</v>
      </c>
      <c r="E21" s="987">
        <v>0</v>
      </c>
      <c r="F21" s="987">
        <v>0</v>
      </c>
      <c r="G21" s="987">
        <v>0</v>
      </c>
      <c r="H21" s="987">
        <v>0</v>
      </c>
      <c r="I21" s="987">
        <v>0</v>
      </c>
      <c r="J21" s="987">
        <v>0</v>
      </c>
      <c r="K21" s="987">
        <v>1834.5046321902657</v>
      </c>
      <c r="L21" s="82">
        <v>0</v>
      </c>
      <c r="M21" s="987">
        <v>0</v>
      </c>
      <c r="N21" s="987">
        <v>1834.5046321902657</v>
      </c>
      <c r="O21" s="1006">
        <f>SUM(C21:N21)</f>
        <v>3669.0092643805315</v>
      </c>
      <c r="P21" s="89"/>
      <c r="Q21" s="89"/>
      <c r="R21" s="89"/>
      <c r="S21" s="89"/>
      <c r="T21" s="89"/>
      <c r="U21" s="89"/>
      <c r="V21" s="89"/>
      <c r="W21" s="89"/>
      <c r="X21" s="89"/>
      <c r="Y21" s="116"/>
    </row>
    <row r="22" spans="1:28" s="71" customFormat="1">
      <c r="A22" s="5"/>
      <c r="B22" s="468" t="s">
        <v>66</v>
      </c>
      <c r="C22" s="987">
        <v>28.295980700000001</v>
      </c>
      <c r="D22" s="987">
        <v>90.999814180000016</v>
      </c>
      <c r="E22" s="987">
        <v>41.354407870000003</v>
      </c>
      <c r="F22" s="987">
        <v>15.028149096637168</v>
      </c>
      <c r="G22" s="987">
        <v>32.364254680000002</v>
      </c>
      <c r="H22" s="987">
        <v>73.332609249379104</v>
      </c>
      <c r="I22" s="987">
        <v>46.658511362999995</v>
      </c>
      <c r="J22" s="987">
        <v>90.999814180000016</v>
      </c>
      <c r="K22" s="987">
        <v>41.42860787</v>
      </c>
      <c r="L22" s="82">
        <v>15.216325016637169</v>
      </c>
      <c r="M22" s="987">
        <v>32.364254819999999</v>
      </c>
      <c r="N22" s="987">
        <v>73.384659748379093</v>
      </c>
      <c r="O22" s="82">
        <f>SUM(C22:N22)</f>
        <v>581.42738877403258</v>
      </c>
      <c r="P22" s="89"/>
      <c r="Q22" s="89"/>
      <c r="R22" s="89"/>
      <c r="S22" s="89"/>
      <c r="T22" s="89"/>
      <c r="U22" s="89"/>
      <c r="V22" s="89"/>
      <c r="W22" s="89"/>
      <c r="X22" s="89"/>
      <c r="Y22" s="116"/>
    </row>
    <row r="23" spans="1:28" s="71" customFormat="1">
      <c r="A23" s="5"/>
      <c r="B23" s="361" t="s">
        <v>69</v>
      </c>
      <c r="C23" s="362">
        <f>+C24</f>
        <v>1.2389460221863371E-2</v>
      </c>
      <c r="D23" s="362">
        <f t="shared" ref="D23:N23" si="3">+D24</f>
        <v>0.52768602394632314</v>
      </c>
      <c r="E23" s="362">
        <f t="shared" si="3"/>
        <v>1.2702238538229306E-2</v>
      </c>
      <c r="F23" s="362">
        <f t="shared" si="3"/>
        <v>1.2608646521800184E-2</v>
      </c>
      <c r="G23" s="362">
        <f t="shared" si="3"/>
        <v>17.124856954613772</v>
      </c>
      <c r="H23" s="362">
        <f t="shared" si="3"/>
        <v>1.2756564181703293E-2</v>
      </c>
      <c r="I23" s="362">
        <f t="shared" si="3"/>
        <v>1.2879056837042758E-2</v>
      </c>
      <c r="J23" s="362">
        <f t="shared" si="3"/>
        <v>0.52813042990503989</v>
      </c>
      <c r="K23" s="362">
        <f t="shared" si="3"/>
        <v>1.2981510861475812E-2</v>
      </c>
      <c r="L23" s="362">
        <f t="shared" si="3"/>
        <v>1.3099315209576634E-2</v>
      </c>
      <c r="M23" s="362">
        <f t="shared" si="3"/>
        <v>17.125256459666076</v>
      </c>
      <c r="N23" s="362">
        <f t="shared" si="3"/>
        <v>1.3248372619532402E-2</v>
      </c>
      <c r="O23" s="82">
        <f>SUM(C23:N23)</f>
        <v>35.408595033122431</v>
      </c>
      <c r="P23" s="89"/>
      <c r="Q23" s="89"/>
      <c r="R23" s="89"/>
      <c r="S23" s="89"/>
      <c r="T23" s="89"/>
      <c r="U23" s="89"/>
      <c r="V23" s="89"/>
      <c r="W23" s="89"/>
      <c r="X23" s="89"/>
      <c r="Y23" s="116"/>
    </row>
    <row r="24" spans="1:28" s="71" customFormat="1">
      <c r="A24" s="5"/>
      <c r="B24" s="467" t="s">
        <v>70</v>
      </c>
      <c r="C24" s="1000">
        <v>1.2389460221863371E-2</v>
      </c>
      <c r="D24" s="1000">
        <v>0.52768602394632314</v>
      </c>
      <c r="E24" s="1000">
        <v>1.2702238538229306E-2</v>
      </c>
      <c r="F24" s="1000">
        <v>1.2608646521800184E-2</v>
      </c>
      <c r="G24" s="1000">
        <v>17.124856954613772</v>
      </c>
      <c r="H24" s="1000">
        <v>1.2756564181703293E-2</v>
      </c>
      <c r="I24" s="1000">
        <v>1.2879056837042758E-2</v>
      </c>
      <c r="J24" s="1000">
        <v>0.52813042990503989</v>
      </c>
      <c r="K24" s="1000">
        <v>1.2981510861475812E-2</v>
      </c>
      <c r="L24" s="1000">
        <v>1.3099315209576634E-2</v>
      </c>
      <c r="M24" s="1000">
        <v>17.125256459666076</v>
      </c>
      <c r="N24" s="1000">
        <v>1.3248372619532402E-2</v>
      </c>
      <c r="O24" s="1006">
        <f t="shared" ref="O24:O26" si="4">SUM(C24:N24)</f>
        <v>35.408595033122431</v>
      </c>
      <c r="P24" s="89"/>
      <c r="Q24" s="89"/>
      <c r="R24" s="89"/>
      <c r="S24" s="89"/>
      <c r="T24" s="89"/>
      <c r="U24" s="89"/>
      <c r="V24" s="89"/>
      <c r="W24" s="89"/>
      <c r="X24" s="89"/>
      <c r="Y24" s="116"/>
    </row>
    <row r="25" spans="1:28" s="5" customFormat="1">
      <c r="B25" s="361" t="s">
        <v>71</v>
      </c>
      <c r="C25" s="362">
        <v>149.97990109999998</v>
      </c>
      <c r="D25" s="362">
        <v>1.2798230233064692E-2</v>
      </c>
      <c r="E25" s="362">
        <v>0.12129997000000001</v>
      </c>
      <c r="F25" s="362">
        <v>20.343229954439028</v>
      </c>
      <c r="G25" s="362">
        <v>7.5957079423506126</v>
      </c>
      <c r="H25" s="362">
        <v>0.42075657</v>
      </c>
      <c r="I25" s="362">
        <v>149.97990105999997</v>
      </c>
      <c r="J25" s="362">
        <v>1.2798230233064692E-2</v>
      </c>
      <c r="K25" s="362">
        <v>0.12129997000000001</v>
      </c>
      <c r="L25" s="362">
        <v>2.2689662744390264</v>
      </c>
      <c r="M25" s="362">
        <v>7.5957079423506126</v>
      </c>
      <c r="N25" s="362">
        <v>0.42075657</v>
      </c>
      <c r="O25" s="1007">
        <f t="shared" si="4"/>
        <v>338.87312381404536</v>
      </c>
      <c r="P25" s="89"/>
      <c r="Q25" s="89"/>
      <c r="R25" s="89"/>
      <c r="S25" s="89"/>
      <c r="T25" s="89"/>
      <c r="U25" s="89"/>
      <c r="V25" s="89"/>
      <c r="W25" s="89"/>
      <c r="X25" s="89"/>
      <c r="Y25" s="116"/>
    </row>
    <row r="26" spans="1:28" s="5" customFormat="1">
      <c r="B26" s="1008" t="s">
        <v>371</v>
      </c>
      <c r="C26" s="362">
        <f>+C27</f>
        <v>0</v>
      </c>
      <c r="D26" s="362">
        <f t="shared" ref="D26:N27" si="5">+D27</f>
        <v>0</v>
      </c>
      <c r="E26" s="362">
        <f t="shared" si="5"/>
        <v>0</v>
      </c>
      <c r="F26" s="362">
        <f t="shared" si="5"/>
        <v>0</v>
      </c>
      <c r="G26" s="362">
        <f t="shared" si="5"/>
        <v>0</v>
      </c>
      <c r="H26" s="362">
        <f t="shared" si="5"/>
        <v>1.1811965099999999</v>
      </c>
      <c r="I26" s="362">
        <f t="shared" si="5"/>
        <v>0</v>
      </c>
      <c r="J26" s="362">
        <f t="shared" si="5"/>
        <v>0</v>
      </c>
      <c r="K26" s="362">
        <f t="shared" si="5"/>
        <v>0</v>
      </c>
      <c r="L26" s="362">
        <f t="shared" si="5"/>
        <v>0</v>
      </c>
      <c r="M26" s="362">
        <f t="shared" si="5"/>
        <v>0</v>
      </c>
      <c r="N26" s="362">
        <f t="shared" si="5"/>
        <v>0</v>
      </c>
      <c r="O26" s="1007">
        <f t="shared" si="4"/>
        <v>1.1811965099999999</v>
      </c>
      <c r="P26" s="89"/>
      <c r="Q26" s="89"/>
      <c r="R26" s="89"/>
      <c r="S26" s="89"/>
      <c r="T26" s="89"/>
      <c r="U26" s="89"/>
      <c r="V26" s="89"/>
      <c r="W26" s="89"/>
      <c r="X26" s="89"/>
      <c r="Y26" s="116"/>
    </row>
    <row r="27" spans="1:28" s="5" customFormat="1">
      <c r="B27" s="468" t="s">
        <v>70</v>
      </c>
      <c r="C27" s="987">
        <f>+C28</f>
        <v>0</v>
      </c>
      <c r="D27" s="987">
        <f t="shared" si="5"/>
        <v>0</v>
      </c>
      <c r="E27" s="987">
        <f t="shared" si="5"/>
        <v>0</v>
      </c>
      <c r="F27" s="987">
        <f t="shared" si="5"/>
        <v>0</v>
      </c>
      <c r="G27" s="987">
        <f t="shared" si="5"/>
        <v>0</v>
      </c>
      <c r="H27" s="987">
        <f t="shared" si="5"/>
        <v>1.1811965099999999</v>
      </c>
      <c r="I27" s="987">
        <f t="shared" si="5"/>
        <v>0</v>
      </c>
      <c r="J27" s="987">
        <f t="shared" si="5"/>
        <v>0</v>
      </c>
      <c r="K27" s="987">
        <f t="shared" si="5"/>
        <v>0</v>
      </c>
      <c r="L27" s="987">
        <f t="shared" si="5"/>
        <v>0</v>
      </c>
      <c r="M27" s="987">
        <f t="shared" si="5"/>
        <v>0</v>
      </c>
      <c r="N27" s="987">
        <f t="shared" si="5"/>
        <v>0</v>
      </c>
      <c r="O27" s="82">
        <f>+O28</f>
        <v>1.1811965099999999</v>
      </c>
      <c r="P27" s="89"/>
      <c r="Q27" s="89"/>
      <c r="R27" s="89"/>
      <c r="S27" s="89"/>
      <c r="T27" s="89"/>
      <c r="U27" s="89"/>
      <c r="V27" s="89"/>
      <c r="W27" s="89"/>
      <c r="X27" s="89"/>
      <c r="Y27" s="116"/>
    </row>
    <row r="28" spans="1:28" s="121" customFormat="1">
      <c r="A28" s="5"/>
      <c r="B28" s="347" t="s">
        <v>857</v>
      </c>
      <c r="C28" s="1000">
        <v>0</v>
      </c>
      <c r="D28" s="1000">
        <v>0</v>
      </c>
      <c r="E28" s="1000">
        <v>0</v>
      </c>
      <c r="F28" s="1000">
        <v>0</v>
      </c>
      <c r="G28" s="1000">
        <v>0</v>
      </c>
      <c r="H28" s="1000">
        <v>1.1811965099999999</v>
      </c>
      <c r="I28" s="1000">
        <v>0</v>
      </c>
      <c r="J28" s="1000">
        <v>0</v>
      </c>
      <c r="K28" s="1000">
        <v>0</v>
      </c>
      <c r="L28" s="1000">
        <v>0</v>
      </c>
      <c r="M28" s="1000">
        <v>0</v>
      </c>
      <c r="N28" s="1000">
        <v>0</v>
      </c>
      <c r="O28" s="1006">
        <f>SUM(C28:N28)</f>
        <v>1.1811965099999999</v>
      </c>
      <c r="P28" s="89"/>
      <c r="Q28" s="89"/>
      <c r="R28" s="89"/>
      <c r="S28" s="89"/>
      <c r="T28" s="89"/>
      <c r="U28" s="89"/>
      <c r="V28" s="89"/>
      <c r="W28" s="89"/>
      <c r="X28" s="89"/>
      <c r="Y28" s="116"/>
    </row>
    <row r="29" spans="1:28" s="121" customFormat="1">
      <c r="A29" s="5"/>
      <c r="B29" s="346" t="s">
        <v>824</v>
      </c>
      <c r="C29" s="989">
        <f t="shared" ref="C29:O29" si="6">+C30+C31</f>
        <v>4.6839758385750061</v>
      </c>
      <c r="D29" s="989">
        <f t="shared" si="6"/>
        <v>11.181244722120377</v>
      </c>
      <c r="E29" s="989">
        <f t="shared" si="6"/>
        <v>16.213999754860172</v>
      </c>
      <c r="F29" s="989">
        <f t="shared" si="6"/>
        <v>8.0263105328875533</v>
      </c>
      <c r="G29" s="989">
        <f t="shared" si="6"/>
        <v>8.0982407136388677</v>
      </c>
      <c r="H29" s="989">
        <f t="shared" si="6"/>
        <v>21.590248492798228</v>
      </c>
      <c r="I29" s="989">
        <f t="shared" si="6"/>
        <v>4.7678345701093585</v>
      </c>
      <c r="J29" s="989">
        <f t="shared" si="6"/>
        <v>11.544269017309459</v>
      </c>
      <c r="K29" s="989">
        <f t="shared" si="6"/>
        <v>16.756521074090493</v>
      </c>
      <c r="L29" s="989">
        <f t="shared" si="6"/>
        <v>8.2778082861106945</v>
      </c>
      <c r="M29" s="989">
        <f t="shared" si="6"/>
        <v>8.3485009203706486</v>
      </c>
      <c r="N29" s="989">
        <f t="shared" si="6"/>
        <v>13.646055804724101</v>
      </c>
      <c r="O29" s="1005">
        <f t="shared" si="6"/>
        <v>133.13500972759496</v>
      </c>
      <c r="P29" s="89"/>
      <c r="Q29" s="89"/>
      <c r="R29" s="89"/>
      <c r="S29" s="89"/>
      <c r="T29" s="89"/>
      <c r="U29" s="89"/>
      <c r="V29" s="89"/>
      <c r="W29" s="89"/>
      <c r="X29" s="89"/>
      <c r="Y29" s="116"/>
    </row>
    <row r="30" spans="1:28" s="71" customFormat="1">
      <c r="A30" s="5"/>
      <c r="B30" s="346" t="s">
        <v>72</v>
      </c>
      <c r="C30" s="989">
        <v>0.99041632857500617</v>
      </c>
      <c r="D30" s="989">
        <v>1.0092774021203772</v>
      </c>
      <c r="E30" s="989">
        <v>1.0376618248601719</v>
      </c>
      <c r="F30" s="989">
        <v>1.0477387928875532</v>
      </c>
      <c r="G30" s="989">
        <v>1.070567793638868</v>
      </c>
      <c r="H30" s="989">
        <v>1.0878511227982302</v>
      </c>
      <c r="I30" s="989">
        <v>1.1113391101093582</v>
      </c>
      <c r="J30" s="989">
        <v>1.1296003673094581</v>
      </c>
      <c r="K30" s="989">
        <v>1.1510690040904916</v>
      </c>
      <c r="L30" s="989">
        <v>1.1754892061106936</v>
      </c>
      <c r="M30" s="989">
        <v>1.1952516403706488</v>
      </c>
      <c r="N30" s="989">
        <v>1.2203207947241006</v>
      </c>
      <c r="O30" s="1005">
        <f>SUM(C30:N30)</f>
        <v>13.226583387594959</v>
      </c>
      <c r="P30" s="89"/>
      <c r="Q30" s="89"/>
      <c r="R30" s="89"/>
      <c r="S30" s="89"/>
      <c r="T30" s="89"/>
      <c r="U30" s="89"/>
      <c r="V30" s="89"/>
      <c r="W30" s="89"/>
      <c r="X30" s="89"/>
      <c r="Y30" s="116"/>
    </row>
    <row r="31" spans="1:28" s="71" customFormat="1">
      <c r="A31" s="5"/>
      <c r="B31" s="348" t="s">
        <v>70</v>
      </c>
      <c r="C31" s="349">
        <v>3.69355951</v>
      </c>
      <c r="D31" s="349">
        <v>10.17196732</v>
      </c>
      <c r="E31" s="349">
        <v>15.176337929999999</v>
      </c>
      <c r="F31" s="349">
        <v>6.9785717399999996</v>
      </c>
      <c r="G31" s="349">
        <v>7.0276729199999997</v>
      </c>
      <c r="H31" s="349">
        <v>20.502397369999997</v>
      </c>
      <c r="I31" s="349">
        <v>3.6564954600000004</v>
      </c>
      <c r="J31" s="349">
        <v>10.414668650000001</v>
      </c>
      <c r="K31" s="349">
        <v>15.60545207</v>
      </c>
      <c r="L31" s="349">
        <v>7.10231908</v>
      </c>
      <c r="M31" s="349">
        <v>7.1532492799999998</v>
      </c>
      <c r="N31" s="349">
        <v>12.42573501</v>
      </c>
      <c r="O31" s="84">
        <f>SUM(C31:N31)</f>
        <v>119.90842633999999</v>
      </c>
      <c r="P31" s="89"/>
      <c r="Q31" s="89"/>
      <c r="R31" s="89"/>
      <c r="S31" s="89"/>
      <c r="T31" s="89"/>
      <c r="U31" s="89"/>
      <c r="V31" s="89"/>
      <c r="W31" s="89"/>
      <c r="X31" s="89"/>
      <c r="Y31" s="116"/>
    </row>
    <row r="32" spans="1:28" s="71" customFormat="1" ht="13.5" thickBot="1">
      <c r="A32" s="5"/>
      <c r="B32" s="350"/>
      <c r="C32" s="350"/>
      <c r="D32" s="350"/>
      <c r="E32" s="350"/>
      <c r="F32" s="1009"/>
      <c r="G32" s="1009"/>
      <c r="H32" s="1009"/>
      <c r="I32" s="1009"/>
      <c r="J32" s="1009"/>
      <c r="K32" s="1009"/>
      <c r="L32" s="1009"/>
      <c r="M32" s="1009"/>
      <c r="N32" s="1009"/>
      <c r="O32" s="1009"/>
      <c r="P32" s="89"/>
      <c r="Q32" s="89"/>
      <c r="R32" s="89"/>
      <c r="S32" s="89"/>
      <c r="T32" s="89"/>
      <c r="U32" s="89"/>
      <c r="V32" s="89"/>
      <c r="W32" s="89"/>
      <c r="X32" s="89"/>
      <c r="Y32" s="116"/>
    </row>
    <row r="33" spans="1:25" s="993" customFormat="1" ht="13.5" thickBot="1">
      <c r="A33" s="5"/>
      <c r="B33" s="126" t="s">
        <v>239</v>
      </c>
      <c r="C33" s="78">
        <v>0</v>
      </c>
      <c r="D33" s="78">
        <v>0</v>
      </c>
      <c r="E33" s="78">
        <v>0</v>
      </c>
      <c r="F33" s="78">
        <v>0</v>
      </c>
      <c r="G33" s="78">
        <v>0</v>
      </c>
      <c r="H33" s="78">
        <v>4841.8064946990562</v>
      </c>
      <c r="I33" s="78">
        <v>0</v>
      </c>
      <c r="J33" s="78">
        <v>0</v>
      </c>
      <c r="K33" s="78">
        <v>0</v>
      </c>
      <c r="L33" s="78">
        <v>0</v>
      </c>
      <c r="M33" s="78">
        <v>0</v>
      </c>
      <c r="N33" s="78">
        <v>0</v>
      </c>
      <c r="O33" s="127">
        <f>SUM(C33:N33)</f>
        <v>4841.8064946990562</v>
      </c>
      <c r="P33" s="89"/>
      <c r="Q33" s="89"/>
      <c r="R33" s="89"/>
      <c r="S33" s="89"/>
      <c r="T33" s="89"/>
      <c r="U33" s="89"/>
      <c r="V33" s="89"/>
      <c r="W33" s="89"/>
      <c r="X33" s="89"/>
      <c r="Y33" s="116"/>
    </row>
    <row r="34" spans="1:25" s="71" customFormat="1" ht="13.5" thickBot="1">
      <c r="A34" s="5"/>
      <c r="B34" s="352"/>
      <c r="C34" s="540"/>
      <c r="D34" s="540"/>
      <c r="E34" s="540"/>
      <c r="F34" s="540"/>
      <c r="G34" s="540"/>
      <c r="H34" s="540"/>
      <c r="I34" s="540"/>
      <c r="J34" s="540"/>
      <c r="K34" s="540"/>
      <c r="L34" s="540"/>
      <c r="M34" s="540"/>
      <c r="N34" s="540"/>
      <c r="O34" s="540"/>
      <c r="P34" s="89"/>
      <c r="Q34" s="89"/>
      <c r="R34" s="89"/>
      <c r="S34" s="89"/>
      <c r="T34" s="89"/>
      <c r="U34" s="89"/>
      <c r="V34" s="89"/>
      <c r="W34" s="89"/>
      <c r="X34" s="89"/>
      <c r="Y34" s="116"/>
    </row>
    <row r="35" spans="1:25" s="71" customFormat="1" ht="13.5" thickBot="1">
      <c r="A35" s="5"/>
      <c r="B35" s="126" t="s">
        <v>307</v>
      </c>
      <c r="C35" s="78">
        <f>+C36+C53+SUM(C70:C118)+C121</f>
        <v>7642.7732198384538</v>
      </c>
      <c r="D35" s="78">
        <f t="shared" ref="D35:O35" si="7">+D36+D53+SUM(D70:D118)+D121</f>
        <v>730.21747560838423</v>
      </c>
      <c r="E35" s="78">
        <f t="shared" si="7"/>
        <v>2183.4400361657763</v>
      </c>
      <c r="F35" s="78">
        <f t="shared" si="7"/>
        <v>4637.3500893255568</v>
      </c>
      <c r="G35" s="78">
        <f t="shared" si="7"/>
        <v>1388.4354504733953</v>
      </c>
      <c r="H35" s="78">
        <f t="shared" si="7"/>
        <v>62.258953449940321</v>
      </c>
      <c r="I35" s="78">
        <f t="shared" si="7"/>
        <v>2927.4391413157314</v>
      </c>
      <c r="J35" s="78">
        <f t="shared" si="7"/>
        <v>9.4708283692035327</v>
      </c>
      <c r="K35" s="78">
        <f t="shared" si="7"/>
        <v>1899.1154847747464</v>
      </c>
      <c r="L35" s="78">
        <f t="shared" si="7"/>
        <v>1121.2061720807822</v>
      </c>
      <c r="M35" s="78">
        <f t="shared" si="7"/>
        <v>9.5604913671165477</v>
      </c>
      <c r="N35" s="78">
        <f t="shared" si="7"/>
        <v>368.98398977992224</v>
      </c>
      <c r="O35" s="78">
        <f t="shared" si="7"/>
        <v>22980.251332549004</v>
      </c>
      <c r="P35" s="89"/>
      <c r="Q35" s="89"/>
      <c r="R35" s="89"/>
      <c r="S35" s="89"/>
      <c r="T35" s="89"/>
      <c r="U35" s="89"/>
      <c r="V35" s="89"/>
      <c r="W35" s="89"/>
      <c r="X35" s="89"/>
      <c r="Y35" s="116"/>
    </row>
    <row r="36" spans="1:25" s="71" customFormat="1">
      <c r="A36" s="5"/>
      <c r="B36" s="355" t="s">
        <v>74</v>
      </c>
      <c r="C36" s="356">
        <f>+C37+C40+C47+C50</f>
        <v>0</v>
      </c>
      <c r="D36" s="356">
        <f t="shared" ref="D36:N36" si="8">+D37+D40+D47+D50</f>
        <v>0</v>
      </c>
      <c r="E36" s="356">
        <f t="shared" si="8"/>
        <v>0</v>
      </c>
      <c r="F36" s="356">
        <f t="shared" si="8"/>
        <v>0</v>
      </c>
      <c r="G36" s="356">
        <f t="shared" si="8"/>
        <v>0</v>
      </c>
      <c r="H36" s="356">
        <f t="shared" si="8"/>
        <v>0</v>
      </c>
      <c r="I36" s="356">
        <f t="shared" si="8"/>
        <v>0</v>
      </c>
      <c r="J36" s="356">
        <f t="shared" si="8"/>
        <v>0</v>
      </c>
      <c r="K36" s="356">
        <f>+K37+K40+K47+K50</f>
        <v>0</v>
      </c>
      <c r="L36" s="356">
        <f t="shared" si="8"/>
        <v>0</v>
      </c>
      <c r="M36" s="356">
        <f t="shared" si="8"/>
        <v>0</v>
      </c>
      <c r="N36" s="356">
        <f t="shared" si="8"/>
        <v>0</v>
      </c>
      <c r="O36" s="85">
        <f>SUM(C36:N36)</f>
        <v>0</v>
      </c>
      <c r="P36" s="89"/>
      <c r="Q36" s="89"/>
      <c r="R36" s="89"/>
      <c r="S36" s="89"/>
      <c r="T36" s="89"/>
      <c r="U36" s="89"/>
      <c r="V36" s="89"/>
      <c r="W36" s="89"/>
      <c r="X36" s="89"/>
      <c r="Y36" s="116"/>
    </row>
    <row r="37" spans="1:25" s="71" customFormat="1">
      <c r="A37" s="5"/>
      <c r="B37" s="994" t="s">
        <v>19</v>
      </c>
      <c r="C37" s="990">
        <f>+C38+C39</f>
        <v>0</v>
      </c>
      <c r="D37" s="990">
        <f t="shared" ref="D37:N37" si="9">+D38+D39</f>
        <v>0</v>
      </c>
      <c r="E37" s="990">
        <f t="shared" si="9"/>
        <v>0</v>
      </c>
      <c r="F37" s="990">
        <f t="shared" si="9"/>
        <v>0</v>
      </c>
      <c r="G37" s="990">
        <f t="shared" si="9"/>
        <v>0</v>
      </c>
      <c r="H37" s="990">
        <f t="shared" si="9"/>
        <v>0</v>
      </c>
      <c r="I37" s="990">
        <f t="shared" si="9"/>
        <v>0</v>
      </c>
      <c r="J37" s="990">
        <f t="shared" si="9"/>
        <v>0</v>
      </c>
      <c r="K37" s="990">
        <f t="shared" si="9"/>
        <v>0</v>
      </c>
      <c r="L37" s="990">
        <f t="shared" si="9"/>
        <v>0</v>
      </c>
      <c r="M37" s="990">
        <f t="shared" si="9"/>
        <v>0</v>
      </c>
      <c r="N37" s="990">
        <f t="shared" si="9"/>
        <v>0</v>
      </c>
      <c r="O37" s="1009">
        <f>SUM(C37:N37)</f>
        <v>0</v>
      </c>
      <c r="P37" s="89"/>
      <c r="Q37" s="89"/>
      <c r="R37" s="89"/>
      <c r="S37" s="89"/>
      <c r="T37" s="89"/>
      <c r="U37" s="89"/>
      <c r="V37" s="89"/>
      <c r="W37" s="89"/>
      <c r="X37" s="89"/>
      <c r="Y37" s="116"/>
    </row>
    <row r="38" spans="1:25" s="71" customFormat="1">
      <c r="A38" s="5"/>
      <c r="B38" s="358" t="s">
        <v>240</v>
      </c>
      <c r="C38" s="990">
        <v>0</v>
      </c>
      <c r="D38" s="990">
        <v>0</v>
      </c>
      <c r="E38" s="990">
        <v>0</v>
      </c>
      <c r="F38" s="990">
        <v>0</v>
      </c>
      <c r="G38" s="990">
        <v>0</v>
      </c>
      <c r="H38" s="990">
        <v>0</v>
      </c>
      <c r="I38" s="990">
        <v>0</v>
      </c>
      <c r="J38" s="990">
        <v>0</v>
      </c>
      <c r="K38" s="990">
        <v>0</v>
      </c>
      <c r="L38" s="990">
        <v>0</v>
      </c>
      <c r="M38" s="990">
        <v>0</v>
      </c>
      <c r="N38" s="990">
        <v>0</v>
      </c>
      <c r="O38" s="1009">
        <f>SUM(C38:N38)</f>
        <v>0</v>
      </c>
      <c r="P38" s="89"/>
      <c r="Q38" s="89"/>
      <c r="R38" s="89"/>
      <c r="S38" s="89"/>
      <c r="T38" s="89"/>
      <c r="U38" s="89"/>
      <c r="V38" s="89"/>
      <c r="W38" s="89"/>
      <c r="X38" s="89"/>
      <c r="Y38" s="116"/>
    </row>
    <row r="39" spans="1:25" s="71" customFormat="1">
      <c r="A39" s="5"/>
      <c r="B39" s="358" t="s">
        <v>241</v>
      </c>
      <c r="C39" s="990">
        <v>0</v>
      </c>
      <c r="D39" s="990">
        <v>0</v>
      </c>
      <c r="E39" s="990">
        <v>0</v>
      </c>
      <c r="F39" s="990">
        <v>0</v>
      </c>
      <c r="G39" s="990">
        <v>0</v>
      </c>
      <c r="H39" s="990">
        <v>0</v>
      </c>
      <c r="I39" s="990">
        <v>0</v>
      </c>
      <c r="J39" s="990">
        <v>0</v>
      </c>
      <c r="K39" s="990">
        <v>0</v>
      </c>
      <c r="L39" s="990">
        <v>0</v>
      </c>
      <c r="M39" s="990">
        <v>0</v>
      </c>
      <c r="N39" s="990">
        <v>0</v>
      </c>
      <c r="O39" s="1009">
        <f>SUM(C39:N39)</f>
        <v>0</v>
      </c>
      <c r="P39" s="89"/>
      <c r="Q39" s="89"/>
      <c r="R39" s="89"/>
      <c r="S39" s="89"/>
      <c r="T39" s="89"/>
      <c r="U39" s="89"/>
      <c r="V39" s="89"/>
      <c r="W39" s="89"/>
      <c r="X39" s="89"/>
      <c r="Y39" s="116"/>
    </row>
    <row r="40" spans="1:25" s="71" customFormat="1">
      <c r="A40" s="5"/>
      <c r="B40" s="994" t="s">
        <v>20</v>
      </c>
      <c r="C40" s="990">
        <f>+C41+C44</f>
        <v>0</v>
      </c>
      <c r="D40" s="990">
        <f t="shared" ref="D40:N40" si="10">+D41+D44</f>
        <v>0</v>
      </c>
      <c r="E40" s="990">
        <f t="shared" si="10"/>
        <v>0</v>
      </c>
      <c r="F40" s="990">
        <f t="shared" si="10"/>
        <v>0</v>
      </c>
      <c r="G40" s="990">
        <f t="shared" si="10"/>
        <v>0</v>
      </c>
      <c r="H40" s="990">
        <f t="shared" si="10"/>
        <v>0</v>
      </c>
      <c r="I40" s="990">
        <f t="shared" si="10"/>
        <v>0</v>
      </c>
      <c r="J40" s="990">
        <f t="shared" si="10"/>
        <v>0</v>
      </c>
      <c r="K40" s="990">
        <f t="shared" si="10"/>
        <v>0</v>
      </c>
      <c r="L40" s="990">
        <f t="shared" si="10"/>
        <v>0</v>
      </c>
      <c r="M40" s="990">
        <f t="shared" si="10"/>
        <v>0</v>
      </c>
      <c r="N40" s="990">
        <f t="shared" si="10"/>
        <v>0</v>
      </c>
      <c r="O40" s="1009">
        <f t="shared" ref="O40:O52" si="11">SUM(C40:N40)</f>
        <v>0</v>
      </c>
      <c r="P40" s="89"/>
      <c r="Q40" s="89"/>
      <c r="R40" s="89"/>
      <c r="S40" s="89"/>
      <c r="T40" s="89"/>
      <c r="U40" s="89"/>
      <c r="V40" s="89"/>
      <c r="W40" s="89"/>
      <c r="X40" s="89"/>
      <c r="Y40" s="116"/>
    </row>
    <row r="41" spans="1:25" s="71" customFormat="1">
      <c r="A41" s="5"/>
      <c r="B41" s="358" t="s">
        <v>240</v>
      </c>
      <c r="C41" s="990">
        <f>+C42+C43</f>
        <v>0</v>
      </c>
      <c r="D41" s="990">
        <f t="shared" ref="D41:N41" si="12">+D42+D43</f>
        <v>0</v>
      </c>
      <c r="E41" s="990">
        <f t="shared" si="12"/>
        <v>0</v>
      </c>
      <c r="F41" s="990">
        <f t="shared" si="12"/>
        <v>0</v>
      </c>
      <c r="G41" s="990">
        <f t="shared" si="12"/>
        <v>0</v>
      </c>
      <c r="H41" s="990">
        <f t="shared" si="12"/>
        <v>0</v>
      </c>
      <c r="I41" s="990">
        <f t="shared" si="12"/>
        <v>0</v>
      </c>
      <c r="J41" s="990">
        <f t="shared" si="12"/>
        <v>0</v>
      </c>
      <c r="K41" s="990">
        <f t="shared" si="12"/>
        <v>0</v>
      </c>
      <c r="L41" s="990">
        <f t="shared" si="12"/>
        <v>0</v>
      </c>
      <c r="M41" s="990">
        <f t="shared" si="12"/>
        <v>0</v>
      </c>
      <c r="N41" s="990">
        <f t="shared" si="12"/>
        <v>0</v>
      </c>
      <c r="O41" s="1009">
        <f t="shared" si="11"/>
        <v>0</v>
      </c>
      <c r="P41" s="89"/>
      <c r="Q41" s="89"/>
      <c r="R41" s="89"/>
      <c r="S41" s="89"/>
      <c r="T41" s="89"/>
      <c r="U41" s="89"/>
      <c r="V41" s="89"/>
      <c r="W41" s="89"/>
      <c r="X41" s="89"/>
      <c r="Y41" s="116"/>
    </row>
    <row r="42" spans="1:25" s="71" customFormat="1">
      <c r="A42" s="5"/>
      <c r="B42" s="359" t="s">
        <v>242</v>
      </c>
      <c r="C42" s="990">
        <v>0</v>
      </c>
      <c r="D42" s="990">
        <v>0</v>
      </c>
      <c r="E42" s="990">
        <v>0</v>
      </c>
      <c r="F42" s="990">
        <v>0</v>
      </c>
      <c r="G42" s="990">
        <v>0</v>
      </c>
      <c r="H42" s="990">
        <v>0</v>
      </c>
      <c r="I42" s="990">
        <v>0</v>
      </c>
      <c r="J42" s="990">
        <v>0</v>
      </c>
      <c r="K42" s="990">
        <v>0</v>
      </c>
      <c r="L42" s="990">
        <v>0</v>
      </c>
      <c r="M42" s="990">
        <v>0</v>
      </c>
      <c r="N42" s="990">
        <v>0</v>
      </c>
      <c r="O42" s="1009">
        <f t="shared" si="11"/>
        <v>0</v>
      </c>
      <c r="P42" s="89"/>
      <c r="Q42" s="89"/>
      <c r="R42" s="89"/>
      <c r="S42" s="89"/>
      <c r="T42" s="89"/>
      <c r="U42" s="89"/>
      <c r="V42" s="89"/>
      <c r="W42" s="89"/>
      <c r="X42" s="89"/>
      <c r="Y42" s="116"/>
    </row>
    <row r="43" spans="1:25" s="71" customFormat="1">
      <c r="A43" s="5"/>
      <c r="B43" s="360" t="s">
        <v>243</v>
      </c>
      <c r="C43" s="990">
        <v>0</v>
      </c>
      <c r="D43" s="990">
        <v>0</v>
      </c>
      <c r="E43" s="990">
        <v>0</v>
      </c>
      <c r="F43" s="990">
        <v>0</v>
      </c>
      <c r="G43" s="990">
        <v>0</v>
      </c>
      <c r="H43" s="990">
        <v>0</v>
      </c>
      <c r="I43" s="990">
        <v>0</v>
      </c>
      <c r="J43" s="990">
        <v>0</v>
      </c>
      <c r="K43" s="990">
        <v>0</v>
      </c>
      <c r="L43" s="990">
        <v>0</v>
      </c>
      <c r="M43" s="990">
        <v>0</v>
      </c>
      <c r="N43" s="990">
        <v>0</v>
      </c>
      <c r="O43" s="1009">
        <f t="shared" si="11"/>
        <v>0</v>
      </c>
      <c r="P43" s="89"/>
      <c r="Q43" s="89"/>
      <c r="R43" s="89"/>
      <c r="S43" s="89"/>
      <c r="T43" s="89"/>
      <c r="U43" s="89"/>
      <c r="V43" s="89"/>
      <c r="W43" s="89"/>
      <c r="X43" s="89"/>
      <c r="Y43" s="116"/>
    </row>
    <row r="44" spans="1:25" s="71" customFormat="1">
      <c r="A44" s="5"/>
      <c r="B44" s="358" t="s">
        <v>241</v>
      </c>
      <c r="C44" s="990">
        <f>+C45+C46</f>
        <v>0</v>
      </c>
      <c r="D44" s="990">
        <f t="shared" ref="D44:N44" si="13">+D45+D46</f>
        <v>0</v>
      </c>
      <c r="E44" s="990">
        <f t="shared" si="13"/>
        <v>0</v>
      </c>
      <c r="F44" s="990">
        <f t="shared" si="13"/>
        <v>0</v>
      </c>
      <c r="G44" s="990">
        <f t="shared" si="13"/>
        <v>0</v>
      </c>
      <c r="H44" s="990">
        <f t="shared" si="13"/>
        <v>0</v>
      </c>
      <c r="I44" s="990">
        <f t="shared" si="13"/>
        <v>0</v>
      </c>
      <c r="J44" s="990">
        <f t="shared" si="13"/>
        <v>0</v>
      </c>
      <c r="K44" s="990">
        <f t="shared" si="13"/>
        <v>0</v>
      </c>
      <c r="L44" s="990">
        <f t="shared" si="13"/>
        <v>0</v>
      </c>
      <c r="M44" s="990">
        <f t="shared" si="13"/>
        <v>0</v>
      </c>
      <c r="N44" s="990">
        <f t="shared" si="13"/>
        <v>0</v>
      </c>
      <c r="O44" s="1009">
        <f t="shared" si="11"/>
        <v>0</v>
      </c>
      <c r="P44" s="89"/>
      <c r="Q44" s="89"/>
      <c r="R44" s="89"/>
      <c r="S44" s="89"/>
      <c r="T44" s="89"/>
      <c r="U44" s="89"/>
      <c r="V44" s="89"/>
      <c r="W44" s="89"/>
      <c r="X44" s="89"/>
      <c r="Y44" s="116"/>
    </row>
    <row r="45" spans="1:25" s="71" customFormat="1">
      <c r="A45" s="5"/>
      <c r="B45" s="359" t="s">
        <v>242</v>
      </c>
      <c r="C45" s="990">
        <v>0</v>
      </c>
      <c r="D45" s="990">
        <v>0</v>
      </c>
      <c r="E45" s="990">
        <v>0</v>
      </c>
      <c r="F45" s="990">
        <v>0</v>
      </c>
      <c r="G45" s="990">
        <v>0</v>
      </c>
      <c r="H45" s="990">
        <v>0</v>
      </c>
      <c r="I45" s="990">
        <v>0</v>
      </c>
      <c r="J45" s="990">
        <v>0</v>
      </c>
      <c r="K45" s="990">
        <v>0</v>
      </c>
      <c r="L45" s="990">
        <v>0</v>
      </c>
      <c r="M45" s="990">
        <v>0</v>
      </c>
      <c r="N45" s="990">
        <v>0</v>
      </c>
      <c r="O45" s="1009">
        <f t="shared" si="11"/>
        <v>0</v>
      </c>
      <c r="P45" s="89"/>
      <c r="Q45" s="89"/>
      <c r="R45" s="89"/>
      <c r="S45" s="89"/>
      <c r="T45" s="89"/>
      <c r="U45" s="89"/>
      <c r="V45" s="89"/>
      <c r="W45" s="89"/>
      <c r="X45" s="89"/>
      <c r="Y45" s="116"/>
    </row>
    <row r="46" spans="1:25" s="71" customFormat="1">
      <c r="A46" s="5"/>
      <c r="B46" s="360" t="s">
        <v>243</v>
      </c>
      <c r="C46" s="990">
        <v>0</v>
      </c>
      <c r="D46" s="990">
        <v>0</v>
      </c>
      <c r="E46" s="990">
        <v>0</v>
      </c>
      <c r="F46" s="990">
        <v>0</v>
      </c>
      <c r="G46" s="990">
        <v>0</v>
      </c>
      <c r="H46" s="990">
        <v>0</v>
      </c>
      <c r="I46" s="990">
        <v>0</v>
      </c>
      <c r="J46" s="990">
        <v>0</v>
      </c>
      <c r="K46" s="990">
        <v>0</v>
      </c>
      <c r="L46" s="990">
        <v>0</v>
      </c>
      <c r="M46" s="990">
        <v>0</v>
      </c>
      <c r="N46" s="990">
        <v>0</v>
      </c>
      <c r="O46" s="1009">
        <f t="shared" si="11"/>
        <v>0</v>
      </c>
      <c r="P46" s="89"/>
      <c r="Q46" s="89"/>
      <c r="R46" s="89"/>
      <c r="S46" s="89"/>
      <c r="T46" s="89"/>
      <c r="U46" s="89"/>
      <c r="V46" s="89"/>
      <c r="W46" s="89"/>
      <c r="X46" s="89"/>
      <c r="Y46" s="116"/>
    </row>
    <row r="47" spans="1:25" s="71" customFormat="1">
      <c r="A47" s="5"/>
      <c r="B47" s="994" t="s">
        <v>21</v>
      </c>
      <c r="C47" s="990">
        <f>+C48+C49</f>
        <v>0</v>
      </c>
      <c r="D47" s="990">
        <f t="shared" ref="D47:N47" si="14">+D48+D49</f>
        <v>0</v>
      </c>
      <c r="E47" s="990">
        <f t="shared" si="14"/>
        <v>0</v>
      </c>
      <c r="F47" s="990">
        <f t="shared" si="14"/>
        <v>0</v>
      </c>
      <c r="G47" s="990">
        <f t="shared" si="14"/>
        <v>0</v>
      </c>
      <c r="H47" s="990">
        <f t="shared" si="14"/>
        <v>0</v>
      </c>
      <c r="I47" s="990">
        <f t="shared" si="14"/>
        <v>0</v>
      </c>
      <c r="J47" s="990">
        <f t="shared" si="14"/>
        <v>0</v>
      </c>
      <c r="K47" s="990">
        <f t="shared" si="14"/>
        <v>0</v>
      </c>
      <c r="L47" s="990">
        <f t="shared" si="14"/>
        <v>0</v>
      </c>
      <c r="M47" s="990">
        <f t="shared" si="14"/>
        <v>0</v>
      </c>
      <c r="N47" s="990">
        <f t="shared" si="14"/>
        <v>0</v>
      </c>
      <c r="O47" s="1009">
        <f t="shared" si="11"/>
        <v>0</v>
      </c>
      <c r="P47" s="89"/>
      <c r="Q47" s="89"/>
      <c r="R47" s="89"/>
      <c r="S47" s="89"/>
      <c r="T47" s="89"/>
      <c r="U47" s="89"/>
      <c r="V47" s="89"/>
      <c r="W47" s="89"/>
      <c r="X47" s="89"/>
      <c r="Y47" s="116"/>
    </row>
    <row r="48" spans="1:25" s="71" customFormat="1">
      <c r="A48" s="5"/>
      <c r="B48" s="358" t="s">
        <v>240</v>
      </c>
      <c r="C48" s="990">
        <v>0</v>
      </c>
      <c r="D48" s="990">
        <v>0</v>
      </c>
      <c r="E48" s="990">
        <v>0</v>
      </c>
      <c r="F48" s="990">
        <v>0</v>
      </c>
      <c r="G48" s="990">
        <v>0</v>
      </c>
      <c r="H48" s="990">
        <v>0</v>
      </c>
      <c r="I48" s="990">
        <v>0</v>
      </c>
      <c r="J48" s="990">
        <v>0</v>
      </c>
      <c r="K48" s="990">
        <v>0</v>
      </c>
      <c r="L48" s="990">
        <v>0</v>
      </c>
      <c r="M48" s="990">
        <v>0</v>
      </c>
      <c r="N48" s="990">
        <v>0</v>
      </c>
      <c r="O48" s="1009">
        <f t="shared" si="11"/>
        <v>0</v>
      </c>
      <c r="P48" s="89"/>
      <c r="Q48" s="89"/>
      <c r="R48" s="89"/>
      <c r="S48" s="89"/>
      <c r="T48" s="89"/>
      <c r="U48" s="89"/>
      <c r="V48" s="89"/>
      <c r="W48" s="89"/>
      <c r="X48" s="89"/>
      <c r="Y48" s="116"/>
    </row>
    <row r="49" spans="1:25" s="71" customFormat="1">
      <c r="A49" s="5"/>
      <c r="B49" s="358" t="s">
        <v>241</v>
      </c>
      <c r="C49" s="990">
        <v>0</v>
      </c>
      <c r="D49" s="990">
        <v>0</v>
      </c>
      <c r="E49" s="990">
        <v>0</v>
      </c>
      <c r="F49" s="990">
        <v>0</v>
      </c>
      <c r="G49" s="990">
        <v>0</v>
      </c>
      <c r="H49" s="990">
        <v>0</v>
      </c>
      <c r="I49" s="990">
        <v>0</v>
      </c>
      <c r="J49" s="990">
        <v>0</v>
      </c>
      <c r="K49" s="990">
        <v>0</v>
      </c>
      <c r="L49" s="990">
        <v>0</v>
      </c>
      <c r="M49" s="990">
        <v>0</v>
      </c>
      <c r="N49" s="990">
        <v>0</v>
      </c>
      <c r="O49" s="1009">
        <f t="shared" si="11"/>
        <v>0</v>
      </c>
      <c r="P49" s="89"/>
      <c r="Q49" s="89"/>
      <c r="R49" s="89"/>
      <c r="S49" s="89"/>
      <c r="T49" s="89"/>
      <c r="U49" s="89"/>
      <c r="V49" s="89"/>
      <c r="W49" s="89"/>
      <c r="X49" s="89"/>
      <c r="Y49" s="116"/>
    </row>
    <row r="50" spans="1:25" s="71" customFormat="1">
      <c r="A50" s="5"/>
      <c r="B50" s="994" t="s">
        <v>22</v>
      </c>
      <c r="C50" s="990">
        <f>+C51+C52</f>
        <v>0</v>
      </c>
      <c r="D50" s="990">
        <f t="shared" ref="D50:N50" si="15">+D51+D52</f>
        <v>0</v>
      </c>
      <c r="E50" s="990">
        <f t="shared" si="15"/>
        <v>0</v>
      </c>
      <c r="F50" s="990">
        <f t="shared" si="15"/>
        <v>0</v>
      </c>
      <c r="G50" s="990">
        <f t="shared" si="15"/>
        <v>0</v>
      </c>
      <c r="H50" s="990">
        <f t="shared" si="15"/>
        <v>0</v>
      </c>
      <c r="I50" s="990">
        <f t="shared" si="15"/>
        <v>0</v>
      </c>
      <c r="J50" s="990">
        <f t="shared" si="15"/>
        <v>0</v>
      </c>
      <c r="K50" s="990">
        <f t="shared" si="15"/>
        <v>0</v>
      </c>
      <c r="L50" s="990">
        <f t="shared" si="15"/>
        <v>0</v>
      </c>
      <c r="M50" s="990">
        <f t="shared" si="15"/>
        <v>0</v>
      </c>
      <c r="N50" s="990">
        <f t="shared" si="15"/>
        <v>0</v>
      </c>
      <c r="O50" s="1009">
        <f t="shared" si="11"/>
        <v>0</v>
      </c>
      <c r="P50" s="89"/>
      <c r="Q50" s="89"/>
      <c r="R50" s="89"/>
      <c r="S50" s="89"/>
      <c r="T50" s="89"/>
      <c r="U50" s="89"/>
      <c r="V50" s="89"/>
      <c r="W50" s="89"/>
      <c r="X50" s="89"/>
      <c r="Y50" s="116"/>
    </row>
    <row r="51" spans="1:25" s="71" customFormat="1">
      <c r="A51" s="5"/>
      <c r="B51" s="358" t="s">
        <v>240</v>
      </c>
      <c r="C51" s="990">
        <v>0</v>
      </c>
      <c r="D51" s="990">
        <v>0</v>
      </c>
      <c r="E51" s="990">
        <v>0</v>
      </c>
      <c r="F51" s="990">
        <v>0</v>
      </c>
      <c r="G51" s="990">
        <v>0</v>
      </c>
      <c r="H51" s="990">
        <v>0</v>
      </c>
      <c r="I51" s="990">
        <v>0</v>
      </c>
      <c r="J51" s="990">
        <v>0</v>
      </c>
      <c r="K51" s="990">
        <v>0</v>
      </c>
      <c r="L51" s="990">
        <v>0</v>
      </c>
      <c r="M51" s="990">
        <v>0</v>
      </c>
      <c r="N51" s="990">
        <v>0</v>
      </c>
      <c r="O51" s="1009">
        <f t="shared" si="11"/>
        <v>0</v>
      </c>
      <c r="P51" s="89"/>
      <c r="Q51" s="89"/>
      <c r="R51" s="89"/>
      <c r="S51" s="89"/>
      <c r="T51" s="89"/>
      <c r="U51" s="89"/>
      <c r="V51" s="89"/>
      <c r="W51" s="89"/>
      <c r="X51" s="89"/>
      <c r="Y51" s="116"/>
    </row>
    <row r="52" spans="1:25" s="71" customFormat="1">
      <c r="A52" s="5"/>
      <c r="B52" s="358" t="s">
        <v>241</v>
      </c>
      <c r="C52" s="990">
        <v>0</v>
      </c>
      <c r="D52" s="990">
        <v>0</v>
      </c>
      <c r="E52" s="990">
        <v>0</v>
      </c>
      <c r="F52" s="990">
        <v>0</v>
      </c>
      <c r="G52" s="990">
        <v>0</v>
      </c>
      <c r="H52" s="990">
        <v>0</v>
      </c>
      <c r="I52" s="990">
        <v>0</v>
      </c>
      <c r="J52" s="990">
        <v>0</v>
      </c>
      <c r="K52" s="990">
        <v>0</v>
      </c>
      <c r="L52" s="990">
        <v>0</v>
      </c>
      <c r="M52" s="990">
        <v>0</v>
      </c>
      <c r="N52" s="990">
        <v>0</v>
      </c>
      <c r="O52" s="1009">
        <f t="shared" si="11"/>
        <v>0</v>
      </c>
      <c r="P52" s="89"/>
      <c r="Q52" s="89"/>
      <c r="R52" s="89"/>
      <c r="S52" s="89"/>
      <c r="T52" s="89"/>
      <c r="U52" s="89"/>
      <c r="V52" s="89"/>
      <c r="W52" s="89"/>
      <c r="X52" s="89"/>
      <c r="Y52" s="116"/>
    </row>
    <row r="53" spans="1:25" s="71" customFormat="1">
      <c r="A53" s="5"/>
      <c r="B53" s="361" t="s">
        <v>75</v>
      </c>
      <c r="C53" s="362">
        <f>+C54+C57+C64+C67</f>
        <v>0</v>
      </c>
      <c r="D53" s="362">
        <f t="shared" ref="D53:N53" si="16">+D54+D57+D64+D67</f>
        <v>0</v>
      </c>
      <c r="E53" s="362">
        <f t="shared" si="16"/>
        <v>0</v>
      </c>
      <c r="F53" s="362">
        <f t="shared" si="16"/>
        <v>0</v>
      </c>
      <c r="G53" s="362">
        <f t="shared" si="16"/>
        <v>0</v>
      </c>
      <c r="H53" s="362">
        <f t="shared" si="16"/>
        <v>0</v>
      </c>
      <c r="I53" s="362">
        <f t="shared" si="16"/>
        <v>0</v>
      </c>
      <c r="J53" s="362">
        <f t="shared" si="16"/>
        <v>0</v>
      </c>
      <c r="K53" s="362">
        <f t="shared" si="16"/>
        <v>0</v>
      </c>
      <c r="L53" s="362">
        <f t="shared" si="16"/>
        <v>0</v>
      </c>
      <c r="M53" s="362">
        <f t="shared" si="16"/>
        <v>0</v>
      </c>
      <c r="N53" s="362">
        <f t="shared" si="16"/>
        <v>0</v>
      </c>
      <c r="O53" s="1007">
        <f>SUM(C53:N53)</f>
        <v>0</v>
      </c>
      <c r="P53" s="89"/>
      <c r="Q53" s="89"/>
      <c r="R53" s="89"/>
      <c r="S53" s="89"/>
      <c r="T53" s="89"/>
      <c r="U53" s="89"/>
      <c r="V53" s="89"/>
      <c r="W53" s="89"/>
      <c r="X53" s="89"/>
      <c r="Y53" s="116"/>
    </row>
    <row r="54" spans="1:25" s="71" customFormat="1">
      <c r="A54" s="5"/>
      <c r="B54" s="994" t="s">
        <v>23</v>
      </c>
      <c r="C54" s="990">
        <f>+C55+C56</f>
        <v>0</v>
      </c>
      <c r="D54" s="990">
        <f t="shared" ref="D54:N54" si="17">+D55+D56</f>
        <v>0</v>
      </c>
      <c r="E54" s="990">
        <f t="shared" si="17"/>
        <v>0</v>
      </c>
      <c r="F54" s="990">
        <f t="shared" si="17"/>
        <v>0</v>
      </c>
      <c r="G54" s="990">
        <f t="shared" si="17"/>
        <v>0</v>
      </c>
      <c r="H54" s="990">
        <f t="shared" si="17"/>
        <v>0</v>
      </c>
      <c r="I54" s="990">
        <f t="shared" si="17"/>
        <v>0</v>
      </c>
      <c r="J54" s="990">
        <f t="shared" si="17"/>
        <v>0</v>
      </c>
      <c r="K54" s="990">
        <f t="shared" si="17"/>
        <v>0</v>
      </c>
      <c r="L54" s="990">
        <f t="shared" si="17"/>
        <v>0</v>
      </c>
      <c r="M54" s="990">
        <f t="shared" si="17"/>
        <v>0</v>
      </c>
      <c r="N54" s="990">
        <f t="shared" si="17"/>
        <v>0</v>
      </c>
      <c r="O54" s="95">
        <f>SUM(C54:N54)</f>
        <v>0</v>
      </c>
      <c r="P54" s="89"/>
      <c r="Q54" s="89"/>
      <c r="R54" s="89"/>
      <c r="S54" s="89"/>
      <c r="T54" s="89"/>
      <c r="U54" s="89"/>
      <c r="V54" s="89"/>
      <c r="W54" s="89"/>
      <c r="X54" s="89"/>
      <c r="Y54" s="116"/>
    </row>
    <row r="55" spans="1:25" s="71" customFormat="1">
      <c r="A55" s="5"/>
      <c r="B55" s="358" t="s">
        <v>240</v>
      </c>
      <c r="C55" s="990">
        <v>0</v>
      </c>
      <c r="D55" s="990">
        <v>0</v>
      </c>
      <c r="E55" s="990">
        <v>0</v>
      </c>
      <c r="F55" s="990">
        <v>0</v>
      </c>
      <c r="G55" s="990">
        <v>0</v>
      </c>
      <c r="H55" s="990">
        <v>0</v>
      </c>
      <c r="I55" s="990">
        <v>0</v>
      </c>
      <c r="J55" s="990">
        <v>0</v>
      </c>
      <c r="K55" s="990">
        <v>0</v>
      </c>
      <c r="L55" s="990">
        <v>0</v>
      </c>
      <c r="M55" s="990">
        <v>0</v>
      </c>
      <c r="N55" s="990">
        <v>0</v>
      </c>
      <c r="O55" s="1009">
        <f t="shared" ref="O55:O118" si="18">SUM(C55:N55)</f>
        <v>0</v>
      </c>
      <c r="P55" s="89"/>
      <c r="Q55" s="89"/>
      <c r="R55" s="89"/>
      <c r="S55" s="89"/>
      <c r="T55" s="89"/>
      <c r="U55" s="89"/>
      <c r="V55" s="89"/>
      <c r="W55" s="89"/>
      <c r="X55" s="89"/>
      <c r="Y55" s="116"/>
    </row>
    <row r="56" spans="1:25" s="71" customFormat="1">
      <c r="A56" s="5"/>
      <c r="B56" s="358" t="s">
        <v>241</v>
      </c>
      <c r="C56" s="990">
        <v>0</v>
      </c>
      <c r="D56" s="990">
        <v>0</v>
      </c>
      <c r="E56" s="990">
        <v>0</v>
      </c>
      <c r="F56" s="990">
        <v>0</v>
      </c>
      <c r="G56" s="990">
        <v>0</v>
      </c>
      <c r="H56" s="990">
        <v>0</v>
      </c>
      <c r="I56" s="990">
        <v>0</v>
      </c>
      <c r="J56" s="990">
        <v>0</v>
      </c>
      <c r="K56" s="990">
        <v>0</v>
      </c>
      <c r="L56" s="990">
        <v>0</v>
      </c>
      <c r="M56" s="990">
        <v>0</v>
      </c>
      <c r="N56" s="990">
        <v>0</v>
      </c>
      <c r="O56" s="1009">
        <f t="shared" si="18"/>
        <v>0</v>
      </c>
      <c r="P56" s="89"/>
      <c r="Q56" s="89"/>
      <c r="R56" s="89"/>
      <c r="S56" s="89"/>
      <c r="T56" s="89"/>
      <c r="U56" s="89"/>
      <c r="V56" s="89"/>
      <c r="W56" s="89"/>
      <c r="X56" s="89"/>
      <c r="Y56" s="116"/>
    </row>
    <row r="57" spans="1:25" s="71" customFormat="1">
      <c r="A57" s="5"/>
      <c r="B57" s="994" t="s">
        <v>24</v>
      </c>
      <c r="C57" s="990">
        <f>+C58+C61</f>
        <v>0</v>
      </c>
      <c r="D57" s="990">
        <f t="shared" ref="D57:N57" si="19">+D58+D61</f>
        <v>0</v>
      </c>
      <c r="E57" s="990">
        <f t="shared" si="19"/>
        <v>0</v>
      </c>
      <c r="F57" s="990">
        <f t="shared" si="19"/>
        <v>0</v>
      </c>
      <c r="G57" s="990">
        <f t="shared" si="19"/>
        <v>0</v>
      </c>
      <c r="H57" s="990">
        <f t="shared" si="19"/>
        <v>0</v>
      </c>
      <c r="I57" s="990">
        <f t="shared" si="19"/>
        <v>0</v>
      </c>
      <c r="J57" s="990">
        <f t="shared" si="19"/>
        <v>0</v>
      </c>
      <c r="K57" s="990">
        <f t="shared" si="19"/>
        <v>0</v>
      </c>
      <c r="L57" s="990">
        <f t="shared" si="19"/>
        <v>0</v>
      </c>
      <c r="M57" s="990">
        <f t="shared" si="19"/>
        <v>0</v>
      </c>
      <c r="N57" s="990">
        <f t="shared" si="19"/>
        <v>0</v>
      </c>
      <c r="O57" s="1009">
        <f t="shared" si="18"/>
        <v>0</v>
      </c>
      <c r="P57" s="89"/>
      <c r="Q57" s="89"/>
      <c r="R57" s="89"/>
      <c r="S57" s="89"/>
      <c r="T57" s="89"/>
      <c r="U57" s="89"/>
      <c r="V57" s="89"/>
      <c r="W57" s="89"/>
      <c r="X57" s="89"/>
      <c r="Y57" s="116"/>
    </row>
    <row r="58" spans="1:25" s="71" customFormat="1">
      <c r="A58" s="5"/>
      <c r="B58" s="358" t="s">
        <v>240</v>
      </c>
      <c r="C58" s="990">
        <f>+C59+C60</f>
        <v>0</v>
      </c>
      <c r="D58" s="990">
        <f t="shared" ref="D58:N58" si="20">+D59+D60</f>
        <v>0</v>
      </c>
      <c r="E58" s="990">
        <f t="shared" si="20"/>
        <v>0</v>
      </c>
      <c r="F58" s="990">
        <f t="shared" si="20"/>
        <v>0</v>
      </c>
      <c r="G58" s="990">
        <f t="shared" si="20"/>
        <v>0</v>
      </c>
      <c r="H58" s="990">
        <f t="shared" si="20"/>
        <v>0</v>
      </c>
      <c r="I58" s="990">
        <f t="shared" si="20"/>
        <v>0</v>
      </c>
      <c r="J58" s="990">
        <f t="shared" si="20"/>
        <v>0</v>
      </c>
      <c r="K58" s="990">
        <f t="shared" si="20"/>
        <v>0</v>
      </c>
      <c r="L58" s="990">
        <f t="shared" si="20"/>
        <v>0</v>
      </c>
      <c r="M58" s="990">
        <f t="shared" si="20"/>
        <v>0</v>
      </c>
      <c r="N58" s="990">
        <f t="shared" si="20"/>
        <v>0</v>
      </c>
      <c r="O58" s="1009">
        <f t="shared" si="18"/>
        <v>0</v>
      </c>
      <c r="P58" s="89"/>
      <c r="Q58" s="89"/>
      <c r="R58" s="89"/>
      <c r="S58" s="89"/>
      <c r="T58" s="89"/>
      <c r="U58" s="89"/>
      <c r="V58" s="89"/>
      <c r="W58" s="89"/>
      <c r="X58" s="89"/>
      <c r="Y58" s="116"/>
    </row>
    <row r="59" spans="1:25" s="71" customFormat="1">
      <c r="A59" s="5"/>
      <c r="B59" s="359" t="s">
        <v>242</v>
      </c>
      <c r="C59" s="990">
        <v>0</v>
      </c>
      <c r="D59" s="990">
        <v>0</v>
      </c>
      <c r="E59" s="990">
        <v>0</v>
      </c>
      <c r="F59" s="990">
        <v>0</v>
      </c>
      <c r="G59" s="990">
        <v>0</v>
      </c>
      <c r="H59" s="990">
        <v>0</v>
      </c>
      <c r="I59" s="990">
        <v>0</v>
      </c>
      <c r="J59" s="990">
        <v>0</v>
      </c>
      <c r="K59" s="990">
        <v>0</v>
      </c>
      <c r="L59" s="990">
        <v>0</v>
      </c>
      <c r="M59" s="990">
        <v>0</v>
      </c>
      <c r="N59" s="990">
        <v>0</v>
      </c>
      <c r="O59" s="1009">
        <f t="shared" si="18"/>
        <v>0</v>
      </c>
      <c r="P59" s="89"/>
      <c r="Q59" s="89"/>
      <c r="R59" s="89"/>
      <c r="S59" s="89"/>
      <c r="T59" s="89"/>
      <c r="U59" s="89"/>
      <c r="V59" s="89"/>
      <c r="W59" s="89"/>
      <c r="X59" s="89"/>
      <c r="Y59" s="116"/>
    </row>
    <row r="60" spans="1:25" s="71" customFormat="1">
      <c r="A60" s="5"/>
      <c r="B60" s="360" t="s">
        <v>243</v>
      </c>
      <c r="C60" s="990">
        <v>0</v>
      </c>
      <c r="D60" s="990">
        <v>0</v>
      </c>
      <c r="E60" s="990">
        <v>0</v>
      </c>
      <c r="F60" s="990">
        <v>0</v>
      </c>
      <c r="G60" s="990">
        <v>0</v>
      </c>
      <c r="H60" s="990">
        <v>0</v>
      </c>
      <c r="I60" s="990">
        <v>0</v>
      </c>
      <c r="J60" s="990">
        <v>0</v>
      </c>
      <c r="K60" s="990">
        <v>0</v>
      </c>
      <c r="L60" s="990">
        <v>0</v>
      </c>
      <c r="M60" s="990">
        <v>0</v>
      </c>
      <c r="N60" s="990">
        <v>0</v>
      </c>
      <c r="O60" s="1009">
        <f t="shared" si="18"/>
        <v>0</v>
      </c>
      <c r="P60" s="89"/>
      <c r="Q60" s="89"/>
      <c r="R60" s="89"/>
      <c r="S60" s="89"/>
      <c r="T60" s="89"/>
      <c r="U60" s="89"/>
      <c r="V60" s="89"/>
      <c r="W60" s="89"/>
      <c r="X60" s="89"/>
      <c r="Y60" s="116"/>
    </row>
    <row r="61" spans="1:25" s="71" customFormat="1">
      <c r="A61" s="5"/>
      <c r="B61" s="358" t="s">
        <v>241</v>
      </c>
      <c r="C61" s="990">
        <f>+C62+C63</f>
        <v>0</v>
      </c>
      <c r="D61" s="990">
        <f t="shared" ref="D61:N61" si="21">+D62+D63</f>
        <v>0</v>
      </c>
      <c r="E61" s="990">
        <f t="shared" si="21"/>
        <v>0</v>
      </c>
      <c r="F61" s="990">
        <f t="shared" si="21"/>
        <v>0</v>
      </c>
      <c r="G61" s="990">
        <f t="shared" si="21"/>
        <v>0</v>
      </c>
      <c r="H61" s="990">
        <f t="shared" si="21"/>
        <v>0</v>
      </c>
      <c r="I61" s="990">
        <f t="shared" si="21"/>
        <v>0</v>
      </c>
      <c r="J61" s="990">
        <f t="shared" si="21"/>
        <v>0</v>
      </c>
      <c r="K61" s="990">
        <f t="shared" si="21"/>
        <v>0</v>
      </c>
      <c r="L61" s="990">
        <f t="shared" si="21"/>
        <v>0</v>
      </c>
      <c r="M61" s="990">
        <f t="shared" si="21"/>
        <v>0</v>
      </c>
      <c r="N61" s="990">
        <f t="shared" si="21"/>
        <v>0</v>
      </c>
      <c r="O61" s="1009">
        <f t="shared" si="18"/>
        <v>0</v>
      </c>
      <c r="P61" s="89"/>
      <c r="Q61" s="89"/>
      <c r="R61" s="89"/>
      <c r="S61" s="89"/>
      <c r="T61" s="89"/>
      <c r="U61" s="89"/>
      <c r="V61" s="89"/>
      <c r="W61" s="89"/>
      <c r="X61" s="89"/>
      <c r="Y61" s="116"/>
    </row>
    <row r="62" spans="1:25" s="71" customFormat="1">
      <c r="A62" s="5"/>
      <c r="B62" s="359" t="s">
        <v>242</v>
      </c>
      <c r="C62" s="990">
        <v>0</v>
      </c>
      <c r="D62" s="990">
        <v>0</v>
      </c>
      <c r="E62" s="990">
        <v>0</v>
      </c>
      <c r="F62" s="990">
        <v>0</v>
      </c>
      <c r="G62" s="990">
        <v>0</v>
      </c>
      <c r="H62" s="990">
        <v>0</v>
      </c>
      <c r="I62" s="990">
        <v>0</v>
      </c>
      <c r="J62" s="990">
        <v>0</v>
      </c>
      <c r="K62" s="990">
        <v>0</v>
      </c>
      <c r="L62" s="990">
        <v>0</v>
      </c>
      <c r="M62" s="990">
        <v>0</v>
      </c>
      <c r="N62" s="990">
        <v>0</v>
      </c>
      <c r="O62" s="1009">
        <f t="shared" si="18"/>
        <v>0</v>
      </c>
      <c r="P62" s="89"/>
      <c r="Q62" s="89"/>
      <c r="R62" s="89"/>
      <c r="S62" s="89"/>
      <c r="T62" s="89"/>
      <c r="U62" s="89"/>
      <c r="V62" s="89"/>
      <c r="W62" s="89"/>
      <c r="X62" s="89"/>
      <c r="Y62" s="116"/>
    </row>
    <row r="63" spans="1:25" s="71" customFormat="1">
      <c r="A63" s="5"/>
      <c r="B63" s="360" t="s">
        <v>243</v>
      </c>
      <c r="C63" s="990">
        <v>0</v>
      </c>
      <c r="D63" s="990">
        <v>0</v>
      </c>
      <c r="E63" s="990">
        <v>0</v>
      </c>
      <c r="F63" s="990">
        <v>0</v>
      </c>
      <c r="G63" s="990">
        <v>0</v>
      </c>
      <c r="H63" s="990">
        <v>0</v>
      </c>
      <c r="I63" s="990">
        <v>0</v>
      </c>
      <c r="J63" s="990">
        <v>0</v>
      </c>
      <c r="K63" s="990">
        <v>0</v>
      </c>
      <c r="L63" s="990">
        <v>0</v>
      </c>
      <c r="M63" s="990">
        <v>0</v>
      </c>
      <c r="N63" s="990">
        <v>0</v>
      </c>
      <c r="O63" s="1009">
        <f t="shared" si="18"/>
        <v>0</v>
      </c>
      <c r="P63" s="89"/>
      <c r="Q63" s="89"/>
      <c r="R63" s="89"/>
      <c r="S63" s="89"/>
      <c r="T63" s="89"/>
      <c r="U63" s="89"/>
      <c r="V63" s="89"/>
      <c r="W63" s="89"/>
      <c r="X63" s="89"/>
      <c r="Y63" s="116"/>
    </row>
    <row r="64" spans="1:25" s="71" customFormat="1">
      <c r="A64" s="5"/>
      <c r="B64" s="994" t="s">
        <v>25</v>
      </c>
      <c r="C64" s="990">
        <f>+C65+C66</f>
        <v>0</v>
      </c>
      <c r="D64" s="990">
        <f t="shared" ref="D64:N64" si="22">+D65+D66</f>
        <v>0</v>
      </c>
      <c r="E64" s="990">
        <f t="shared" si="22"/>
        <v>0</v>
      </c>
      <c r="F64" s="990">
        <f t="shared" si="22"/>
        <v>0</v>
      </c>
      <c r="G64" s="990">
        <f t="shared" si="22"/>
        <v>0</v>
      </c>
      <c r="H64" s="990">
        <f t="shared" si="22"/>
        <v>0</v>
      </c>
      <c r="I64" s="990">
        <f t="shared" si="22"/>
        <v>0</v>
      </c>
      <c r="J64" s="990">
        <f t="shared" si="22"/>
        <v>0</v>
      </c>
      <c r="K64" s="990">
        <f t="shared" si="22"/>
        <v>0</v>
      </c>
      <c r="L64" s="990">
        <f t="shared" si="22"/>
        <v>0</v>
      </c>
      <c r="M64" s="990">
        <f t="shared" si="22"/>
        <v>0</v>
      </c>
      <c r="N64" s="990">
        <f t="shared" si="22"/>
        <v>0</v>
      </c>
      <c r="O64" s="1009">
        <f t="shared" si="18"/>
        <v>0</v>
      </c>
      <c r="P64" s="89"/>
      <c r="Q64" s="89"/>
      <c r="R64" s="89"/>
      <c r="S64" s="89"/>
      <c r="T64" s="89"/>
      <c r="U64" s="89"/>
      <c r="V64" s="89"/>
      <c r="W64" s="89"/>
      <c r="X64" s="89"/>
      <c r="Y64" s="116"/>
    </row>
    <row r="65" spans="1:25" s="71" customFormat="1">
      <c r="A65" s="5"/>
      <c r="B65" s="358" t="s">
        <v>240</v>
      </c>
      <c r="C65" s="990">
        <v>0</v>
      </c>
      <c r="D65" s="990">
        <v>0</v>
      </c>
      <c r="E65" s="990">
        <v>0</v>
      </c>
      <c r="F65" s="990">
        <v>0</v>
      </c>
      <c r="G65" s="990">
        <v>0</v>
      </c>
      <c r="H65" s="990">
        <v>0</v>
      </c>
      <c r="I65" s="990">
        <v>0</v>
      </c>
      <c r="J65" s="990">
        <v>0</v>
      </c>
      <c r="K65" s="990">
        <v>0</v>
      </c>
      <c r="L65" s="990">
        <v>0</v>
      </c>
      <c r="M65" s="990">
        <v>0</v>
      </c>
      <c r="N65" s="990">
        <v>0</v>
      </c>
      <c r="O65" s="1009">
        <f t="shared" si="18"/>
        <v>0</v>
      </c>
      <c r="P65" s="89"/>
      <c r="Q65" s="89"/>
      <c r="R65" s="89"/>
      <c r="S65" s="89"/>
      <c r="T65" s="89"/>
      <c r="U65" s="89"/>
      <c r="V65" s="89"/>
      <c r="W65" s="89"/>
      <c r="X65" s="89"/>
      <c r="Y65" s="116"/>
    </row>
    <row r="66" spans="1:25" s="71" customFormat="1">
      <c r="A66" s="5"/>
      <c r="B66" s="358" t="s">
        <v>241</v>
      </c>
      <c r="C66" s="990">
        <v>0</v>
      </c>
      <c r="D66" s="990">
        <v>0</v>
      </c>
      <c r="E66" s="990">
        <v>0</v>
      </c>
      <c r="F66" s="990">
        <v>0</v>
      </c>
      <c r="G66" s="990">
        <v>0</v>
      </c>
      <c r="H66" s="990">
        <v>0</v>
      </c>
      <c r="I66" s="990">
        <v>0</v>
      </c>
      <c r="J66" s="990">
        <v>0</v>
      </c>
      <c r="K66" s="990">
        <v>0</v>
      </c>
      <c r="L66" s="990">
        <v>0</v>
      </c>
      <c r="M66" s="990">
        <v>0</v>
      </c>
      <c r="N66" s="990">
        <v>0</v>
      </c>
      <c r="O66" s="1009">
        <f t="shared" si="18"/>
        <v>0</v>
      </c>
      <c r="P66" s="89"/>
      <c r="Q66" s="89"/>
      <c r="R66" s="89"/>
      <c r="S66" s="89"/>
      <c r="T66" s="89"/>
      <c r="U66" s="89"/>
      <c r="V66" s="89"/>
      <c r="W66" s="89"/>
      <c r="X66" s="89"/>
      <c r="Y66" s="116"/>
    </row>
    <row r="67" spans="1:25" s="71" customFormat="1">
      <c r="A67" s="5"/>
      <c r="B67" s="994" t="s">
        <v>26</v>
      </c>
      <c r="C67" s="990">
        <f>+C68+C69</f>
        <v>0</v>
      </c>
      <c r="D67" s="990">
        <f t="shared" ref="D67:N67" si="23">+D68+D69</f>
        <v>0</v>
      </c>
      <c r="E67" s="990">
        <f t="shared" si="23"/>
        <v>0</v>
      </c>
      <c r="F67" s="990">
        <f t="shared" si="23"/>
        <v>0</v>
      </c>
      <c r="G67" s="990">
        <f t="shared" si="23"/>
        <v>0</v>
      </c>
      <c r="H67" s="990">
        <f t="shared" si="23"/>
        <v>0</v>
      </c>
      <c r="I67" s="990">
        <f t="shared" si="23"/>
        <v>0</v>
      </c>
      <c r="J67" s="990">
        <f t="shared" si="23"/>
        <v>0</v>
      </c>
      <c r="K67" s="990">
        <f t="shared" si="23"/>
        <v>0</v>
      </c>
      <c r="L67" s="990">
        <f t="shared" si="23"/>
        <v>0</v>
      </c>
      <c r="M67" s="990">
        <f t="shared" si="23"/>
        <v>0</v>
      </c>
      <c r="N67" s="990">
        <f t="shared" si="23"/>
        <v>0</v>
      </c>
      <c r="O67" s="1009">
        <f t="shared" si="18"/>
        <v>0</v>
      </c>
      <c r="P67" s="89"/>
      <c r="Q67" s="89"/>
      <c r="R67" s="89"/>
      <c r="S67" s="89"/>
      <c r="T67" s="89"/>
      <c r="U67" s="89"/>
      <c r="V67" s="89"/>
      <c r="W67" s="89"/>
      <c r="X67" s="89"/>
      <c r="Y67" s="116"/>
    </row>
    <row r="68" spans="1:25" s="71" customFormat="1">
      <c r="A68" s="5"/>
      <c r="B68" s="358" t="s">
        <v>240</v>
      </c>
      <c r="C68" s="990">
        <v>0</v>
      </c>
      <c r="D68" s="990">
        <v>0</v>
      </c>
      <c r="E68" s="990">
        <v>0</v>
      </c>
      <c r="F68" s="990">
        <v>0</v>
      </c>
      <c r="G68" s="990">
        <v>0</v>
      </c>
      <c r="H68" s="990">
        <v>0</v>
      </c>
      <c r="I68" s="990">
        <v>0</v>
      </c>
      <c r="J68" s="990">
        <v>0</v>
      </c>
      <c r="K68" s="990">
        <v>0</v>
      </c>
      <c r="L68" s="990">
        <v>0</v>
      </c>
      <c r="M68" s="990">
        <v>0</v>
      </c>
      <c r="N68" s="990">
        <v>0</v>
      </c>
      <c r="O68" s="1009">
        <f t="shared" si="18"/>
        <v>0</v>
      </c>
      <c r="P68" s="89"/>
      <c r="Q68" s="89"/>
      <c r="R68" s="89"/>
      <c r="S68" s="89"/>
      <c r="T68" s="89"/>
      <c r="U68" s="89"/>
      <c r="V68" s="89"/>
      <c r="W68" s="89"/>
      <c r="X68" s="89"/>
      <c r="Y68" s="116"/>
    </row>
    <row r="69" spans="1:25" s="71" customFormat="1">
      <c r="A69" s="5"/>
      <c r="B69" s="363" t="s">
        <v>241</v>
      </c>
      <c r="C69" s="990">
        <v>0</v>
      </c>
      <c r="D69" s="990">
        <v>0</v>
      </c>
      <c r="E69" s="990">
        <v>0</v>
      </c>
      <c r="F69" s="990">
        <v>0</v>
      </c>
      <c r="G69" s="990">
        <v>0</v>
      </c>
      <c r="H69" s="990">
        <v>0</v>
      </c>
      <c r="I69" s="990">
        <v>0</v>
      </c>
      <c r="J69" s="990">
        <v>0</v>
      </c>
      <c r="K69" s="990">
        <v>0</v>
      </c>
      <c r="L69" s="990">
        <v>0</v>
      </c>
      <c r="M69" s="990">
        <v>0</v>
      </c>
      <c r="N69" s="990">
        <v>0</v>
      </c>
      <c r="O69" s="1009">
        <f t="shared" si="18"/>
        <v>0</v>
      </c>
      <c r="P69" s="89"/>
      <c r="Q69" s="89"/>
      <c r="R69" s="89"/>
      <c r="S69" s="89"/>
      <c r="T69" s="89"/>
      <c r="U69" s="89"/>
      <c r="V69" s="89"/>
      <c r="W69" s="89"/>
      <c r="X69" s="89"/>
      <c r="Y69" s="116"/>
    </row>
    <row r="70" spans="1:25" s="71" customFormat="1">
      <c r="A70" s="5"/>
      <c r="B70" s="1010" t="s">
        <v>27</v>
      </c>
      <c r="C70" s="362">
        <v>0</v>
      </c>
      <c r="D70" s="362">
        <v>0</v>
      </c>
      <c r="E70" s="362">
        <v>0</v>
      </c>
      <c r="F70" s="362">
        <v>0</v>
      </c>
      <c r="G70" s="362">
        <v>0</v>
      </c>
      <c r="H70" s="362">
        <v>0</v>
      </c>
      <c r="I70" s="362">
        <v>0</v>
      </c>
      <c r="J70" s="362">
        <v>0</v>
      </c>
      <c r="K70" s="362">
        <v>0</v>
      </c>
      <c r="L70" s="362">
        <v>0</v>
      </c>
      <c r="M70" s="362">
        <v>0</v>
      </c>
      <c r="N70" s="362">
        <v>0</v>
      </c>
      <c r="O70" s="1007">
        <f t="shared" si="18"/>
        <v>0</v>
      </c>
      <c r="P70" s="89"/>
      <c r="Q70" s="89"/>
      <c r="R70" s="89"/>
      <c r="S70" s="89"/>
      <c r="T70" s="89"/>
      <c r="U70" s="89"/>
      <c r="V70" s="89"/>
      <c r="W70" s="89"/>
      <c r="X70" s="89"/>
      <c r="Y70" s="116"/>
    </row>
    <row r="71" spans="1:25" s="71" customFormat="1">
      <c r="A71" s="5"/>
      <c r="B71" s="1010" t="s">
        <v>690</v>
      </c>
      <c r="C71" s="362">
        <v>0</v>
      </c>
      <c r="D71" s="362">
        <v>0</v>
      </c>
      <c r="E71" s="362">
        <v>0</v>
      </c>
      <c r="F71" s="362">
        <v>0</v>
      </c>
      <c r="G71" s="362">
        <v>0</v>
      </c>
      <c r="H71" s="362">
        <v>0</v>
      </c>
      <c r="I71" s="362">
        <v>0</v>
      </c>
      <c r="J71" s="362">
        <v>0</v>
      </c>
      <c r="K71" s="362">
        <v>0</v>
      </c>
      <c r="L71" s="362">
        <v>0</v>
      </c>
      <c r="M71" s="362">
        <v>0</v>
      </c>
      <c r="N71" s="362">
        <v>0</v>
      </c>
      <c r="O71" s="1007">
        <f t="shared" si="18"/>
        <v>0</v>
      </c>
      <c r="P71" s="89"/>
      <c r="Q71" s="89"/>
      <c r="R71" s="89"/>
      <c r="S71" s="89"/>
      <c r="T71" s="89"/>
      <c r="U71" s="89"/>
      <c r="V71" s="89"/>
      <c r="W71" s="89"/>
      <c r="X71" s="89"/>
      <c r="Y71" s="116"/>
    </row>
    <row r="72" spans="1:25" s="71" customFormat="1">
      <c r="A72" s="5"/>
      <c r="B72" s="1010" t="s">
        <v>387</v>
      </c>
      <c r="C72" s="362">
        <v>0</v>
      </c>
      <c r="D72" s="362">
        <v>0</v>
      </c>
      <c r="E72" s="362">
        <v>0</v>
      </c>
      <c r="F72" s="362">
        <v>0</v>
      </c>
      <c r="G72" s="362">
        <v>0</v>
      </c>
      <c r="H72" s="362">
        <v>0</v>
      </c>
      <c r="I72" s="362">
        <v>0</v>
      </c>
      <c r="J72" s="362">
        <v>0</v>
      </c>
      <c r="K72" s="362">
        <v>0</v>
      </c>
      <c r="L72" s="362">
        <v>0</v>
      </c>
      <c r="M72" s="362">
        <v>0</v>
      </c>
      <c r="N72" s="362">
        <v>0</v>
      </c>
      <c r="O72" s="1007">
        <f t="shared" si="18"/>
        <v>0</v>
      </c>
      <c r="P72" s="89"/>
      <c r="Q72" s="89"/>
      <c r="R72" s="89"/>
      <c r="S72" s="89"/>
      <c r="T72" s="89"/>
      <c r="U72" s="89"/>
      <c r="V72" s="89"/>
      <c r="W72" s="89"/>
      <c r="X72" s="89"/>
      <c r="Y72" s="116"/>
    </row>
    <row r="73" spans="1:25" s="71" customFormat="1">
      <c r="A73" s="5"/>
      <c r="B73" s="1010" t="s">
        <v>534</v>
      </c>
      <c r="C73" s="362">
        <v>0</v>
      </c>
      <c r="D73" s="362">
        <v>0</v>
      </c>
      <c r="E73" s="362">
        <v>0</v>
      </c>
      <c r="F73" s="362">
        <v>0</v>
      </c>
      <c r="G73" s="362">
        <v>0</v>
      </c>
      <c r="H73" s="362">
        <v>0</v>
      </c>
      <c r="I73" s="362">
        <v>0</v>
      </c>
      <c r="J73" s="362">
        <v>0</v>
      </c>
      <c r="K73" s="362">
        <v>0</v>
      </c>
      <c r="L73" s="362">
        <v>0</v>
      </c>
      <c r="M73" s="362">
        <v>0</v>
      </c>
      <c r="N73" s="362">
        <v>0</v>
      </c>
      <c r="O73" s="1007">
        <f t="shared" si="18"/>
        <v>0</v>
      </c>
      <c r="P73" s="89"/>
      <c r="Q73" s="89"/>
      <c r="R73" s="89"/>
      <c r="S73" s="89"/>
      <c r="T73" s="89"/>
      <c r="U73" s="89"/>
      <c r="V73" s="89"/>
      <c r="W73" s="89"/>
      <c r="X73" s="89"/>
      <c r="Y73" s="116"/>
    </row>
    <row r="74" spans="1:25" s="71" customFormat="1">
      <c r="A74" s="5"/>
      <c r="B74" s="1010" t="s">
        <v>656</v>
      </c>
      <c r="C74" s="362">
        <v>5.0971157031471739</v>
      </c>
      <c r="D74" s="362">
        <v>5.3654448004007005</v>
      </c>
      <c r="E74" s="362">
        <v>5.036898936973035</v>
      </c>
      <c r="F74" s="362">
        <v>5.1840113486935469</v>
      </c>
      <c r="G74" s="362">
        <v>5.2130748145922023</v>
      </c>
      <c r="H74" s="362">
        <v>5.242301221136989</v>
      </c>
      <c r="I74" s="362">
        <v>5.2716914814258278</v>
      </c>
      <c r="J74" s="362">
        <v>5.3012465144001997</v>
      </c>
      <c r="K74" s="362">
        <v>5.330967243676433</v>
      </c>
      <c r="L74" s="362">
        <v>5.3608545982135407</v>
      </c>
      <c r="M74" s="362">
        <v>5.3909095123132147</v>
      </c>
      <c r="N74" s="362">
        <v>5.4211329251189575</v>
      </c>
      <c r="O74" s="1007">
        <f t="shared" si="18"/>
        <v>63.215649100091824</v>
      </c>
      <c r="P74" s="89"/>
      <c r="Q74" s="89"/>
      <c r="R74" s="89"/>
      <c r="S74" s="89"/>
      <c r="T74" s="89"/>
      <c r="U74" s="89"/>
      <c r="V74" s="89"/>
      <c r="W74" s="89"/>
      <c r="X74" s="89"/>
      <c r="Y74" s="116"/>
    </row>
    <row r="75" spans="1:25" s="71" customFormat="1">
      <c r="A75" s="5"/>
      <c r="B75" s="1010" t="s">
        <v>507</v>
      </c>
      <c r="C75" s="362">
        <v>0</v>
      </c>
      <c r="D75" s="362">
        <v>0</v>
      </c>
      <c r="E75" s="362">
        <v>0</v>
      </c>
      <c r="F75" s="362">
        <v>0</v>
      </c>
      <c r="G75" s="362">
        <v>0</v>
      </c>
      <c r="H75" s="362">
        <v>0</v>
      </c>
      <c r="I75" s="362">
        <v>0</v>
      </c>
      <c r="J75" s="362">
        <v>0</v>
      </c>
      <c r="K75" s="362">
        <v>0</v>
      </c>
      <c r="L75" s="362">
        <v>0</v>
      </c>
      <c r="M75" s="362">
        <v>0</v>
      </c>
      <c r="N75" s="362">
        <v>0</v>
      </c>
      <c r="O75" s="1007">
        <f t="shared" si="18"/>
        <v>0</v>
      </c>
      <c r="P75" s="89"/>
      <c r="Q75" s="89"/>
      <c r="R75" s="89"/>
      <c r="S75" s="89"/>
      <c r="T75" s="89"/>
      <c r="U75" s="89"/>
      <c r="V75" s="89"/>
      <c r="W75" s="89"/>
      <c r="X75" s="89"/>
      <c r="Y75" s="116"/>
    </row>
    <row r="76" spans="1:25" s="71" customFormat="1">
      <c r="A76" s="5"/>
      <c r="B76" s="1010" t="s">
        <v>508</v>
      </c>
      <c r="C76" s="362">
        <v>0</v>
      </c>
      <c r="D76" s="362">
        <v>0</v>
      </c>
      <c r="E76" s="362">
        <v>0</v>
      </c>
      <c r="F76" s="362">
        <v>0</v>
      </c>
      <c r="G76" s="362">
        <v>0</v>
      </c>
      <c r="H76" s="362">
        <v>0</v>
      </c>
      <c r="I76" s="362">
        <v>0</v>
      </c>
      <c r="J76" s="362">
        <v>0</v>
      </c>
      <c r="K76" s="362">
        <v>0</v>
      </c>
      <c r="L76" s="362">
        <v>0</v>
      </c>
      <c r="M76" s="362">
        <v>0</v>
      </c>
      <c r="N76" s="362">
        <v>0</v>
      </c>
      <c r="O76" s="1007">
        <f t="shared" si="18"/>
        <v>0</v>
      </c>
      <c r="P76" s="89"/>
      <c r="Q76" s="89"/>
      <c r="R76" s="89"/>
      <c r="S76" s="89"/>
      <c r="T76" s="89"/>
      <c r="U76" s="89"/>
      <c r="V76" s="89"/>
      <c r="W76" s="89"/>
      <c r="X76" s="89"/>
      <c r="Y76" s="116"/>
    </row>
    <row r="77" spans="1:25" s="71" customFormat="1">
      <c r="A77" s="5"/>
      <c r="B77" s="1010" t="s">
        <v>509</v>
      </c>
      <c r="C77" s="362">
        <v>0</v>
      </c>
      <c r="D77" s="362">
        <v>0</v>
      </c>
      <c r="E77" s="362">
        <v>0</v>
      </c>
      <c r="F77" s="362">
        <v>0</v>
      </c>
      <c r="G77" s="362">
        <v>0</v>
      </c>
      <c r="H77" s="362">
        <v>0</v>
      </c>
      <c r="I77" s="362">
        <v>0</v>
      </c>
      <c r="J77" s="362">
        <v>0</v>
      </c>
      <c r="K77" s="362">
        <v>0</v>
      </c>
      <c r="L77" s="362">
        <v>1043.4927788797061</v>
      </c>
      <c r="M77" s="362">
        <v>0</v>
      </c>
      <c r="N77" s="362">
        <v>0</v>
      </c>
      <c r="O77" s="1007">
        <f t="shared" si="18"/>
        <v>1043.4927788797061</v>
      </c>
      <c r="P77" s="89"/>
      <c r="Q77" s="89"/>
      <c r="R77" s="89"/>
      <c r="S77" s="89"/>
      <c r="T77" s="89"/>
      <c r="U77" s="89"/>
      <c r="V77" s="89"/>
      <c r="W77" s="89"/>
      <c r="X77" s="89"/>
      <c r="Y77" s="116"/>
    </row>
    <row r="78" spans="1:25" s="71" customFormat="1">
      <c r="A78" s="5"/>
      <c r="B78" s="1010" t="s">
        <v>682</v>
      </c>
      <c r="C78" s="362">
        <v>0</v>
      </c>
      <c r="D78" s="362">
        <v>0</v>
      </c>
      <c r="E78" s="362">
        <v>0</v>
      </c>
      <c r="F78" s="362">
        <v>0</v>
      </c>
      <c r="G78" s="362">
        <v>0</v>
      </c>
      <c r="H78" s="362">
        <v>0</v>
      </c>
      <c r="I78" s="362">
        <v>0</v>
      </c>
      <c r="J78" s="362">
        <v>0</v>
      </c>
      <c r="K78" s="362">
        <v>0</v>
      </c>
      <c r="L78" s="362">
        <v>0</v>
      </c>
      <c r="M78" s="362">
        <v>0</v>
      </c>
      <c r="N78" s="362">
        <v>0</v>
      </c>
      <c r="O78" s="1007">
        <f t="shared" si="18"/>
        <v>0</v>
      </c>
      <c r="P78" s="89"/>
      <c r="Q78" s="89"/>
      <c r="R78" s="89"/>
      <c r="S78" s="89"/>
      <c r="T78" s="89"/>
      <c r="U78" s="89"/>
      <c r="V78" s="89"/>
      <c r="W78" s="89"/>
      <c r="X78" s="89"/>
      <c r="Y78" s="116"/>
    </row>
    <row r="79" spans="1:25" s="71" customFormat="1">
      <c r="A79" s="5"/>
      <c r="B79" s="1010" t="s">
        <v>631</v>
      </c>
      <c r="C79" s="362">
        <v>0</v>
      </c>
      <c r="D79" s="362">
        <v>0</v>
      </c>
      <c r="E79" s="362">
        <v>0</v>
      </c>
      <c r="F79" s="362">
        <v>0</v>
      </c>
      <c r="G79" s="362">
        <v>1326.20572343</v>
      </c>
      <c r="H79" s="362">
        <v>0</v>
      </c>
      <c r="I79" s="362">
        <v>0</v>
      </c>
      <c r="J79" s="362">
        <v>0</v>
      </c>
      <c r="K79" s="362">
        <v>0</v>
      </c>
      <c r="L79" s="362">
        <v>0</v>
      </c>
      <c r="M79" s="362">
        <v>0</v>
      </c>
      <c r="N79" s="362">
        <v>0</v>
      </c>
      <c r="O79" s="1007">
        <f t="shared" si="18"/>
        <v>1326.20572343</v>
      </c>
      <c r="P79" s="89"/>
      <c r="Q79" s="89"/>
      <c r="R79" s="89"/>
      <c r="S79" s="89"/>
      <c r="T79" s="89"/>
      <c r="U79" s="89"/>
      <c r="V79" s="89"/>
      <c r="W79" s="89"/>
      <c r="X79" s="89"/>
      <c r="Y79" s="116"/>
    </row>
    <row r="80" spans="1:25" s="71" customFormat="1">
      <c r="A80" s="5"/>
      <c r="B80" s="1010" t="s">
        <v>379</v>
      </c>
      <c r="C80" s="362">
        <v>0</v>
      </c>
      <c r="D80" s="362">
        <v>0</v>
      </c>
      <c r="E80" s="362">
        <v>0</v>
      </c>
      <c r="F80" s="362">
        <v>0</v>
      </c>
      <c r="G80" s="362">
        <v>0</v>
      </c>
      <c r="H80" s="362">
        <v>0</v>
      </c>
      <c r="I80" s="362">
        <v>0</v>
      </c>
      <c r="J80" s="362">
        <v>0</v>
      </c>
      <c r="K80" s="362">
        <v>0</v>
      </c>
      <c r="L80" s="362">
        <v>0</v>
      </c>
      <c r="M80" s="362">
        <v>0</v>
      </c>
      <c r="N80" s="362">
        <v>0</v>
      </c>
      <c r="O80" s="1007">
        <f t="shared" si="18"/>
        <v>0</v>
      </c>
      <c r="P80" s="89"/>
      <c r="Q80" s="89"/>
      <c r="R80" s="89"/>
      <c r="S80" s="89"/>
      <c r="T80" s="89"/>
      <c r="U80" s="89"/>
      <c r="V80" s="89"/>
      <c r="W80" s="89"/>
      <c r="X80" s="89"/>
      <c r="Y80" s="116"/>
    </row>
    <row r="81" spans="1:25" s="71" customFormat="1">
      <c r="A81" s="5"/>
      <c r="B81" s="1010" t="s">
        <v>494</v>
      </c>
      <c r="C81" s="362">
        <v>0</v>
      </c>
      <c r="D81" s="362">
        <v>0</v>
      </c>
      <c r="E81" s="362">
        <v>0</v>
      </c>
      <c r="F81" s="362">
        <v>0</v>
      </c>
      <c r="G81" s="362">
        <v>0</v>
      </c>
      <c r="H81" s="362">
        <v>0</v>
      </c>
      <c r="I81" s="362">
        <v>0</v>
      </c>
      <c r="J81" s="362">
        <v>0</v>
      </c>
      <c r="K81" s="362">
        <v>0</v>
      </c>
      <c r="L81" s="362">
        <v>0</v>
      </c>
      <c r="M81" s="362">
        <v>0</v>
      </c>
      <c r="N81" s="362">
        <v>0</v>
      </c>
      <c r="O81" s="1007">
        <f t="shared" si="18"/>
        <v>0</v>
      </c>
      <c r="P81" s="89"/>
      <c r="Q81" s="89"/>
      <c r="R81" s="89"/>
      <c r="S81" s="89"/>
      <c r="T81" s="89"/>
      <c r="U81" s="89"/>
      <c r="V81" s="89"/>
      <c r="W81" s="89"/>
      <c r="X81" s="89"/>
      <c r="Y81" s="116"/>
    </row>
    <row r="82" spans="1:25" s="71" customFormat="1">
      <c r="A82" s="5"/>
      <c r="B82" s="1010" t="s">
        <v>495</v>
      </c>
      <c r="C82" s="362">
        <v>0</v>
      </c>
      <c r="D82" s="362">
        <v>0</v>
      </c>
      <c r="E82" s="362">
        <v>0</v>
      </c>
      <c r="F82" s="362">
        <v>0</v>
      </c>
      <c r="G82" s="362">
        <v>0</v>
      </c>
      <c r="H82" s="362">
        <v>0</v>
      </c>
      <c r="I82" s="362">
        <v>0</v>
      </c>
      <c r="J82" s="362">
        <v>0</v>
      </c>
      <c r="K82" s="362">
        <v>0</v>
      </c>
      <c r="L82" s="362">
        <v>0</v>
      </c>
      <c r="M82" s="362">
        <v>0</v>
      </c>
      <c r="N82" s="362">
        <v>0</v>
      </c>
      <c r="O82" s="1007">
        <f t="shared" si="18"/>
        <v>0</v>
      </c>
      <c r="P82" s="89"/>
      <c r="Q82" s="89"/>
      <c r="R82" s="89"/>
      <c r="S82" s="89"/>
      <c r="T82" s="89"/>
      <c r="U82" s="89"/>
      <c r="V82" s="89"/>
      <c r="W82" s="89"/>
      <c r="X82" s="89"/>
      <c r="Y82" s="116"/>
    </row>
    <row r="83" spans="1:25" s="71" customFormat="1">
      <c r="A83" s="5"/>
      <c r="B83" s="1010" t="s">
        <v>496</v>
      </c>
      <c r="C83" s="362">
        <v>0</v>
      </c>
      <c r="D83" s="362">
        <v>0</v>
      </c>
      <c r="E83" s="362">
        <v>0</v>
      </c>
      <c r="F83" s="362">
        <v>0</v>
      </c>
      <c r="G83" s="362">
        <v>0</v>
      </c>
      <c r="H83" s="362">
        <v>0</v>
      </c>
      <c r="I83" s="362">
        <v>0</v>
      </c>
      <c r="J83" s="362">
        <v>0</v>
      </c>
      <c r="K83" s="362">
        <v>0</v>
      </c>
      <c r="L83" s="362">
        <v>0</v>
      </c>
      <c r="M83" s="362">
        <v>0</v>
      </c>
      <c r="N83" s="362">
        <v>0</v>
      </c>
      <c r="O83" s="1007">
        <f t="shared" si="18"/>
        <v>0</v>
      </c>
      <c r="P83" s="89"/>
      <c r="Q83" s="89"/>
      <c r="R83" s="89"/>
      <c r="S83" s="89"/>
      <c r="T83" s="89"/>
      <c r="U83" s="89"/>
      <c r="V83" s="89"/>
      <c r="W83" s="89"/>
      <c r="X83" s="89"/>
      <c r="Y83" s="116"/>
    </row>
    <row r="84" spans="1:25" s="71" customFormat="1">
      <c r="A84" s="5"/>
      <c r="B84" s="1010" t="s">
        <v>540</v>
      </c>
      <c r="C84" s="362">
        <v>0</v>
      </c>
      <c r="D84" s="362">
        <v>0</v>
      </c>
      <c r="E84" s="362">
        <v>0</v>
      </c>
      <c r="F84" s="362">
        <v>0</v>
      </c>
      <c r="G84" s="362">
        <v>0</v>
      </c>
      <c r="H84" s="362">
        <v>0</v>
      </c>
      <c r="I84" s="362">
        <v>0</v>
      </c>
      <c r="J84" s="362">
        <v>0</v>
      </c>
      <c r="K84" s="362">
        <v>0</v>
      </c>
      <c r="L84" s="362">
        <v>0</v>
      </c>
      <c r="M84" s="362">
        <v>0</v>
      </c>
      <c r="N84" s="362">
        <v>0</v>
      </c>
      <c r="O84" s="1007">
        <f t="shared" si="18"/>
        <v>0</v>
      </c>
      <c r="P84" s="89"/>
      <c r="Q84" s="89"/>
      <c r="R84" s="89"/>
      <c r="S84" s="89"/>
      <c r="T84" s="89"/>
      <c r="U84" s="89"/>
      <c r="V84" s="89"/>
      <c r="W84" s="89"/>
      <c r="X84" s="89"/>
      <c r="Y84" s="116"/>
    </row>
    <row r="85" spans="1:25" s="71" customFormat="1">
      <c r="A85" s="5"/>
      <c r="B85" s="1010" t="s">
        <v>541</v>
      </c>
      <c r="C85" s="362">
        <v>0</v>
      </c>
      <c r="D85" s="362">
        <v>0</v>
      </c>
      <c r="E85" s="362">
        <v>0</v>
      </c>
      <c r="F85" s="362">
        <v>0</v>
      </c>
      <c r="G85" s="362">
        <v>0</v>
      </c>
      <c r="H85" s="362">
        <v>0</v>
      </c>
      <c r="I85" s="362">
        <v>0</v>
      </c>
      <c r="J85" s="362">
        <v>0</v>
      </c>
      <c r="K85" s="362">
        <v>0</v>
      </c>
      <c r="L85" s="362">
        <v>0</v>
      </c>
      <c r="M85" s="362">
        <v>0</v>
      </c>
      <c r="N85" s="362">
        <v>0</v>
      </c>
      <c r="O85" s="1007">
        <f t="shared" si="18"/>
        <v>0</v>
      </c>
      <c r="P85" s="89"/>
      <c r="Q85" s="89"/>
      <c r="R85" s="89"/>
      <c r="S85" s="89"/>
      <c r="T85" s="89"/>
      <c r="U85" s="89"/>
      <c r="V85" s="89"/>
      <c r="W85" s="89"/>
      <c r="X85" s="89"/>
      <c r="Y85" s="116"/>
    </row>
    <row r="86" spans="1:25" s="71" customFormat="1">
      <c r="A86" s="5"/>
      <c r="B86" s="1010" t="s">
        <v>714</v>
      </c>
      <c r="C86" s="362">
        <v>0</v>
      </c>
      <c r="D86" s="362">
        <v>667.8353785791802</v>
      </c>
      <c r="E86" s="362">
        <v>0</v>
      </c>
      <c r="F86" s="362">
        <v>0</v>
      </c>
      <c r="G86" s="362">
        <v>0</v>
      </c>
      <c r="H86" s="362">
        <v>0</v>
      </c>
      <c r="I86" s="362">
        <v>0</v>
      </c>
      <c r="J86" s="362">
        <v>0</v>
      </c>
      <c r="K86" s="362">
        <v>0</v>
      </c>
      <c r="L86" s="362">
        <v>0</v>
      </c>
      <c r="M86" s="362">
        <v>0</v>
      </c>
      <c r="N86" s="362">
        <v>0</v>
      </c>
      <c r="O86" s="1007">
        <f t="shared" si="18"/>
        <v>667.8353785791802</v>
      </c>
      <c r="P86" s="89"/>
      <c r="Q86" s="89"/>
      <c r="R86" s="89"/>
      <c r="S86" s="89"/>
      <c r="T86" s="89"/>
      <c r="U86" s="89"/>
      <c r="V86" s="89"/>
      <c r="W86" s="89"/>
      <c r="X86" s="89"/>
      <c r="Y86" s="116"/>
    </row>
    <row r="87" spans="1:25" s="71" customFormat="1">
      <c r="A87" s="5"/>
      <c r="B87" s="1010" t="s">
        <v>419</v>
      </c>
      <c r="C87" s="362">
        <v>0</v>
      </c>
      <c r="D87" s="362">
        <v>0</v>
      </c>
      <c r="E87" s="362">
        <v>0</v>
      </c>
      <c r="F87" s="362">
        <v>4500</v>
      </c>
      <c r="G87" s="362">
        <v>0</v>
      </c>
      <c r="H87" s="362">
        <v>0</v>
      </c>
      <c r="I87" s="362">
        <v>0</v>
      </c>
      <c r="J87" s="362">
        <v>0</v>
      </c>
      <c r="K87" s="362">
        <v>0</v>
      </c>
      <c r="L87" s="362">
        <v>0</v>
      </c>
      <c r="M87" s="362">
        <v>0</v>
      </c>
      <c r="N87" s="362">
        <v>0</v>
      </c>
      <c r="O87" s="1007">
        <f t="shared" si="18"/>
        <v>4500</v>
      </c>
      <c r="P87" s="89"/>
      <c r="Q87" s="89"/>
      <c r="R87" s="89"/>
      <c r="S87" s="89"/>
      <c r="T87" s="89"/>
      <c r="U87" s="89"/>
      <c r="V87" s="89"/>
      <c r="W87" s="89"/>
      <c r="X87" s="89"/>
      <c r="Y87" s="116"/>
    </row>
    <row r="88" spans="1:25" s="71" customFormat="1">
      <c r="A88" s="5"/>
      <c r="B88" s="1010" t="s">
        <v>420</v>
      </c>
      <c r="C88" s="362">
        <v>0</v>
      </c>
      <c r="D88" s="362">
        <v>0</v>
      </c>
      <c r="E88" s="362">
        <v>0</v>
      </c>
      <c r="F88" s="362">
        <v>0</v>
      </c>
      <c r="G88" s="362">
        <v>0</v>
      </c>
      <c r="H88" s="362">
        <v>0</v>
      </c>
      <c r="I88" s="362">
        <v>0</v>
      </c>
      <c r="J88" s="362">
        <v>0</v>
      </c>
      <c r="K88" s="362">
        <v>0</v>
      </c>
      <c r="L88" s="362">
        <v>0</v>
      </c>
      <c r="M88" s="362">
        <v>0</v>
      </c>
      <c r="N88" s="362">
        <v>0</v>
      </c>
      <c r="O88" s="1007">
        <f t="shared" si="18"/>
        <v>0</v>
      </c>
      <c r="P88" s="89"/>
      <c r="Q88" s="89"/>
      <c r="R88" s="89"/>
      <c r="S88" s="89"/>
      <c r="T88" s="89"/>
      <c r="U88" s="89"/>
      <c r="V88" s="89"/>
      <c r="W88" s="89"/>
      <c r="X88" s="89"/>
      <c r="Y88" s="116"/>
    </row>
    <row r="89" spans="1:25" s="71" customFormat="1">
      <c r="A89" s="5"/>
      <c r="B89" s="1010" t="s">
        <v>421</v>
      </c>
      <c r="C89" s="362">
        <v>0</v>
      </c>
      <c r="D89" s="362">
        <v>0</v>
      </c>
      <c r="E89" s="362">
        <v>0</v>
      </c>
      <c r="F89" s="362">
        <v>0</v>
      </c>
      <c r="G89" s="362">
        <v>0</v>
      </c>
      <c r="H89" s="362">
        <v>0</v>
      </c>
      <c r="I89" s="362">
        <v>0</v>
      </c>
      <c r="J89" s="362">
        <v>0</v>
      </c>
      <c r="K89" s="362">
        <v>0</v>
      </c>
      <c r="L89" s="362">
        <v>0</v>
      </c>
      <c r="M89" s="362">
        <v>0</v>
      </c>
      <c r="N89" s="362">
        <v>0</v>
      </c>
      <c r="O89" s="1007">
        <f t="shared" si="18"/>
        <v>0</v>
      </c>
      <c r="P89" s="89"/>
      <c r="Q89" s="89"/>
      <c r="R89" s="89"/>
      <c r="S89" s="89"/>
      <c r="T89" s="89"/>
      <c r="U89" s="89"/>
      <c r="V89" s="89"/>
      <c r="W89" s="89"/>
      <c r="X89" s="89"/>
      <c r="Y89" s="116"/>
    </row>
    <row r="90" spans="1:25" s="71" customFormat="1">
      <c r="A90" s="5"/>
      <c r="B90" s="1010" t="s">
        <v>426</v>
      </c>
      <c r="C90" s="362">
        <v>0</v>
      </c>
      <c r="D90" s="362">
        <v>0</v>
      </c>
      <c r="E90" s="362">
        <v>0</v>
      </c>
      <c r="F90" s="362">
        <v>0</v>
      </c>
      <c r="G90" s="362">
        <v>0</v>
      </c>
      <c r="H90" s="362">
        <v>0</v>
      </c>
      <c r="I90" s="362">
        <v>0</v>
      </c>
      <c r="J90" s="362">
        <v>0</v>
      </c>
      <c r="K90" s="362">
        <v>0</v>
      </c>
      <c r="L90" s="362">
        <v>0</v>
      </c>
      <c r="M90" s="362">
        <v>0</v>
      </c>
      <c r="N90" s="362">
        <v>0</v>
      </c>
      <c r="O90" s="1007">
        <f t="shared" si="18"/>
        <v>0</v>
      </c>
      <c r="P90" s="89"/>
      <c r="Q90" s="89"/>
      <c r="R90" s="89"/>
      <c r="S90" s="89"/>
      <c r="T90" s="89"/>
      <c r="U90" s="89"/>
      <c r="V90" s="89"/>
      <c r="W90" s="89"/>
      <c r="X90" s="89"/>
      <c r="Y90" s="116"/>
    </row>
    <row r="91" spans="1:25" s="71" customFormat="1">
      <c r="A91" s="5"/>
      <c r="B91" s="1010" t="s">
        <v>621</v>
      </c>
      <c r="C91" s="362">
        <v>0</v>
      </c>
      <c r="D91" s="362">
        <v>0</v>
      </c>
      <c r="E91" s="362">
        <v>0</v>
      </c>
      <c r="F91" s="362">
        <v>0</v>
      </c>
      <c r="G91" s="362">
        <v>0</v>
      </c>
      <c r="H91" s="362">
        <v>0</v>
      </c>
      <c r="I91" s="362">
        <v>0</v>
      </c>
      <c r="J91" s="362">
        <v>0</v>
      </c>
      <c r="K91" s="362">
        <v>0</v>
      </c>
      <c r="L91" s="362">
        <v>0</v>
      </c>
      <c r="M91" s="362">
        <v>0</v>
      </c>
      <c r="N91" s="362">
        <v>0</v>
      </c>
      <c r="O91" s="1007">
        <f t="shared" si="18"/>
        <v>0</v>
      </c>
      <c r="P91" s="89"/>
      <c r="Q91" s="89"/>
      <c r="R91" s="89"/>
      <c r="S91" s="89"/>
      <c r="T91" s="89"/>
      <c r="U91" s="89"/>
      <c r="V91" s="89"/>
      <c r="W91" s="89"/>
      <c r="X91" s="89"/>
      <c r="Y91" s="116"/>
    </row>
    <row r="92" spans="1:25" s="71" customFormat="1">
      <c r="A92" s="5"/>
      <c r="B92" s="1010" t="s">
        <v>427</v>
      </c>
      <c r="C92" s="362">
        <v>0</v>
      </c>
      <c r="D92" s="362">
        <v>0</v>
      </c>
      <c r="E92" s="362">
        <v>0</v>
      </c>
      <c r="F92" s="362">
        <v>0</v>
      </c>
      <c r="G92" s="362">
        <v>0</v>
      </c>
      <c r="H92" s="362">
        <v>0</v>
      </c>
      <c r="I92" s="362">
        <v>0</v>
      </c>
      <c r="J92" s="362">
        <v>0</v>
      </c>
      <c r="K92" s="362">
        <v>0</v>
      </c>
      <c r="L92" s="362">
        <v>0</v>
      </c>
      <c r="M92" s="362">
        <v>0</v>
      </c>
      <c r="N92" s="362">
        <v>0</v>
      </c>
      <c r="O92" s="1007">
        <f t="shared" si="18"/>
        <v>0</v>
      </c>
      <c r="P92" s="89"/>
      <c r="Q92" s="89"/>
      <c r="R92" s="89"/>
      <c r="S92" s="89"/>
      <c r="T92" s="89"/>
      <c r="U92" s="89"/>
      <c r="V92" s="89"/>
      <c r="W92" s="89"/>
      <c r="X92" s="89"/>
      <c r="Y92" s="116"/>
    </row>
    <row r="93" spans="1:25" s="71" customFormat="1">
      <c r="A93" s="5"/>
      <c r="B93" s="1010" t="s">
        <v>538</v>
      </c>
      <c r="C93" s="362">
        <v>0</v>
      </c>
      <c r="D93" s="362">
        <v>0</v>
      </c>
      <c r="E93" s="362">
        <v>0</v>
      </c>
      <c r="F93" s="362">
        <v>0</v>
      </c>
      <c r="G93" s="362">
        <v>0</v>
      </c>
      <c r="H93" s="362">
        <v>0</v>
      </c>
      <c r="I93" s="362">
        <v>0</v>
      </c>
      <c r="J93" s="362">
        <v>0</v>
      </c>
      <c r="K93" s="362">
        <v>0</v>
      </c>
      <c r="L93" s="362">
        <v>0</v>
      </c>
      <c r="M93" s="362">
        <v>0</v>
      </c>
      <c r="N93" s="362">
        <v>0</v>
      </c>
      <c r="O93" s="1007">
        <f t="shared" si="18"/>
        <v>0</v>
      </c>
      <c r="P93" s="89"/>
      <c r="Q93" s="89"/>
      <c r="R93" s="89"/>
      <c r="S93" s="89"/>
      <c r="T93" s="89"/>
      <c r="U93" s="89"/>
      <c r="V93" s="89"/>
      <c r="W93" s="89"/>
      <c r="X93" s="89"/>
      <c r="Y93" s="116"/>
    </row>
    <row r="94" spans="1:25" s="71" customFormat="1">
      <c r="A94" s="5"/>
      <c r="B94" s="1010" t="s">
        <v>539</v>
      </c>
      <c r="C94" s="362">
        <v>0</v>
      </c>
      <c r="D94" s="362">
        <v>0</v>
      </c>
      <c r="E94" s="362">
        <v>0</v>
      </c>
      <c r="F94" s="362">
        <v>0</v>
      </c>
      <c r="G94" s="362">
        <v>0</v>
      </c>
      <c r="H94" s="362">
        <v>0</v>
      </c>
      <c r="I94" s="362">
        <v>0</v>
      </c>
      <c r="J94" s="362">
        <v>0</v>
      </c>
      <c r="K94" s="362">
        <v>0</v>
      </c>
      <c r="L94" s="362">
        <v>0</v>
      </c>
      <c r="M94" s="362">
        <v>0</v>
      </c>
      <c r="N94" s="362">
        <v>0</v>
      </c>
      <c r="O94" s="1007">
        <f t="shared" si="18"/>
        <v>0</v>
      </c>
      <c r="P94" s="89"/>
      <c r="Q94" s="89"/>
      <c r="R94" s="89"/>
      <c r="S94" s="89"/>
      <c r="T94" s="89"/>
      <c r="U94" s="89"/>
      <c r="V94" s="89"/>
      <c r="W94" s="89"/>
      <c r="X94" s="89"/>
      <c r="Y94" s="116"/>
    </row>
    <row r="95" spans="1:25" s="71" customFormat="1">
      <c r="A95" s="5"/>
      <c r="B95" s="1010" t="s">
        <v>425</v>
      </c>
      <c r="C95" s="362">
        <v>0</v>
      </c>
      <c r="D95" s="362">
        <v>0</v>
      </c>
      <c r="E95" s="362">
        <v>0</v>
      </c>
      <c r="F95" s="362">
        <v>0</v>
      </c>
      <c r="G95" s="362">
        <v>0</v>
      </c>
      <c r="H95" s="362">
        <v>0</v>
      </c>
      <c r="I95" s="362">
        <v>0</v>
      </c>
      <c r="J95" s="362">
        <v>0</v>
      </c>
      <c r="K95" s="362">
        <v>0</v>
      </c>
      <c r="L95" s="362">
        <v>0</v>
      </c>
      <c r="M95" s="362">
        <v>0</v>
      </c>
      <c r="N95" s="362">
        <v>0</v>
      </c>
      <c r="O95" s="1007">
        <f t="shared" si="18"/>
        <v>0</v>
      </c>
      <c r="P95" s="89"/>
      <c r="Q95" s="89"/>
      <c r="R95" s="89"/>
      <c r="S95" s="89"/>
      <c r="T95" s="89"/>
      <c r="U95" s="89"/>
      <c r="V95" s="89"/>
      <c r="W95" s="89"/>
      <c r="X95" s="89"/>
      <c r="Y95" s="116"/>
    </row>
    <row r="96" spans="1:25" s="71" customFormat="1">
      <c r="A96" s="5"/>
      <c r="B96" s="1010" t="s">
        <v>704</v>
      </c>
      <c r="C96" s="362">
        <v>0</v>
      </c>
      <c r="D96" s="362">
        <v>0</v>
      </c>
      <c r="E96" s="362">
        <v>0</v>
      </c>
      <c r="F96" s="362">
        <v>0</v>
      </c>
      <c r="G96" s="362">
        <v>0</v>
      </c>
      <c r="H96" s="362">
        <v>0</v>
      </c>
      <c r="I96" s="362">
        <v>0</v>
      </c>
      <c r="J96" s="362">
        <v>0</v>
      </c>
      <c r="K96" s="362">
        <v>0</v>
      </c>
      <c r="L96" s="362">
        <v>0</v>
      </c>
      <c r="M96" s="362">
        <v>0</v>
      </c>
      <c r="N96" s="362">
        <v>0</v>
      </c>
      <c r="O96" s="1007">
        <f t="shared" si="18"/>
        <v>0</v>
      </c>
      <c r="P96" s="89"/>
      <c r="Q96" s="89"/>
      <c r="R96" s="89"/>
      <c r="S96" s="89"/>
      <c r="T96" s="89"/>
      <c r="U96" s="89"/>
      <c r="V96" s="89"/>
      <c r="W96" s="89"/>
      <c r="X96" s="89"/>
      <c r="Y96" s="116"/>
    </row>
    <row r="97" spans="1:25" s="71" customFormat="1">
      <c r="A97" s="5"/>
      <c r="B97" s="1010" t="s">
        <v>702</v>
      </c>
      <c r="C97" s="362">
        <v>0</v>
      </c>
      <c r="D97" s="362">
        <v>0</v>
      </c>
      <c r="E97" s="362">
        <v>0</v>
      </c>
      <c r="F97" s="362">
        <v>0</v>
      </c>
      <c r="G97" s="362">
        <v>0</v>
      </c>
      <c r="H97" s="362">
        <v>0</v>
      </c>
      <c r="I97" s="362">
        <v>0</v>
      </c>
      <c r="J97" s="362">
        <v>0</v>
      </c>
      <c r="K97" s="362">
        <v>0</v>
      </c>
      <c r="L97" s="362">
        <v>0</v>
      </c>
      <c r="M97" s="362">
        <v>0</v>
      </c>
      <c r="N97" s="362">
        <v>0</v>
      </c>
      <c r="O97" s="1007">
        <f t="shared" si="18"/>
        <v>0</v>
      </c>
      <c r="P97" s="89"/>
      <c r="Q97" s="89"/>
      <c r="R97" s="89"/>
      <c r="S97" s="89"/>
      <c r="T97" s="89"/>
      <c r="U97" s="89"/>
      <c r="V97" s="89"/>
      <c r="W97" s="89"/>
      <c r="X97" s="89"/>
      <c r="Y97" s="116"/>
    </row>
    <row r="98" spans="1:25" s="71" customFormat="1">
      <c r="A98" s="5"/>
      <c r="B98" s="1010" t="s">
        <v>569</v>
      </c>
      <c r="C98" s="362">
        <v>0</v>
      </c>
      <c r="D98" s="362">
        <v>0</v>
      </c>
      <c r="E98" s="362">
        <v>0</v>
      </c>
      <c r="F98" s="362">
        <v>0</v>
      </c>
      <c r="G98" s="362">
        <v>0</v>
      </c>
      <c r="H98" s="362">
        <v>0</v>
      </c>
      <c r="I98" s="362">
        <v>0</v>
      </c>
      <c r="J98" s="362">
        <v>0</v>
      </c>
      <c r="K98" s="362">
        <v>0</v>
      </c>
      <c r="L98" s="362">
        <v>0</v>
      </c>
      <c r="M98" s="362">
        <v>0</v>
      </c>
      <c r="N98" s="362">
        <v>0</v>
      </c>
      <c r="O98" s="1007">
        <f t="shared" si="18"/>
        <v>0</v>
      </c>
      <c r="P98" s="89"/>
      <c r="Q98" s="89"/>
      <c r="R98" s="89"/>
      <c r="S98" s="89"/>
      <c r="T98" s="89"/>
      <c r="U98" s="89"/>
      <c r="V98" s="89"/>
      <c r="W98" s="89"/>
      <c r="X98" s="89"/>
      <c r="Y98" s="116"/>
    </row>
    <row r="99" spans="1:25" s="71" customFormat="1">
      <c r="A99" s="5"/>
      <c r="B99" s="1010" t="s">
        <v>622</v>
      </c>
      <c r="C99" s="362">
        <v>0</v>
      </c>
      <c r="D99" s="362">
        <v>0</v>
      </c>
      <c r="E99" s="362">
        <v>0</v>
      </c>
      <c r="F99" s="362">
        <v>0</v>
      </c>
      <c r="G99" s="362">
        <v>0</v>
      </c>
      <c r="H99" s="362">
        <v>0</v>
      </c>
      <c r="I99" s="362">
        <v>0</v>
      </c>
      <c r="J99" s="362">
        <v>0</v>
      </c>
      <c r="K99" s="362">
        <v>0</v>
      </c>
      <c r="L99" s="362">
        <v>0</v>
      </c>
      <c r="M99" s="362">
        <v>0</v>
      </c>
      <c r="N99" s="362">
        <v>0</v>
      </c>
      <c r="O99" s="1007">
        <f t="shared" si="18"/>
        <v>0</v>
      </c>
      <c r="P99" s="89"/>
      <c r="Q99" s="89"/>
      <c r="R99" s="89"/>
      <c r="S99" s="89"/>
      <c r="T99" s="89"/>
      <c r="U99" s="89"/>
      <c r="V99" s="89"/>
      <c r="W99" s="89"/>
      <c r="X99" s="89"/>
      <c r="Y99" s="116"/>
    </row>
    <row r="100" spans="1:25" s="71" customFormat="1">
      <c r="A100" s="5"/>
      <c r="B100" s="1010" t="s">
        <v>517</v>
      </c>
      <c r="C100" s="362">
        <v>0</v>
      </c>
      <c r="D100" s="362">
        <v>0</v>
      </c>
      <c r="E100" s="362">
        <v>0</v>
      </c>
      <c r="F100" s="362">
        <v>0</v>
      </c>
      <c r="G100" s="362">
        <v>0</v>
      </c>
      <c r="H100" s="362">
        <v>0</v>
      </c>
      <c r="I100" s="362">
        <v>0</v>
      </c>
      <c r="J100" s="362">
        <v>0</v>
      </c>
      <c r="K100" s="362">
        <v>0</v>
      </c>
      <c r="L100" s="362">
        <v>0</v>
      </c>
      <c r="M100" s="362">
        <v>0</v>
      </c>
      <c r="N100" s="362">
        <v>0</v>
      </c>
      <c r="O100" s="1007">
        <f t="shared" si="18"/>
        <v>0</v>
      </c>
      <c r="P100" s="89"/>
      <c r="Q100" s="89"/>
      <c r="R100" s="89"/>
      <c r="S100" s="89"/>
      <c r="T100" s="89"/>
      <c r="U100" s="89"/>
      <c r="V100" s="89"/>
      <c r="W100" s="89"/>
      <c r="X100" s="89"/>
      <c r="Y100" s="116"/>
    </row>
    <row r="101" spans="1:25" s="71" customFormat="1">
      <c r="A101" s="5"/>
      <c r="B101" s="1010" t="s">
        <v>623</v>
      </c>
      <c r="C101" s="362">
        <v>0</v>
      </c>
      <c r="D101" s="362">
        <v>0</v>
      </c>
      <c r="E101" s="362">
        <v>0</v>
      </c>
      <c r="F101" s="362">
        <v>0</v>
      </c>
      <c r="G101" s="362">
        <v>0</v>
      </c>
      <c r="H101" s="362">
        <v>0</v>
      </c>
      <c r="I101" s="362">
        <v>0</v>
      </c>
      <c r="J101" s="362">
        <v>0</v>
      </c>
      <c r="K101" s="362">
        <v>0</v>
      </c>
      <c r="L101" s="362">
        <v>0</v>
      </c>
      <c r="M101" s="362">
        <v>0</v>
      </c>
      <c r="N101" s="362">
        <v>0</v>
      </c>
      <c r="O101" s="1007">
        <f t="shared" si="18"/>
        <v>0</v>
      </c>
      <c r="P101" s="89"/>
      <c r="Q101" s="89"/>
      <c r="R101" s="89"/>
      <c r="S101" s="89"/>
      <c r="T101" s="89"/>
      <c r="U101" s="89"/>
      <c r="V101" s="89"/>
      <c r="W101" s="89"/>
      <c r="X101" s="89"/>
      <c r="Y101" s="116"/>
    </row>
    <row r="102" spans="1:25" s="71" customFormat="1">
      <c r="A102" s="5"/>
      <c r="B102" s="1010" t="s">
        <v>518</v>
      </c>
      <c r="C102" s="362">
        <v>0</v>
      </c>
      <c r="D102" s="362">
        <v>0</v>
      </c>
      <c r="E102" s="362">
        <v>0</v>
      </c>
      <c r="F102" s="362">
        <v>0</v>
      </c>
      <c r="G102" s="362">
        <v>0</v>
      </c>
      <c r="H102" s="362">
        <v>0</v>
      </c>
      <c r="I102" s="362">
        <v>0</v>
      </c>
      <c r="J102" s="362">
        <v>0</v>
      </c>
      <c r="K102" s="362">
        <v>0</v>
      </c>
      <c r="L102" s="362">
        <v>0</v>
      </c>
      <c r="M102" s="362">
        <v>0</v>
      </c>
      <c r="N102" s="362">
        <v>0</v>
      </c>
      <c r="O102" s="1007">
        <f t="shared" si="18"/>
        <v>0</v>
      </c>
      <c r="P102" s="89"/>
      <c r="Q102" s="89"/>
      <c r="R102" s="89"/>
      <c r="S102" s="89"/>
      <c r="T102" s="89"/>
      <c r="U102" s="89"/>
      <c r="V102" s="89"/>
      <c r="W102" s="89"/>
      <c r="X102" s="89"/>
      <c r="Y102" s="116"/>
    </row>
    <row r="103" spans="1:25" s="71" customFormat="1">
      <c r="A103" s="5"/>
      <c r="B103" s="1010" t="s">
        <v>428</v>
      </c>
      <c r="C103" s="362">
        <v>0</v>
      </c>
      <c r="D103" s="362">
        <v>0</v>
      </c>
      <c r="E103" s="362">
        <v>0</v>
      </c>
      <c r="F103" s="362">
        <v>0</v>
      </c>
      <c r="G103" s="362">
        <v>0</v>
      </c>
      <c r="H103" s="362">
        <v>0</v>
      </c>
      <c r="I103" s="362">
        <v>2860.6175742314431</v>
      </c>
      <c r="J103" s="362">
        <v>0</v>
      </c>
      <c r="K103" s="362">
        <v>0</v>
      </c>
      <c r="L103" s="362">
        <v>0</v>
      </c>
      <c r="M103" s="362">
        <v>0</v>
      </c>
      <c r="N103" s="362">
        <v>0</v>
      </c>
      <c r="O103" s="1007">
        <f t="shared" si="18"/>
        <v>2860.6175742314431</v>
      </c>
      <c r="P103" s="89"/>
      <c r="Q103" s="89"/>
      <c r="R103" s="89"/>
      <c r="S103" s="89"/>
      <c r="T103" s="89"/>
      <c r="U103" s="89"/>
      <c r="V103" s="89"/>
      <c r="W103" s="89"/>
      <c r="X103" s="89"/>
      <c r="Y103" s="116"/>
    </row>
    <row r="104" spans="1:25" s="71" customFormat="1">
      <c r="A104" s="5"/>
      <c r="B104" s="1010" t="s">
        <v>510</v>
      </c>
      <c r="C104" s="362">
        <v>0</v>
      </c>
      <c r="D104" s="362">
        <v>0</v>
      </c>
      <c r="E104" s="362">
        <v>0</v>
      </c>
      <c r="F104" s="362">
        <v>0</v>
      </c>
      <c r="G104" s="362">
        <v>0</v>
      </c>
      <c r="H104" s="362">
        <v>0</v>
      </c>
      <c r="I104" s="362">
        <v>0</v>
      </c>
      <c r="J104" s="362">
        <v>0</v>
      </c>
      <c r="K104" s="362">
        <v>0</v>
      </c>
      <c r="L104" s="362">
        <v>0</v>
      </c>
      <c r="M104" s="362">
        <v>0</v>
      </c>
      <c r="N104" s="362">
        <v>0</v>
      </c>
      <c r="O104" s="1007">
        <f t="shared" si="18"/>
        <v>0</v>
      </c>
      <c r="P104" s="89"/>
      <c r="Q104" s="89"/>
      <c r="R104" s="89"/>
      <c r="S104" s="89"/>
      <c r="T104" s="89"/>
      <c r="U104" s="89"/>
      <c r="V104" s="89"/>
      <c r="W104" s="89"/>
      <c r="X104" s="89"/>
      <c r="Y104" s="116"/>
    </row>
    <row r="105" spans="1:25" s="71" customFormat="1">
      <c r="A105" s="5"/>
      <c r="B105" s="1010" t="s">
        <v>624</v>
      </c>
      <c r="C105" s="362">
        <v>0</v>
      </c>
      <c r="D105" s="362">
        <v>0</v>
      </c>
      <c r="E105" s="362">
        <v>0</v>
      </c>
      <c r="F105" s="362">
        <v>0</v>
      </c>
      <c r="G105" s="362">
        <v>0</v>
      </c>
      <c r="H105" s="362">
        <v>0</v>
      </c>
      <c r="I105" s="362">
        <v>0</v>
      </c>
      <c r="J105" s="362">
        <v>0</v>
      </c>
      <c r="K105" s="362">
        <v>0</v>
      </c>
      <c r="L105" s="362">
        <v>0</v>
      </c>
      <c r="M105" s="362">
        <v>0</v>
      </c>
      <c r="N105" s="362">
        <v>0</v>
      </c>
      <c r="O105" s="1007">
        <f t="shared" si="18"/>
        <v>0</v>
      </c>
      <c r="P105" s="89"/>
      <c r="Q105" s="89"/>
      <c r="R105" s="89"/>
      <c r="S105" s="89"/>
      <c r="T105" s="89"/>
      <c r="U105" s="89"/>
      <c r="V105" s="89"/>
      <c r="W105" s="89"/>
      <c r="X105" s="89"/>
      <c r="Y105" s="116"/>
    </row>
    <row r="106" spans="1:25" s="71" customFormat="1">
      <c r="A106" s="5"/>
      <c r="B106" s="1010" t="s">
        <v>668</v>
      </c>
      <c r="C106" s="362">
        <v>0</v>
      </c>
      <c r="D106" s="362">
        <v>0</v>
      </c>
      <c r="E106" s="362">
        <v>0</v>
      </c>
      <c r="F106" s="362">
        <v>0</v>
      </c>
      <c r="G106" s="362">
        <v>0</v>
      </c>
      <c r="H106" s="362">
        <v>0</v>
      </c>
      <c r="I106" s="362">
        <v>0</v>
      </c>
      <c r="J106" s="362">
        <v>0</v>
      </c>
      <c r="K106" s="362">
        <v>0</v>
      </c>
      <c r="L106" s="362">
        <v>0</v>
      </c>
      <c r="M106" s="362">
        <v>0</v>
      </c>
      <c r="N106" s="362">
        <v>0</v>
      </c>
      <c r="O106" s="1007">
        <f t="shared" si="18"/>
        <v>0</v>
      </c>
      <c r="P106" s="89"/>
      <c r="Q106" s="89"/>
      <c r="R106" s="89"/>
      <c r="S106" s="89"/>
      <c r="T106" s="89"/>
      <c r="U106" s="89"/>
      <c r="V106" s="89"/>
      <c r="W106" s="89"/>
      <c r="X106" s="89"/>
      <c r="Y106" s="116"/>
    </row>
    <row r="107" spans="1:25" s="71" customFormat="1">
      <c r="A107" s="5"/>
      <c r="B107" s="1010" t="s">
        <v>703</v>
      </c>
      <c r="C107" s="362">
        <v>0</v>
      </c>
      <c r="D107" s="362">
        <v>0</v>
      </c>
      <c r="E107" s="362">
        <v>0</v>
      </c>
      <c r="F107" s="362">
        <v>0</v>
      </c>
      <c r="G107" s="362">
        <v>0</v>
      </c>
      <c r="H107" s="362">
        <v>0</v>
      </c>
      <c r="I107" s="362">
        <v>0</v>
      </c>
      <c r="J107" s="362">
        <v>0</v>
      </c>
      <c r="K107" s="362">
        <v>0</v>
      </c>
      <c r="L107" s="362">
        <v>0</v>
      </c>
      <c r="M107" s="362">
        <v>0</v>
      </c>
      <c r="N107" s="362">
        <v>0</v>
      </c>
      <c r="O107" s="1007">
        <f t="shared" si="18"/>
        <v>0</v>
      </c>
      <c r="P107" s="89"/>
      <c r="Q107" s="89"/>
      <c r="R107" s="89"/>
      <c r="S107" s="89"/>
      <c r="T107" s="89"/>
      <c r="U107" s="89"/>
      <c r="V107" s="89"/>
      <c r="W107" s="89"/>
      <c r="X107" s="89"/>
      <c r="Y107" s="116"/>
    </row>
    <row r="108" spans="1:25" s="71" customFormat="1">
      <c r="A108" s="5"/>
      <c r="B108" s="1010" t="s">
        <v>573</v>
      </c>
      <c r="C108" s="362">
        <v>0</v>
      </c>
      <c r="D108" s="362">
        <v>0</v>
      </c>
      <c r="E108" s="362">
        <v>0</v>
      </c>
      <c r="F108" s="362">
        <v>0</v>
      </c>
      <c r="G108" s="362">
        <v>0</v>
      </c>
      <c r="H108" s="362">
        <v>0</v>
      </c>
      <c r="I108" s="362">
        <v>0</v>
      </c>
      <c r="J108" s="362">
        <v>0</v>
      </c>
      <c r="K108" s="362">
        <v>0</v>
      </c>
      <c r="L108" s="362">
        <v>0</v>
      </c>
      <c r="M108" s="362">
        <v>0</v>
      </c>
      <c r="N108" s="362">
        <v>0</v>
      </c>
      <c r="O108" s="1007">
        <f t="shared" si="18"/>
        <v>0</v>
      </c>
      <c r="P108" s="89"/>
      <c r="Q108" s="89"/>
      <c r="R108" s="89"/>
      <c r="S108" s="89"/>
      <c r="T108" s="89"/>
      <c r="U108" s="89"/>
      <c r="V108" s="89"/>
      <c r="W108" s="89"/>
      <c r="X108" s="89"/>
      <c r="Y108" s="116"/>
    </row>
    <row r="109" spans="1:25" s="71" customFormat="1">
      <c r="A109" s="5"/>
      <c r="B109" s="1010" t="s">
        <v>511</v>
      </c>
      <c r="C109" s="362">
        <v>0</v>
      </c>
      <c r="D109" s="362">
        <v>0</v>
      </c>
      <c r="E109" s="362">
        <v>0</v>
      </c>
      <c r="F109" s="362">
        <v>0</v>
      </c>
      <c r="G109" s="362">
        <v>0</v>
      </c>
      <c r="H109" s="362">
        <v>0</v>
      </c>
      <c r="I109" s="362">
        <v>0</v>
      </c>
      <c r="J109" s="362">
        <v>0</v>
      </c>
      <c r="K109" s="362">
        <v>0</v>
      </c>
      <c r="L109" s="362">
        <v>0</v>
      </c>
      <c r="M109" s="362">
        <v>0</v>
      </c>
      <c r="N109" s="362">
        <v>0</v>
      </c>
      <c r="O109" s="1007">
        <f t="shared" si="18"/>
        <v>0</v>
      </c>
      <c r="P109" s="89"/>
      <c r="Q109" s="89"/>
      <c r="R109" s="89"/>
      <c r="S109" s="89"/>
      <c r="T109" s="89"/>
      <c r="U109" s="89"/>
      <c r="V109" s="89"/>
      <c r="W109" s="89"/>
      <c r="X109" s="89"/>
      <c r="Y109" s="116"/>
    </row>
    <row r="110" spans="1:25" s="71" customFormat="1">
      <c r="A110" s="5"/>
      <c r="B110" s="1010" t="s">
        <v>512</v>
      </c>
      <c r="C110" s="362">
        <v>0</v>
      </c>
      <c r="D110" s="362">
        <v>0</v>
      </c>
      <c r="E110" s="362">
        <v>0</v>
      </c>
      <c r="F110" s="362">
        <v>0</v>
      </c>
      <c r="G110" s="362">
        <v>0</v>
      </c>
      <c r="H110" s="362">
        <v>0</v>
      </c>
      <c r="I110" s="362">
        <v>0</v>
      </c>
      <c r="J110" s="362">
        <v>0</v>
      </c>
      <c r="K110" s="362">
        <v>0</v>
      </c>
      <c r="L110" s="362">
        <v>0</v>
      </c>
      <c r="M110" s="362">
        <v>0</v>
      </c>
      <c r="N110" s="362">
        <v>0</v>
      </c>
      <c r="O110" s="1007">
        <f t="shared" si="18"/>
        <v>0</v>
      </c>
      <c r="P110" s="89"/>
      <c r="Q110" s="89"/>
      <c r="R110" s="89"/>
      <c r="S110" s="89"/>
      <c r="T110" s="89"/>
      <c r="U110" s="89"/>
      <c r="V110" s="89"/>
      <c r="W110" s="89"/>
      <c r="X110" s="89"/>
      <c r="Y110" s="116"/>
    </row>
    <row r="111" spans="1:25" s="71" customFormat="1">
      <c r="A111" s="5"/>
      <c r="B111" s="1010" t="s">
        <v>574</v>
      </c>
      <c r="C111" s="362">
        <v>0</v>
      </c>
      <c r="D111" s="362">
        <v>0</v>
      </c>
      <c r="E111" s="362">
        <v>0</v>
      </c>
      <c r="F111" s="362">
        <v>0</v>
      </c>
      <c r="G111" s="362">
        <v>0</v>
      </c>
      <c r="H111" s="362">
        <v>0</v>
      </c>
      <c r="I111" s="362">
        <v>0</v>
      </c>
      <c r="J111" s="362">
        <v>0</v>
      </c>
      <c r="K111" s="362">
        <v>0</v>
      </c>
      <c r="L111" s="362">
        <v>0</v>
      </c>
      <c r="M111" s="362">
        <v>0</v>
      </c>
      <c r="N111" s="362">
        <v>0</v>
      </c>
      <c r="O111" s="1007">
        <f t="shared" si="18"/>
        <v>0</v>
      </c>
      <c r="P111" s="89"/>
      <c r="Q111" s="89"/>
      <c r="R111" s="89"/>
      <c r="S111" s="89"/>
      <c r="T111" s="89"/>
      <c r="U111" s="89"/>
      <c r="V111" s="89"/>
      <c r="W111" s="89"/>
      <c r="X111" s="89"/>
      <c r="Y111" s="116"/>
    </row>
    <row r="112" spans="1:25" s="71" customFormat="1">
      <c r="A112" s="5"/>
      <c r="B112" s="1010" t="s">
        <v>575</v>
      </c>
      <c r="C112" s="362">
        <v>0</v>
      </c>
      <c r="D112" s="362">
        <v>0</v>
      </c>
      <c r="E112" s="362">
        <v>0</v>
      </c>
      <c r="F112" s="362">
        <v>0</v>
      </c>
      <c r="G112" s="362">
        <v>0</v>
      </c>
      <c r="H112" s="362">
        <v>0</v>
      </c>
      <c r="I112" s="362">
        <v>0</v>
      </c>
      <c r="J112" s="362">
        <v>0</v>
      </c>
      <c r="K112" s="362">
        <v>0</v>
      </c>
      <c r="L112" s="362">
        <v>0</v>
      </c>
      <c r="M112" s="362">
        <v>0</v>
      </c>
      <c r="N112" s="362">
        <v>0</v>
      </c>
      <c r="O112" s="1007">
        <f t="shared" si="18"/>
        <v>0</v>
      </c>
      <c r="P112" s="89"/>
      <c r="Q112" s="89"/>
      <c r="R112" s="89"/>
      <c r="S112" s="89"/>
      <c r="T112" s="89"/>
      <c r="U112" s="89"/>
      <c r="V112" s="89"/>
      <c r="W112" s="89"/>
      <c r="X112" s="89"/>
      <c r="Y112" s="116"/>
    </row>
    <row r="113" spans="1:25" s="71" customFormat="1">
      <c r="A113" s="5"/>
      <c r="B113" s="1010" t="s">
        <v>810</v>
      </c>
      <c r="C113" s="362">
        <v>52.847070373999998</v>
      </c>
      <c r="D113" s="362">
        <v>52.847070373999998</v>
      </c>
      <c r="E113" s="362">
        <v>52.847070373999998</v>
      </c>
      <c r="F113" s="362">
        <v>52.847070373999998</v>
      </c>
      <c r="G113" s="362">
        <v>52.847070373999998</v>
      </c>
      <c r="H113" s="362">
        <v>52.847070373999998</v>
      </c>
      <c r="I113" s="362">
        <v>0</v>
      </c>
      <c r="J113" s="362">
        <v>0</v>
      </c>
      <c r="K113" s="362">
        <v>0</v>
      </c>
      <c r="L113" s="362">
        <v>0</v>
      </c>
      <c r="M113" s="362">
        <v>0</v>
      </c>
      <c r="N113" s="362">
        <v>0</v>
      </c>
      <c r="O113" s="1007">
        <f t="shared" si="18"/>
        <v>317.08242224399999</v>
      </c>
      <c r="P113" s="89"/>
      <c r="Q113" s="89"/>
      <c r="R113" s="89"/>
      <c r="S113" s="89"/>
      <c r="T113" s="89"/>
      <c r="U113" s="89"/>
      <c r="V113" s="89"/>
      <c r="W113" s="89"/>
      <c r="X113" s="89"/>
      <c r="Y113" s="116"/>
    </row>
    <row r="114" spans="1:25" s="71" customFormat="1">
      <c r="A114" s="5"/>
      <c r="B114" s="1010" t="s">
        <v>619</v>
      </c>
      <c r="C114" s="362">
        <v>0</v>
      </c>
      <c r="D114" s="362">
        <v>0</v>
      </c>
      <c r="E114" s="362">
        <v>0</v>
      </c>
      <c r="F114" s="362">
        <v>0</v>
      </c>
      <c r="G114" s="362">
        <v>0</v>
      </c>
      <c r="H114" s="362">
        <v>0</v>
      </c>
      <c r="I114" s="362">
        <v>0</v>
      </c>
      <c r="J114" s="362">
        <v>0</v>
      </c>
      <c r="K114" s="362">
        <v>0</v>
      </c>
      <c r="L114" s="362">
        <v>0</v>
      </c>
      <c r="M114" s="362">
        <v>0</v>
      </c>
      <c r="N114" s="362">
        <v>0</v>
      </c>
      <c r="O114" s="1007">
        <f t="shared" si="18"/>
        <v>0</v>
      </c>
      <c r="P114" s="89"/>
      <c r="Q114" s="89"/>
      <c r="R114" s="89"/>
      <c r="S114" s="89"/>
      <c r="T114" s="89"/>
      <c r="U114" s="89"/>
      <c r="V114" s="89"/>
      <c r="W114" s="89"/>
      <c r="X114" s="89"/>
      <c r="Y114" s="116"/>
    </row>
    <row r="115" spans="1:25" s="71" customFormat="1">
      <c r="A115" s="5"/>
      <c r="B115" s="1010" t="s">
        <v>620</v>
      </c>
      <c r="C115" s="362">
        <v>0</v>
      </c>
      <c r="D115" s="362">
        <v>0</v>
      </c>
      <c r="E115" s="362">
        <v>0</v>
      </c>
      <c r="F115" s="362">
        <v>0</v>
      </c>
      <c r="G115" s="362">
        <v>0</v>
      </c>
      <c r="H115" s="362">
        <v>0</v>
      </c>
      <c r="I115" s="362">
        <v>0</v>
      </c>
      <c r="J115" s="362">
        <v>0</v>
      </c>
      <c r="K115" s="362">
        <v>1889.6149356762667</v>
      </c>
      <c r="L115" s="362">
        <v>0</v>
      </c>
      <c r="M115" s="362">
        <v>0</v>
      </c>
      <c r="N115" s="362">
        <v>0</v>
      </c>
      <c r="O115" s="1007">
        <f t="shared" si="18"/>
        <v>1889.6149356762667</v>
      </c>
      <c r="P115" s="89"/>
      <c r="Q115" s="89"/>
      <c r="R115" s="89"/>
      <c r="S115" s="89"/>
      <c r="T115" s="89"/>
      <c r="U115" s="89"/>
      <c r="V115" s="89"/>
      <c r="W115" s="89"/>
      <c r="X115" s="89"/>
      <c r="Y115" s="116"/>
    </row>
    <row r="116" spans="1:25" s="71" customFormat="1">
      <c r="A116" s="5"/>
      <c r="B116" s="1008" t="s">
        <v>79</v>
      </c>
      <c r="C116" s="1011">
        <v>7504</v>
      </c>
      <c r="D116" s="1011">
        <v>0</v>
      </c>
      <c r="E116" s="1011">
        <v>2121.386485</v>
      </c>
      <c r="F116" s="1011">
        <v>0</v>
      </c>
      <c r="G116" s="1011">
        <v>0</v>
      </c>
      <c r="H116" s="1011">
        <v>0</v>
      </c>
      <c r="I116" s="1011">
        <v>0</v>
      </c>
      <c r="J116" s="1011">
        <v>0</v>
      </c>
      <c r="K116" s="1011">
        <v>0</v>
      </c>
      <c r="L116" s="1011">
        <v>0</v>
      </c>
      <c r="M116" s="1011">
        <v>0</v>
      </c>
      <c r="N116" s="1011">
        <v>0</v>
      </c>
      <c r="O116" s="1007">
        <f t="shared" si="18"/>
        <v>9625.3864849999991</v>
      </c>
      <c r="P116" s="89"/>
      <c r="Q116" s="89"/>
      <c r="R116" s="89"/>
      <c r="S116" s="89"/>
      <c r="T116" s="89"/>
      <c r="U116" s="89"/>
      <c r="V116" s="89"/>
      <c r="W116" s="89"/>
      <c r="X116" s="89"/>
      <c r="Y116" s="116"/>
    </row>
    <row r="117" spans="1:25" s="71" customFormat="1">
      <c r="A117" s="5"/>
      <c r="B117" s="1008" t="s">
        <v>566</v>
      </c>
      <c r="C117" s="1011">
        <v>0</v>
      </c>
      <c r="D117" s="1011">
        <v>0</v>
      </c>
      <c r="E117" s="1011">
        <v>0</v>
      </c>
      <c r="F117" s="1011">
        <v>0</v>
      </c>
      <c r="G117" s="1011">
        <v>0</v>
      </c>
      <c r="H117" s="1011">
        <v>0</v>
      </c>
      <c r="I117" s="1011">
        <v>0</v>
      </c>
      <c r="J117" s="1011">
        <v>0</v>
      </c>
      <c r="K117" s="1011">
        <v>0</v>
      </c>
      <c r="L117" s="1011">
        <v>0</v>
      </c>
      <c r="M117" s="1011">
        <v>0</v>
      </c>
      <c r="N117" s="1011">
        <v>359.39327499999996</v>
      </c>
      <c r="O117" s="1007">
        <f t="shared" si="18"/>
        <v>359.39327499999996</v>
      </c>
      <c r="P117" s="89"/>
      <c r="Q117" s="89"/>
      <c r="R117" s="89"/>
      <c r="S117" s="89"/>
      <c r="T117" s="89"/>
      <c r="U117" s="89"/>
      <c r="V117" s="89"/>
      <c r="W117" s="89"/>
      <c r="X117" s="89"/>
      <c r="Y117" s="116"/>
    </row>
    <row r="118" spans="1:25" s="71" customFormat="1">
      <c r="A118" s="5"/>
      <c r="B118" s="1008" t="s">
        <v>220</v>
      </c>
      <c r="C118" s="1011">
        <f>+C119+C120</f>
        <v>65.451391999999998</v>
      </c>
      <c r="D118" s="1011">
        <f t="shared" ref="D118:N118" si="24">+D119+D120</f>
        <v>0</v>
      </c>
      <c r="E118" s="1011">
        <f t="shared" si="24"/>
        <v>0</v>
      </c>
      <c r="F118" s="1011">
        <f t="shared" si="24"/>
        <v>64.088533999999996</v>
      </c>
      <c r="G118" s="1011">
        <f t="shared" si="24"/>
        <v>0</v>
      </c>
      <c r="H118" s="1011">
        <f t="shared" si="24"/>
        <v>0</v>
      </c>
      <c r="I118" s="1011">
        <f t="shared" si="24"/>
        <v>46.319401999999997</v>
      </c>
      <c r="J118" s="1011">
        <f t="shared" si="24"/>
        <v>0</v>
      </c>
      <c r="K118" s="1011">
        <f t="shared" si="24"/>
        <v>0</v>
      </c>
      <c r="L118" s="1011">
        <f t="shared" si="24"/>
        <v>57.122064999999999</v>
      </c>
      <c r="M118" s="1011">
        <f t="shared" si="24"/>
        <v>0</v>
      </c>
      <c r="N118" s="1011">
        <f t="shared" si="24"/>
        <v>0</v>
      </c>
      <c r="O118" s="1007">
        <f t="shared" si="18"/>
        <v>232.98139299999997</v>
      </c>
      <c r="P118" s="89"/>
      <c r="Q118" s="89"/>
      <c r="R118" s="89"/>
      <c r="S118" s="89"/>
      <c r="T118" s="89"/>
      <c r="U118" s="89"/>
      <c r="V118" s="89"/>
      <c r="W118" s="89"/>
      <c r="X118" s="89"/>
      <c r="Y118" s="116"/>
    </row>
    <row r="119" spans="1:25" s="71" customFormat="1">
      <c r="A119" s="5"/>
      <c r="B119" s="472" t="s">
        <v>72</v>
      </c>
      <c r="C119" s="473">
        <v>0</v>
      </c>
      <c r="D119" s="473">
        <v>0</v>
      </c>
      <c r="E119" s="473">
        <v>0</v>
      </c>
      <c r="F119" s="473">
        <v>0</v>
      </c>
      <c r="G119" s="473">
        <v>0</v>
      </c>
      <c r="H119" s="473">
        <v>0</v>
      </c>
      <c r="I119" s="473">
        <v>0</v>
      </c>
      <c r="J119" s="473">
        <v>0</v>
      </c>
      <c r="K119" s="473">
        <v>0</v>
      </c>
      <c r="L119" s="473">
        <v>0</v>
      </c>
      <c r="M119" s="473">
        <v>0</v>
      </c>
      <c r="N119" s="473">
        <v>0</v>
      </c>
      <c r="O119" s="336">
        <f t="shared" ref="O119:O137" si="25">SUM(C119:N119)</f>
        <v>0</v>
      </c>
      <c r="P119" s="89"/>
      <c r="Q119" s="89"/>
      <c r="R119" s="89"/>
      <c r="S119" s="89"/>
      <c r="T119" s="89"/>
      <c r="U119" s="89"/>
      <c r="V119" s="89"/>
      <c r="W119" s="89"/>
      <c r="X119" s="89"/>
      <c r="Y119" s="116"/>
    </row>
    <row r="120" spans="1:25" s="71" customFormat="1">
      <c r="A120" s="5"/>
      <c r="B120" s="350" t="s">
        <v>70</v>
      </c>
      <c r="C120" s="1003">
        <v>65.451391999999998</v>
      </c>
      <c r="D120" s="1003">
        <v>0</v>
      </c>
      <c r="E120" s="1003">
        <v>0</v>
      </c>
      <c r="F120" s="1003">
        <v>64.088533999999996</v>
      </c>
      <c r="G120" s="1003">
        <v>0</v>
      </c>
      <c r="H120" s="1003">
        <v>0</v>
      </c>
      <c r="I120" s="1003">
        <v>46.319401999999997</v>
      </c>
      <c r="J120" s="1003">
        <v>0</v>
      </c>
      <c r="K120" s="1003">
        <v>0</v>
      </c>
      <c r="L120" s="1003">
        <v>57.122064999999999</v>
      </c>
      <c r="M120" s="1003">
        <v>0</v>
      </c>
      <c r="N120" s="1003">
        <v>0</v>
      </c>
      <c r="O120" s="1009">
        <f t="shared" si="25"/>
        <v>232.98139299999997</v>
      </c>
      <c r="P120" s="89"/>
      <c r="Q120" s="89"/>
      <c r="R120" s="89"/>
      <c r="S120" s="89"/>
      <c r="T120" s="89"/>
      <c r="U120" s="89"/>
      <c r="V120" s="89"/>
      <c r="W120" s="89"/>
      <c r="X120" s="89"/>
      <c r="Y120" s="116"/>
    </row>
    <row r="121" spans="1:25" s="71" customFormat="1">
      <c r="A121" s="5"/>
      <c r="B121" s="1008" t="s">
        <v>344</v>
      </c>
      <c r="C121" s="1011">
        <f>+C122+C129</f>
        <v>15.377641761306378</v>
      </c>
      <c r="D121" s="1011">
        <f t="shared" ref="D121:N121" si="26">+D122+D129</f>
        <v>4.169581854803333</v>
      </c>
      <c r="E121" s="1011">
        <f t="shared" si="26"/>
        <v>4.169581854803333</v>
      </c>
      <c r="F121" s="1011">
        <f t="shared" si="26"/>
        <v>15.230473602862435</v>
      </c>
      <c r="G121" s="1011">
        <f t="shared" si="26"/>
        <v>4.169581854803333</v>
      </c>
      <c r="H121" s="1011">
        <f t="shared" si="26"/>
        <v>4.169581854803333</v>
      </c>
      <c r="I121" s="1011">
        <f t="shared" si="26"/>
        <v>15.230473602862435</v>
      </c>
      <c r="J121" s="1011">
        <f t="shared" si="26"/>
        <v>4.169581854803333</v>
      </c>
      <c r="K121" s="1011">
        <f t="shared" si="26"/>
        <v>4.169581854803333</v>
      </c>
      <c r="L121" s="1011">
        <f t="shared" si="26"/>
        <v>15.230473602862435</v>
      </c>
      <c r="M121" s="1011">
        <f t="shared" si="26"/>
        <v>4.169581854803333</v>
      </c>
      <c r="N121" s="1011">
        <f t="shared" si="26"/>
        <v>4.169581854803333</v>
      </c>
      <c r="O121" s="1007">
        <f t="shared" si="25"/>
        <v>94.425717408320338</v>
      </c>
      <c r="P121" s="89"/>
      <c r="Q121" s="89"/>
      <c r="R121" s="89"/>
      <c r="S121" s="89"/>
      <c r="T121" s="89"/>
      <c r="U121" s="89"/>
      <c r="V121" s="89"/>
      <c r="W121" s="89"/>
      <c r="X121" s="89"/>
      <c r="Y121" s="116"/>
    </row>
    <row r="122" spans="1:25" s="71" customFormat="1">
      <c r="A122" s="5"/>
      <c r="B122" s="370" t="s">
        <v>80</v>
      </c>
      <c r="C122" s="371">
        <f t="shared" ref="C122:N122" si="27">+C123+C126</f>
        <v>15.377641761306378</v>
      </c>
      <c r="D122" s="371">
        <f t="shared" si="27"/>
        <v>4.169581854803333</v>
      </c>
      <c r="E122" s="371">
        <f t="shared" si="27"/>
        <v>4.169581854803333</v>
      </c>
      <c r="F122" s="371">
        <f t="shared" si="27"/>
        <v>15.230473602862435</v>
      </c>
      <c r="G122" s="371">
        <f t="shared" si="27"/>
        <v>4.169581854803333</v>
      </c>
      <c r="H122" s="371">
        <f t="shared" si="27"/>
        <v>4.169581854803333</v>
      </c>
      <c r="I122" s="371">
        <f t="shared" si="27"/>
        <v>15.230473602862435</v>
      </c>
      <c r="J122" s="371">
        <f t="shared" si="27"/>
        <v>4.169581854803333</v>
      </c>
      <c r="K122" s="371">
        <f t="shared" si="27"/>
        <v>4.169581854803333</v>
      </c>
      <c r="L122" s="371">
        <f t="shared" si="27"/>
        <v>15.230473602862435</v>
      </c>
      <c r="M122" s="371">
        <f t="shared" si="27"/>
        <v>4.169581854803333</v>
      </c>
      <c r="N122" s="371">
        <f t="shared" si="27"/>
        <v>4.169581854803333</v>
      </c>
      <c r="O122" s="128">
        <f t="shared" si="25"/>
        <v>94.425717408320338</v>
      </c>
      <c r="P122" s="89"/>
      <c r="Q122" s="89"/>
      <c r="R122" s="89"/>
      <c r="S122" s="89"/>
      <c r="T122" s="89"/>
      <c r="U122" s="89"/>
      <c r="V122" s="89"/>
      <c r="W122" s="89"/>
      <c r="X122" s="89"/>
      <c r="Y122" s="116"/>
    </row>
    <row r="123" spans="1:25" s="71" customFormat="1">
      <c r="A123" s="5"/>
      <c r="B123" s="350" t="s">
        <v>82</v>
      </c>
      <c r="C123" s="1003">
        <f>+C124+C125</f>
        <v>4.169581854803333</v>
      </c>
      <c r="D123" s="1003">
        <f t="shared" ref="D123:N123" si="28">+D124</f>
        <v>4.169581854803333</v>
      </c>
      <c r="E123" s="1003">
        <f t="shared" si="28"/>
        <v>4.169581854803333</v>
      </c>
      <c r="F123" s="1003">
        <f t="shared" si="28"/>
        <v>4.169581854803333</v>
      </c>
      <c r="G123" s="1003">
        <f t="shared" si="28"/>
        <v>4.169581854803333</v>
      </c>
      <c r="H123" s="1003">
        <f t="shared" si="28"/>
        <v>4.169581854803333</v>
      </c>
      <c r="I123" s="1003">
        <f t="shared" si="28"/>
        <v>4.169581854803333</v>
      </c>
      <c r="J123" s="1003">
        <f t="shared" si="28"/>
        <v>4.169581854803333</v>
      </c>
      <c r="K123" s="1003">
        <f t="shared" si="28"/>
        <v>4.169581854803333</v>
      </c>
      <c r="L123" s="1003">
        <f t="shared" si="28"/>
        <v>4.169581854803333</v>
      </c>
      <c r="M123" s="1003">
        <f t="shared" si="28"/>
        <v>4.169581854803333</v>
      </c>
      <c r="N123" s="1003">
        <f t="shared" si="28"/>
        <v>4.169581854803333</v>
      </c>
      <c r="O123" s="1009">
        <f t="shared" si="25"/>
        <v>50.034982257639996</v>
      </c>
      <c r="P123" s="89"/>
      <c r="Q123" s="89"/>
      <c r="R123" s="89"/>
      <c r="S123" s="89"/>
      <c r="T123" s="89"/>
      <c r="U123" s="89"/>
      <c r="V123" s="89"/>
      <c r="W123" s="89"/>
      <c r="X123" s="89"/>
      <c r="Y123" s="116"/>
    </row>
    <row r="124" spans="1:25" s="71" customFormat="1">
      <c r="A124" s="5"/>
      <c r="B124" s="350" t="s">
        <v>813</v>
      </c>
      <c r="C124" s="1003">
        <v>4.169581854803333</v>
      </c>
      <c r="D124" s="1003">
        <v>4.169581854803333</v>
      </c>
      <c r="E124" s="1003">
        <v>4.169581854803333</v>
      </c>
      <c r="F124" s="1003">
        <v>4.169581854803333</v>
      </c>
      <c r="G124" s="1003">
        <v>4.169581854803333</v>
      </c>
      <c r="H124" s="1003">
        <v>4.169581854803333</v>
      </c>
      <c r="I124" s="1003">
        <v>4.169581854803333</v>
      </c>
      <c r="J124" s="1003">
        <v>4.169581854803333</v>
      </c>
      <c r="K124" s="1003">
        <v>4.169581854803333</v>
      </c>
      <c r="L124" s="1003">
        <v>4.169581854803333</v>
      </c>
      <c r="M124" s="1003">
        <v>4.169581854803333</v>
      </c>
      <c r="N124" s="1003">
        <v>4.169581854803333</v>
      </c>
      <c r="O124" s="1009">
        <f t="shared" si="25"/>
        <v>50.034982257639996</v>
      </c>
      <c r="P124" s="89"/>
      <c r="Q124" s="89"/>
      <c r="R124" s="89"/>
      <c r="S124" s="89"/>
      <c r="T124" s="89"/>
      <c r="U124" s="89"/>
      <c r="V124" s="89"/>
      <c r="W124" s="89"/>
      <c r="X124" s="89"/>
      <c r="Y124" s="116"/>
    </row>
    <row r="125" spans="1:25" s="71" customFormat="1">
      <c r="A125" s="5"/>
      <c r="B125" s="350" t="s">
        <v>85</v>
      </c>
      <c r="C125" s="1003">
        <v>0</v>
      </c>
      <c r="D125" s="1003">
        <v>0</v>
      </c>
      <c r="E125" s="1003">
        <v>0</v>
      </c>
      <c r="F125" s="1003">
        <v>0</v>
      </c>
      <c r="G125" s="1003">
        <v>0</v>
      </c>
      <c r="H125" s="1003">
        <v>0</v>
      </c>
      <c r="I125" s="1003">
        <v>0</v>
      </c>
      <c r="J125" s="1003">
        <v>0</v>
      </c>
      <c r="K125" s="1003">
        <v>0</v>
      </c>
      <c r="L125" s="1003">
        <v>0</v>
      </c>
      <c r="M125" s="1003">
        <v>0</v>
      </c>
      <c r="N125" s="1003">
        <v>0</v>
      </c>
      <c r="O125" s="1009">
        <f t="shared" si="25"/>
        <v>0</v>
      </c>
      <c r="P125" s="89"/>
      <c r="Q125" s="89"/>
      <c r="R125" s="89"/>
      <c r="S125" s="89"/>
      <c r="T125" s="89"/>
      <c r="U125" s="89"/>
      <c r="V125" s="89"/>
      <c r="W125" s="89"/>
      <c r="X125" s="89"/>
      <c r="Y125" s="116"/>
    </row>
    <row r="126" spans="1:25" s="71" customFormat="1">
      <c r="A126" s="5"/>
      <c r="B126" s="369" t="s">
        <v>86</v>
      </c>
      <c r="C126" s="1003">
        <f t="shared" ref="C126:N126" si="29">+C127+C128</f>
        <v>11.208059906503046</v>
      </c>
      <c r="D126" s="1003">
        <f t="shared" si="29"/>
        <v>0</v>
      </c>
      <c r="E126" s="1003">
        <f t="shared" si="29"/>
        <v>0</v>
      </c>
      <c r="F126" s="1003">
        <f t="shared" si="29"/>
        <v>11.060891748059102</v>
      </c>
      <c r="G126" s="1003">
        <f t="shared" si="29"/>
        <v>0</v>
      </c>
      <c r="H126" s="1003">
        <f t="shared" si="29"/>
        <v>0</v>
      </c>
      <c r="I126" s="1003">
        <f t="shared" si="29"/>
        <v>11.060891748059102</v>
      </c>
      <c r="J126" s="1003">
        <f t="shared" si="29"/>
        <v>0</v>
      </c>
      <c r="K126" s="1003">
        <f t="shared" si="29"/>
        <v>0</v>
      </c>
      <c r="L126" s="1003">
        <f t="shared" si="29"/>
        <v>11.060891748059102</v>
      </c>
      <c r="M126" s="1003">
        <f t="shared" si="29"/>
        <v>0</v>
      </c>
      <c r="N126" s="1003">
        <f t="shared" si="29"/>
        <v>0</v>
      </c>
      <c r="O126" s="1009">
        <f t="shared" si="25"/>
        <v>44.390735150680356</v>
      </c>
      <c r="P126" s="89"/>
      <c r="Q126" s="89"/>
      <c r="R126" s="89"/>
      <c r="S126" s="89"/>
      <c r="T126" s="89"/>
      <c r="U126" s="89"/>
      <c r="V126" s="89"/>
      <c r="W126" s="89"/>
      <c r="X126" s="89"/>
      <c r="Y126" s="116"/>
    </row>
    <row r="127" spans="1:25" s="71" customFormat="1">
      <c r="A127" s="5"/>
      <c r="B127" s="350" t="s">
        <v>813</v>
      </c>
      <c r="C127" s="1003">
        <v>11.060891748059102</v>
      </c>
      <c r="D127" s="1003">
        <v>0</v>
      </c>
      <c r="E127" s="1003">
        <v>0</v>
      </c>
      <c r="F127" s="1003">
        <v>11.060891748059102</v>
      </c>
      <c r="G127" s="1003">
        <v>0</v>
      </c>
      <c r="H127" s="1003">
        <v>0</v>
      </c>
      <c r="I127" s="1003">
        <v>11.060891748059102</v>
      </c>
      <c r="J127" s="1003">
        <v>0</v>
      </c>
      <c r="K127" s="1003">
        <v>0</v>
      </c>
      <c r="L127" s="1003">
        <v>11.060891748059102</v>
      </c>
      <c r="M127" s="1003">
        <v>0</v>
      </c>
      <c r="N127" s="1003">
        <v>0</v>
      </c>
      <c r="O127" s="1009">
        <f t="shared" si="25"/>
        <v>44.24356699223641</v>
      </c>
      <c r="P127" s="89"/>
      <c r="Q127" s="89"/>
      <c r="R127" s="89"/>
      <c r="S127" s="89"/>
      <c r="T127" s="89"/>
      <c r="U127" s="89"/>
      <c r="V127" s="89"/>
      <c r="W127" s="89"/>
      <c r="X127" s="89"/>
      <c r="Y127" s="116"/>
    </row>
    <row r="128" spans="1:25" s="71" customFormat="1">
      <c r="A128" s="5"/>
      <c r="B128" s="370" t="s">
        <v>85</v>
      </c>
      <c r="C128" s="371">
        <v>0.14716815844394357</v>
      </c>
      <c r="D128" s="371">
        <v>0</v>
      </c>
      <c r="E128" s="371">
        <v>0</v>
      </c>
      <c r="F128" s="371">
        <v>0</v>
      </c>
      <c r="G128" s="371">
        <v>0</v>
      </c>
      <c r="H128" s="371">
        <v>0</v>
      </c>
      <c r="I128" s="371">
        <v>0</v>
      </c>
      <c r="J128" s="371">
        <v>0</v>
      </c>
      <c r="K128" s="371">
        <v>0</v>
      </c>
      <c r="L128" s="371">
        <v>0</v>
      </c>
      <c r="M128" s="371">
        <v>0</v>
      </c>
      <c r="N128" s="371">
        <v>0</v>
      </c>
      <c r="O128" s="128">
        <f t="shared" si="25"/>
        <v>0.14716815844394357</v>
      </c>
      <c r="P128" s="89"/>
      <c r="Q128" s="89"/>
      <c r="R128" s="89"/>
      <c r="S128" s="89"/>
      <c r="T128" s="89"/>
      <c r="U128" s="89"/>
      <c r="V128" s="89"/>
      <c r="W128" s="89"/>
      <c r="X128" s="89"/>
      <c r="Y128" s="116"/>
    </row>
    <row r="129" spans="1:25" s="71" customFormat="1">
      <c r="A129" s="5"/>
      <c r="B129" s="350" t="s">
        <v>954</v>
      </c>
      <c r="C129" s="1003">
        <f>+C130+C131</f>
        <v>0</v>
      </c>
      <c r="D129" s="1003">
        <f t="shared" ref="D129:N129" si="30">+D130+D131</f>
        <v>0</v>
      </c>
      <c r="E129" s="1003">
        <f t="shared" si="30"/>
        <v>0</v>
      </c>
      <c r="F129" s="1003">
        <f t="shared" si="30"/>
        <v>0</v>
      </c>
      <c r="G129" s="1003">
        <f t="shared" si="30"/>
        <v>0</v>
      </c>
      <c r="H129" s="1003">
        <f t="shared" si="30"/>
        <v>0</v>
      </c>
      <c r="I129" s="1003">
        <f t="shared" si="30"/>
        <v>0</v>
      </c>
      <c r="J129" s="1003">
        <f t="shared" si="30"/>
        <v>0</v>
      </c>
      <c r="K129" s="1003">
        <f t="shared" si="30"/>
        <v>0</v>
      </c>
      <c r="L129" s="1003">
        <f t="shared" si="30"/>
        <v>0</v>
      </c>
      <c r="M129" s="1003">
        <f t="shared" si="30"/>
        <v>0</v>
      </c>
      <c r="N129" s="1003">
        <f t="shared" si="30"/>
        <v>0</v>
      </c>
      <c r="O129" s="1009">
        <f t="shared" si="25"/>
        <v>0</v>
      </c>
      <c r="P129" s="89"/>
      <c r="Q129" s="89"/>
      <c r="R129" s="89"/>
      <c r="S129" s="89"/>
      <c r="T129" s="89"/>
      <c r="U129" s="89"/>
      <c r="V129" s="89"/>
      <c r="W129" s="89"/>
      <c r="X129" s="89"/>
      <c r="Y129" s="116"/>
    </row>
    <row r="130" spans="1:25" s="71" customFormat="1">
      <c r="A130" s="5"/>
      <c r="B130" s="350" t="s">
        <v>955</v>
      </c>
      <c r="C130" s="1003">
        <v>0</v>
      </c>
      <c r="D130" s="1003">
        <v>0</v>
      </c>
      <c r="E130" s="1003">
        <v>0</v>
      </c>
      <c r="F130" s="1003">
        <v>0</v>
      </c>
      <c r="G130" s="1003">
        <v>0</v>
      </c>
      <c r="H130" s="1003">
        <v>0</v>
      </c>
      <c r="I130" s="1003">
        <v>0</v>
      </c>
      <c r="J130" s="1003">
        <v>0</v>
      </c>
      <c r="K130" s="1003">
        <v>0</v>
      </c>
      <c r="L130" s="1003">
        <v>0</v>
      </c>
      <c r="M130" s="1003">
        <v>0</v>
      </c>
      <c r="N130" s="1003">
        <v>0</v>
      </c>
      <c r="O130" s="1009">
        <f t="shared" si="25"/>
        <v>0</v>
      </c>
      <c r="P130" s="89"/>
      <c r="Q130" s="89"/>
      <c r="R130" s="89"/>
      <c r="S130" s="89"/>
      <c r="T130" s="89"/>
      <c r="U130" s="89"/>
      <c r="V130" s="89"/>
      <c r="W130" s="89"/>
      <c r="X130" s="89"/>
      <c r="Y130" s="116"/>
    </row>
    <row r="131" spans="1:25" s="71" customFormat="1">
      <c r="A131" s="5"/>
      <c r="B131" s="350" t="s">
        <v>956</v>
      </c>
      <c r="C131" s="1003">
        <v>0</v>
      </c>
      <c r="D131" s="1003">
        <v>0</v>
      </c>
      <c r="E131" s="1003">
        <v>0</v>
      </c>
      <c r="F131" s="1003">
        <v>0</v>
      </c>
      <c r="G131" s="1003">
        <v>0</v>
      </c>
      <c r="H131" s="1003">
        <v>0</v>
      </c>
      <c r="I131" s="1003">
        <v>0</v>
      </c>
      <c r="J131" s="1003">
        <v>0</v>
      </c>
      <c r="K131" s="1003">
        <v>0</v>
      </c>
      <c r="L131" s="1003">
        <v>0</v>
      </c>
      <c r="M131" s="1003">
        <v>0</v>
      </c>
      <c r="N131" s="1003">
        <v>0</v>
      </c>
      <c r="O131" s="1009">
        <f t="shared" si="25"/>
        <v>0</v>
      </c>
      <c r="P131" s="89"/>
      <c r="Q131" s="89"/>
      <c r="R131" s="89"/>
      <c r="S131" s="89"/>
      <c r="T131" s="89"/>
      <c r="U131" s="89"/>
      <c r="V131" s="89"/>
      <c r="W131" s="89"/>
      <c r="X131" s="89"/>
      <c r="Y131" s="116"/>
    </row>
    <row r="132" spans="1:25" s="71" customFormat="1">
      <c r="A132" s="5"/>
      <c r="B132" s="350"/>
      <c r="C132" s="1003"/>
      <c r="D132" s="1003"/>
      <c r="E132" s="1003"/>
      <c r="F132" s="1003"/>
      <c r="G132" s="1003"/>
      <c r="H132" s="1003"/>
      <c r="I132" s="1003"/>
      <c r="J132" s="1003"/>
      <c r="K132" s="1003"/>
      <c r="L132" s="1003"/>
      <c r="M132" s="1003"/>
      <c r="N132" s="1003"/>
      <c r="O132" s="1009"/>
      <c r="P132" s="89"/>
      <c r="Q132" s="89"/>
      <c r="R132" s="89"/>
      <c r="S132" s="89"/>
      <c r="T132" s="89"/>
      <c r="U132" s="89"/>
      <c r="V132" s="89"/>
      <c r="W132" s="89"/>
      <c r="X132" s="89"/>
      <c r="Y132" s="116"/>
    </row>
    <row r="133" spans="1:25" s="71" customFormat="1">
      <c r="A133" s="5"/>
      <c r="B133" s="350"/>
      <c r="C133" s="1003"/>
      <c r="D133" s="1003"/>
      <c r="E133" s="1003"/>
      <c r="F133" s="1003"/>
      <c r="G133" s="1003"/>
      <c r="H133" s="1003"/>
      <c r="I133" s="1003"/>
      <c r="J133" s="1003"/>
      <c r="K133" s="1003"/>
      <c r="L133" s="1003"/>
      <c r="M133" s="1003"/>
      <c r="N133" s="1003"/>
      <c r="O133" s="1009"/>
      <c r="P133" s="89"/>
      <c r="Q133" s="89"/>
      <c r="R133" s="89"/>
      <c r="S133" s="89"/>
      <c r="T133" s="89"/>
      <c r="U133" s="89"/>
      <c r="V133" s="89"/>
      <c r="W133" s="89"/>
      <c r="X133" s="89"/>
      <c r="Y133" s="116"/>
    </row>
    <row r="134" spans="1:25" s="71" customFormat="1">
      <c r="A134" s="5"/>
      <c r="B134" s="337" t="s">
        <v>105</v>
      </c>
      <c r="C134" s="338">
        <f t="shared" ref="C134:N134" si="31">+C135+C136</f>
        <v>74.312244167028553</v>
      </c>
      <c r="D134" s="338">
        <f t="shared" si="31"/>
        <v>731.22675301050469</v>
      </c>
      <c r="E134" s="338">
        <f t="shared" si="31"/>
        <v>63.091212990636535</v>
      </c>
      <c r="F134" s="338">
        <f t="shared" si="31"/>
        <v>74.309294118443546</v>
      </c>
      <c r="G134" s="338">
        <f t="shared" si="31"/>
        <v>63.3002948370344</v>
      </c>
      <c r="H134" s="338">
        <f t="shared" si="31"/>
        <v>4905.1532992717948</v>
      </c>
      <c r="I134" s="338">
        <f t="shared" si="31"/>
        <v>2882.2310784258407</v>
      </c>
      <c r="J134" s="338">
        <f t="shared" si="31"/>
        <v>10.600428736512992</v>
      </c>
      <c r="K134" s="338">
        <f t="shared" si="31"/>
        <v>1900.2665537788369</v>
      </c>
      <c r="L134" s="338">
        <f t="shared" si="31"/>
        <v>1065.2595962868927</v>
      </c>
      <c r="M134" s="338">
        <f t="shared" si="31"/>
        <v>10.755743007487197</v>
      </c>
      <c r="N134" s="338">
        <f t="shared" si="31"/>
        <v>10.811035574646391</v>
      </c>
      <c r="O134" s="123">
        <f t="shared" si="25"/>
        <v>11791.317534205657</v>
      </c>
      <c r="P134" s="89"/>
      <c r="Q134" s="89"/>
      <c r="R134" s="89"/>
      <c r="S134" s="89"/>
      <c r="T134" s="89"/>
      <c r="U134" s="89"/>
      <c r="V134" s="89"/>
      <c r="W134" s="89"/>
      <c r="X134" s="89"/>
      <c r="Y134" s="116"/>
    </row>
    <row r="135" spans="1:25" s="71" customFormat="1">
      <c r="A135" s="5"/>
      <c r="B135" s="1008" t="s">
        <v>106</v>
      </c>
      <c r="C135" s="1011">
        <v>4.169581854803333</v>
      </c>
      <c r="D135" s="1011">
        <v>4.169581854803333</v>
      </c>
      <c r="E135" s="1011">
        <v>4.169581854803333</v>
      </c>
      <c r="F135" s="1011">
        <v>4.169581854803333</v>
      </c>
      <c r="G135" s="1011">
        <v>4.169581854803333</v>
      </c>
      <c r="H135" s="1011">
        <v>4.169581854803333</v>
      </c>
      <c r="I135" s="1011">
        <v>2864.7871560862463</v>
      </c>
      <c r="J135" s="1011">
        <v>4.169581854803333</v>
      </c>
      <c r="K135" s="1011">
        <v>4.169581854803333</v>
      </c>
      <c r="L135" s="1011">
        <v>4.169581854803333</v>
      </c>
      <c r="M135" s="1011">
        <v>4.169581854803333</v>
      </c>
      <c r="N135" s="1011">
        <v>4.169581854803333</v>
      </c>
      <c r="O135" s="1007">
        <f t="shared" si="25"/>
        <v>2910.6525564890826</v>
      </c>
      <c r="P135" s="89"/>
      <c r="Q135" s="89"/>
      <c r="R135" s="89"/>
      <c r="S135" s="89"/>
      <c r="T135" s="89"/>
      <c r="U135" s="89"/>
      <c r="V135" s="89"/>
      <c r="W135" s="89"/>
      <c r="X135" s="89"/>
      <c r="Y135" s="116"/>
    </row>
    <row r="136" spans="1:25" s="71" customFormat="1">
      <c r="A136" s="5"/>
      <c r="B136" s="1008" t="s">
        <v>542</v>
      </c>
      <c r="C136" s="1011">
        <v>70.142662312225227</v>
      </c>
      <c r="D136" s="1011">
        <v>727.05717115570133</v>
      </c>
      <c r="E136" s="1011">
        <v>58.921631135833202</v>
      </c>
      <c r="F136" s="1011">
        <v>70.139712263640206</v>
      </c>
      <c r="G136" s="1011">
        <v>59.130712982231067</v>
      </c>
      <c r="H136" s="1011">
        <v>4900.9837174169916</v>
      </c>
      <c r="I136" s="1011">
        <v>17.443922339594288</v>
      </c>
      <c r="J136" s="1011">
        <v>6.430846881709658</v>
      </c>
      <c r="K136" s="1011">
        <v>1896.0969719240336</v>
      </c>
      <c r="L136" s="1011">
        <v>1061.0900144320894</v>
      </c>
      <c r="M136" s="1011">
        <v>6.5861611526838635</v>
      </c>
      <c r="N136" s="1011">
        <v>6.6414537198430583</v>
      </c>
      <c r="O136" s="1007">
        <f t="shared" si="25"/>
        <v>8880.6649777165767</v>
      </c>
      <c r="P136" s="89"/>
      <c r="Q136" s="89"/>
      <c r="R136" s="89"/>
      <c r="S136" s="89"/>
      <c r="T136" s="89"/>
      <c r="U136" s="89"/>
      <c r="V136" s="89"/>
      <c r="W136" s="89"/>
      <c r="X136" s="89"/>
      <c r="Y136" s="116"/>
    </row>
    <row r="137" spans="1:25" s="71" customFormat="1">
      <c r="A137" s="5"/>
      <c r="B137" s="337" t="s">
        <v>107</v>
      </c>
      <c r="C137" s="338">
        <v>7835.8985888002226</v>
      </c>
      <c r="D137" s="338">
        <v>151.40930741517943</v>
      </c>
      <c r="E137" s="338">
        <v>2388.6873801145393</v>
      </c>
      <c r="F137" s="338">
        <v>4702.5484724575963</v>
      </c>
      <c r="G137" s="338">
        <v>1506.3533368149649</v>
      </c>
      <c r="H137" s="338">
        <v>172.52427656356079</v>
      </c>
      <c r="I137" s="338">
        <v>331.08453223383702</v>
      </c>
      <c r="J137" s="338">
        <v>138.31911972113812</v>
      </c>
      <c r="K137" s="338">
        <v>2102.3056707571272</v>
      </c>
      <c r="L137" s="338">
        <v>168.38057664628579</v>
      </c>
      <c r="M137" s="338">
        <v>179.11204590001671</v>
      </c>
      <c r="N137" s="338">
        <v>2340.5073568212642</v>
      </c>
      <c r="O137" s="123">
        <f t="shared" si="25"/>
        <v>22017.130664245728</v>
      </c>
      <c r="P137" s="89"/>
      <c r="Q137" s="89"/>
      <c r="R137" s="89"/>
      <c r="S137" s="89"/>
      <c r="T137" s="89"/>
      <c r="U137" s="89"/>
      <c r="V137" s="89"/>
      <c r="W137" s="89"/>
      <c r="X137" s="89"/>
      <c r="Y137" s="116"/>
    </row>
    <row r="138" spans="1:25" s="993" customFormat="1">
      <c r="A138" s="5"/>
      <c r="B138" s="454"/>
      <c r="C138" s="454"/>
      <c r="D138" s="454"/>
      <c r="E138" s="454"/>
      <c r="F138" s="454"/>
      <c r="G138" s="454"/>
      <c r="H138" s="454"/>
      <c r="I138" s="454"/>
      <c r="J138" s="454"/>
      <c r="K138" s="454"/>
      <c r="L138" s="454"/>
      <c r="M138" s="454"/>
      <c r="N138" s="454"/>
      <c r="O138" s="454"/>
      <c r="P138" s="89"/>
      <c r="Q138" s="89"/>
      <c r="R138" s="89"/>
      <c r="S138" s="89"/>
      <c r="T138" s="89"/>
      <c r="U138" s="89"/>
      <c r="V138" s="89"/>
      <c r="W138" s="89"/>
      <c r="X138" s="89"/>
      <c r="Y138" s="116"/>
    </row>
    <row r="139" spans="1:25" s="71" customFormat="1">
      <c r="A139" s="5"/>
      <c r="B139" s="97" t="s">
        <v>345</v>
      </c>
      <c r="C139" s="1310"/>
      <c r="D139" s="1012"/>
      <c r="E139" s="1012"/>
      <c r="F139" s="1012"/>
      <c r="G139" s="1012"/>
      <c r="H139" s="1012"/>
      <c r="I139" s="1012"/>
      <c r="J139" s="1012"/>
      <c r="K139" s="1012"/>
      <c r="L139" s="1012"/>
      <c r="M139" s="1012"/>
      <c r="N139" s="1012"/>
      <c r="O139" s="454"/>
      <c r="P139" s="89"/>
      <c r="Q139" s="89"/>
      <c r="R139" s="89"/>
      <c r="S139" s="89"/>
      <c r="T139" s="89"/>
      <c r="U139" s="89"/>
      <c r="V139" s="89"/>
      <c r="W139" s="89"/>
      <c r="X139" s="89"/>
      <c r="Y139" s="116"/>
    </row>
    <row r="140" spans="1:25" s="71" customFormat="1">
      <c r="A140" s="1"/>
      <c r="B140" s="116"/>
      <c r="C140" s="1311"/>
      <c r="D140" s="1311"/>
      <c r="E140" s="1311"/>
      <c r="F140" s="1311"/>
      <c r="G140" s="1311"/>
      <c r="H140" s="1311"/>
      <c r="I140" s="1311"/>
      <c r="J140" s="1311"/>
      <c r="K140" s="1311"/>
      <c r="L140" s="1311"/>
      <c r="M140" s="1311"/>
      <c r="N140" s="1311"/>
      <c r="O140" s="1311"/>
      <c r="P140" s="89"/>
      <c r="Q140" s="89"/>
      <c r="R140" s="89"/>
      <c r="S140" s="89"/>
      <c r="T140" s="89"/>
      <c r="U140" s="89"/>
      <c r="V140" s="89"/>
      <c r="W140" s="89"/>
      <c r="X140" s="89"/>
      <c r="Y140" s="116"/>
    </row>
    <row r="141" spans="1:25" s="71" customFormat="1">
      <c r="A141" s="1"/>
      <c r="B141" s="116"/>
      <c r="C141" s="1311"/>
      <c r="D141" s="1311"/>
      <c r="E141" s="1311"/>
      <c r="F141" s="1311"/>
      <c r="G141" s="1311"/>
      <c r="H141" s="1311"/>
      <c r="I141" s="1311"/>
      <c r="J141" s="1311"/>
      <c r="K141" s="1311"/>
      <c r="L141" s="1311"/>
      <c r="M141" s="1311"/>
      <c r="N141" s="1311"/>
      <c r="O141" s="1311"/>
      <c r="P141" s="89"/>
      <c r="Q141" s="89"/>
      <c r="R141" s="89"/>
      <c r="S141" s="89"/>
      <c r="T141" s="89"/>
      <c r="U141" s="89"/>
      <c r="V141" s="89"/>
      <c r="W141" s="89"/>
      <c r="X141" s="89"/>
      <c r="Y141" s="116"/>
    </row>
    <row r="142" spans="1:25" s="71" customFormat="1">
      <c r="A142" s="1"/>
      <c r="B142" s="116"/>
      <c r="C142" s="1311"/>
      <c r="D142" s="1311"/>
      <c r="E142" s="1311"/>
      <c r="F142" s="1311"/>
      <c r="G142" s="1311"/>
      <c r="H142" s="1311"/>
      <c r="I142" s="1311"/>
      <c r="J142" s="1311"/>
      <c r="K142" s="1311"/>
      <c r="L142" s="1311"/>
      <c r="M142" s="1311"/>
      <c r="N142" s="1311"/>
      <c r="O142" s="1311"/>
      <c r="P142" s="89"/>
      <c r="Q142" s="89"/>
      <c r="R142" s="89"/>
      <c r="S142" s="89"/>
      <c r="T142" s="89"/>
      <c r="U142" s="89"/>
      <c r="V142" s="89"/>
      <c r="W142" s="89"/>
      <c r="X142" s="89"/>
      <c r="Y142" s="116"/>
    </row>
    <row r="143" spans="1:25" s="71" customFormat="1">
      <c r="A143" s="1"/>
      <c r="B143" s="116"/>
      <c r="C143" s="1311"/>
      <c r="D143" s="1311"/>
      <c r="E143" s="1311"/>
      <c r="F143" s="1311"/>
      <c r="G143" s="1311"/>
      <c r="H143" s="1311"/>
      <c r="I143" s="1311"/>
      <c r="J143" s="1311"/>
      <c r="K143" s="1311"/>
      <c r="L143" s="1311"/>
      <c r="M143" s="1311"/>
      <c r="N143" s="1311"/>
      <c r="O143" s="1311"/>
      <c r="P143" s="89"/>
      <c r="Q143" s="89"/>
      <c r="R143" s="89"/>
      <c r="S143" s="89"/>
      <c r="T143" s="89"/>
      <c r="U143" s="89"/>
      <c r="V143" s="89"/>
      <c r="W143" s="89"/>
      <c r="X143" s="89"/>
      <c r="Y143" s="116"/>
    </row>
    <row r="144" spans="1:25" s="71" customFormat="1">
      <c r="A144" s="1"/>
      <c r="B144" s="116"/>
      <c r="C144" s="1311"/>
      <c r="D144" s="116"/>
      <c r="E144" s="116"/>
      <c r="F144" s="116"/>
      <c r="G144" s="116"/>
      <c r="H144" s="116"/>
      <c r="I144" s="116"/>
      <c r="J144" s="116"/>
      <c r="K144" s="116"/>
      <c r="L144" s="116"/>
      <c r="M144" s="116"/>
      <c r="N144" s="116"/>
      <c r="O144" s="116"/>
      <c r="P144" s="89"/>
      <c r="Q144" s="89"/>
      <c r="R144" s="89"/>
      <c r="S144" s="89"/>
      <c r="T144" s="89"/>
      <c r="U144" s="89"/>
      <c r="V144" s="89"/>
      <c r="W144" s="89"/>
      <c r="X144" s="89"/>
      <c r="Y144" s="116"/>
    </row>
    <row r="145" spans="1:25" s="71" customFormat="1">
      <c r="A145" s="1"/>
      <c r="B145" s="116"/>
      <c r="C145" s="1311"/>
      <c r="D145" s="116"/>
      <c r="E145" s="116"/>
      <c r="F145" s="116"/>
      <c r="G145" s="116"/>
      <c r="H145" s="116"/>
      <c r="I145" s="116"/>
      <c r="J145" s="116"/>
      <c r="K145" s="116"/>
      <c r="L145" s="116"/>
      <c r="M145" s="116"/>
      <c r="N145" s="116"/>
      <c r="O145" s="116"/>
      <c r="P145" s="89"/>
      <c r="Q145" s="89"/>
      <c r="R145" s="89"/>
      <c r="S145" s="89"/>
      <c r="T145" s="89"/>
      <c r="U145" s="89"/>
      <c r="V145" s="89"/>
      <c r="W145" s="89"/>
      <c r="X145" s="89"/>
      <c r="Y145" s="116"/>
    </row>
    <row r="146" spans="1:25" s="71" customFormat="1">
      <c r="A146" s="1"/>
      <c r="B146" s="116"/>
      <c r="C146" s="1311"/>
      <c r="D146" s="116"/>
      <c r="E146" s="116"/>
      <c r="F146" s="116"/>
      <c r="G146" s="116"/>
      <c r="H146" s="116"/>
      <c r="I146" s="116"/>
      <c r="J146" s="116"/>
      <c r="K146" s="116"/>
      <c r="L146" s="116"/>
      <c r="M146" s="116"/>
      <c r="N146" s="116"/>
      <c r="O146" s="116"/>
      <c r="P146" s="89"/>
      <c r="Q146" s="89"/>
      <c r="R146" s="89"/>
      <c r="S146" s="89"/>
      <c r="T146" s="89"/>
      <c r="U146" s="89"/>
      <c r="V146" s="89"/>
      <c r="W146" s="89"/>
      <c r="X146" s="89"/>
      <c r="Y146" s="116"/>
    </row>
    <row r="147" spans="1:25" s="71" customFormat="1">
      <c r="A147" s="1"/>
      <c r="B147" s="116"/>
      <c r="C147" s="116"/>
      <c r="D147" s="116"/>
      <c r="E147" s="116"/>
      <c r="F147" s="116"/>
      <c r="G147" s="116"/>
      <c r="H147" s="116"/>
      <c r="I147" s="116"/>
      <c r="J147" s="116"/>
      <c r="K147" s="116"/>
      <c r="L147" s="116"/>
      <c r="M147" s="116"/>
      <c r="N147" s="116"/>
      <c r="O147" s="116"/>
      <c r="P147" s="89"/>
      <c r="Q147" s="89"/>
      <c r="R147" s="89"/>
      <c r="S147" s="89"/>
      <c r="T147" s="89"/>
      <c r="U147" s="89"/>
      <c r="V147" s="89"/>
      <c r="W147" s="89"/>
      <c r="X147" s="89"/>
      <c r="Y147" s="116"/>
    </row>
    <row r="148" spans="1:25" s="71" customFormat="1">
      <c r="A148" s="1"/>
      <c r="B148" s="116"/>
      <c r="C148" s="116"/>
      <c r="D148" s="116"/>
      <c r="E148" s="116"/>
      <c r="F148" s="116"/>
      <c r="G148" s="116"/>
      <c r="H148" s="116"/>
      <c r="I148" s="116"/>
      <c r="J148" s="116"/>
      <c r="K148" s="116"/>
      <c r="L148" s="116"/>
      <c r="M148" s="116"/>
      <c r="N148" s="116"/>
      <c r="O148" s="116"/>
      <c r="P148" s="89"/>
      <c r="Q148" s="89"/>
      <c r="R148" s="89"/>
      <c r="S148" s="89"/>
      <c r="T148" s="89"/>
      <c r="U148" s="89"/>
      <c r="V148" s="89"/>
      <c r="W148" s="89"/>
      <c r="X148" s="89"/>
      <c r="Y148" s="116"/>
    </row>
    <row r="149" spans="1:25" s="71" customFormat="1">
      <c r="A149" s="1"/>
      <c r="B149" s="116"/>
      <c r="C149" s="116"/>
      <c r="D149" s="116"/>
      <c r="E149" s="116"/>
      <c r="F149" s="116"/>
      <c r="G149" s="116"/>
      <c r="H149" s="116"/>
      <c r="I149" s="116"/>
      <c r="J149" s="116"/>
      <c r="K149" s="116"/>
      <c r="L149" s="116"/>
      <c r="M149" s="116"/>
      <c r="N149" s="116"/>
      <c r="O149" s="116"/>
      <c r="P149" s="89"/>
      <c r="Q149" s="89"/>
      <c r="R149" s="89"/>
      <c r="S149" s="89"/>
      <c r="T149" s="89"/>
      <c r="U149" s="89"/>
      <c r="V149" s="89"/>
      <c r="W149" s="89"/>
      <c r="X149" s="89"/>
      <c r="Y149" s="116"/>
    </row>
    <row r="150" spans="1:25" s="71" customFormat="1">
      <c r="A150" s="1"/>
      <c r="B150" s="116"/>
      <c r="C150" s="116"/>
      <c r="D150" s="116"/>
      <c r="E150" s="116"/>
      <c r="F150" s="116"/>
      <c r="G150" s="116"/>
      <c r="H150" s="116"/>
      <c r="I150" s="116"/>
      <c r="J150" s="116"/>
      <c r="K150" s="116"/>
      <c r="L150" s="116"/>
      <c r="M150" s="116"/>
      <c r="N150" s="116"/>
      <c r="O150" s="116"/>
      <c r="P150" s="89"/>
      <c r="Q150" s="89"/>
      <c r="R150" s="89"/>
      <c r="S150" s="89"/>
      <c r="T150" s="89"/>
      <c r="U150" s="89"/>
      <c r="V150" s="89"/>
      <c r="W150" s="89"/>
      <c r="X150" s="89"/>
      <c r="Y150" s="116"/>
    </row>
    <row r="151" spans="1:25" s="71" customFormat="1">
      <c r="A151" s="1"/>
      <c r="B151" s="116"/>
      <c r="C151" s="116"/>
      <c r="D151" s="116"/>
      <c r="E151" s="116"/>
      <c r="F151" s="116"/>
      <c r="G151" s="116"/>
      <c r="H151" s="116"/>
      <c r="I151" s="116"/>
      <c r="J151" s="116"/>
      <c r="K151" s="116"/>
      <c r="L151" s="116"/>
      <c r="M151" s="116"/>
      <c r="N151" s="116"/>
      <c r="O151" s="116"/>
      <c r="P151" s="89"/>
      <c r="Q151" s="89"/>
      <c r="R151" s="89"/>
      <c r="S151" s="89"/>
      <c r="T151" s="89"/>
      <c r="U151" s="89"/>
      <c r="V151" s="89"/>
      <c r="W151" s="89"/>
      <c r="X151" s="89"/>
      <c r="Y151" s="116"/>
    </row>
    <row r="152" spans="1:25" s="71" customFormat="1">
      <c r="A152" s="1"/>
      <c r="B152" s="116"/>
      <c r="C152" s="116"/>
      <c r="D152" s="116"/>
      <c r="E152" s="116"/>
      <c r="F152" s="116"/>
      <c r="G152" s="116"/>
      <c r="H152" s="116"/>
      <c r="I152" s="116"/>
      <c r="J152" s="116"/>
      <c r="K152" s="116"/>
      <c r="L152" s="116"/>
      <c r="M152" s="116"/>
      <c r="N152" s="116"/>
      <c r="O152" s="116"/>
      <c r="P152" s="89"/>
      <c r="Q152" s="89"/>
      <c r="R152" s="89"/>
      <c r="S152" s="89"/>
      <c r="T152" s="89"/>
      <c r="U152" s="89"/>
      <c r="V152" s="89"/>
      <c r="W152" s="89"/>
      <c r="X152" s="89"/>
      <c r="Y152" s="116"/>
    </row>
    <row r="153" spans="1:25" s="71" customFormat="1">
      <c r="A153" s="1"/>
      <c r="B153" s="116"/>
      <c r="C153" s="116"/>
      <c r="D153" s="116"/>
      <c r="E153" s="116"/>
      <c r="F153" s="116"/>
      <c r="G153" s="116"/>
      <c r="H153" s="116"/>
      <c r="I153" s="116"/>
      <c r="J153" s="116"/>
      <c r="K153" s="116"/>
      <c r="L153" s="116"/>
      <c r="M153" s="116"/>
      <c r="N153" s="116"/>
      <c r="O153" s="116"/>
      <c r="P153" s="89"/>
      <c r="Q153" s="89"/>
      <c r="R153" s="89"/>
      <c r="S153" s="89"/>
      <c r="T153" s="89"/>
      <c r="U153" s="89"/>
      <c r="V153" s="89"/>
      <c r="W153" s="89"/>
      <c r="X153" s="89"/>
      <c r="Y153" s="116"/>
    </row>
    <row r="154" spans="1:25" s="71" customFormat="1">
      <c r="A154" s="1"/>
      <c r="B154" s="116"/>
      <c r="P154" s="89"/>
      <c r="Q154" s="89"/>
      <c r="R154" s="89"/>
      <c r="S154" s="89"/>
      <c r="T154" s="89"/>
      <c r="U154" s="89"/>
      <c r="V154" s="89"/>
      <c r="W154" s="89"/>
      <c r="X154" s="89"/>
      <c r="Y154" s="116"/>
    </row>
    <row r="155" spans="1:25" s="71" customFormat="1">
      <c r="A155" s="1"/>
      <c r="B155" s="116"/>
      <c r="D155" s="980"/>
      <c r="P155" s="89"/>
      <c r="Q155" s="89"/>
      <c r="R155" s="89"/>
      <c r="S155" s="89"/>
      <c r="T155" s="89"/>
      <c r="U155" s="89"/>
      <c r="V155" s="89"/>
      <c r="W155" s="89"/>
      <c r="X155" s="89"/>
      <c r="Y155" s="116"/>
    </row>
    <row r="156" spans="1:25" s="71" customFormat="1">
      <c r="A156" s="1"/>
      <c r="B156" s="116"/>
      <c r="P156" s="89"/>
      <c r="Q156" s="89"/>
      <c r="R156" s="89"/>
      <c r="S156" s="89"/>
      <c r="T156" s="89"/>
      <c r="U156" s="89"/>
      <c r="V156" s="89"/>
      <c r="W156" s="89"/>
      <c r="X156" s="89"/>
      <c r="Y156" s="116"/>
    </row>
    <row r="157" spans="1:25" s="71" customFormat="1">
      <c r="A157" s="1"/>
      <c r="B157" s="116"/>
      <c r="P157" s="89"/>
      <c r="Q157" s="89"/>
      <c r="R157" s="89"/>
      <c r="S157" s="89"/>
      <c r="T157" s="89"/>
      <c r="U157" s="89"/>
      <c r="V157" s="89"/>
      <c r="W157" s="89"/>
      <c r="X157" s="89"/>
      <c r="Y157" s="116"/>
    </row>
    <row r="158" spans="1:25" s="71" customFormat="1">
      <c r="A158" s="1"/>
      <c r="B158" s="116"/>
      <c r="P158" s="89"/>
      <c r="Q158" s="89"/>
      <c r="R158" s="89"/>
      <c r="S158" s="89"/>
      <c r="T158" s="89"/>
      <c r="U158" s="89"/>
      <c r="V158" s="89"/>
      <c r="W158" s="89"/>
      <c r="X158" s="89"/>
      <c r="Y158" s="116"/>
    </row>
    <row r="159" spans="1:25" s="71" customFormat="1" hidden="1">
      <c r="A159" s="1"/>
      <c r="B159" s="116"/>
      <c r="P159" s="89"/>
      <c r="Q159" s="89"/>
      <c r="R159" s="89"/>
      <c r="S159" s="89"/>
      <c r="T159" s="89"/>
      <c r="U159" s="89"/>
      <c r="V159" s="89"/>
      <c r="W159" s="89"/>
      <c r="X159" s="89"/>
      <c r="Y159" s="116"/>
    </row>
    <row r="160" spans="1:25" s="71" customFormat="1">
      <c r="A160" s="1"/>
      <c r="B160" s="116"/>
      <c r="P160" s="89"/>
      <c r="Q160" s="89"/>
      <c r="R160" s="89"/>
      <c r="S160" s="89"/>
      <c r="T160" s="89"/>
      <c r="U160" s="89"/>
      <c r="V160" s="89"/>
      <c r="W160" s="89"/>
      <c r="X160" s="89"/>
      <c r="Y160" s="116"/>
    </row>
    <row r="161" spans="1:25" s="71" customFormat="1">
      <c r="A161" s="1"/>
      <c r="B161" s="116"/>
      <c r="P161" s="89"/>
      <c r="Q161" s="89"/>
      <c r="R161" s="89"/>
      <c r="S161" s="89"/>
      <c r="T161" s="89"/>
      <c r="U161" s="89"/>
      <c r="V161" s="89"/>
      <c r="W161" s="89"/>
      <c r="X161" s="89"/>
      <c r="Y161" s="116"/>
    </row>
    <row r="162" spans="1:25" s="71" customFormat="1">
      <c r="A162" s="1"/>
      <c r="B162" s="116"/>
      <c r="P162" s="89"/>
      <c r="Q162" s="89"/>
      <c r="R162" s="89"/>
      <c r="S162" s="89"/>
      <c r="T162" s="89"/>
      <c r="U162" s="89"/>
      <c r="V162" s="89"/>
      <c r="W162" s="89"/>
      <c r="X162" s="89"/>
      <c r="Y162" s="116"/>
    </row>
    <row r="163" spans="1:25" s="71" customFormat="1">
      <c r="A163" s="1"/>
      <c r="B163" s="116"/>
      <c r="P163" s="89"/>
      <c r="Q163" s="89"/>
      <c r="R163" s="89"/>
      <c r="S163" s="89"/>
      <c r="T163" s="89"/>
      <c r="U163" s="89"/>
      <c r="V163" s="89"/>
      <c r="W163" s="89"/>
      <c r="X163" s="89"/>
      <c r="Y163" s="116"/>
    </row>
    <row r="164" spans="1:25" s="71" customFormat="1">
      <c r="A164" s="1"/>
      <c r="B164" s="116"/>
      <c r="P164" s="89"/>
      <c r="Q164" s="89"/>
      <c r="R164" s="89"/>
      <c r="S164" s="89"/>
      <c r="T164" s="89"/>
      <c r="U164" s="89"/>
      <c r="V164" s="89"/>
      <c r="W164" s="89"/>
      <c r="X164" s="89"/>
      <c r="Y164" s="116"/>
    </row>
    <row r="165" spans="1:25" s="71" customFormat="1">
      <c r="A165" s="1"/>
      <c r="B165" s="116"/>
      <c r="P165" s="89"/>
      <c r="Q165" s="89"/>
      <c r="R165" s="89"/>
      <c r="S165" s="89"/>
      <c r="T165" s="89"/>
      <c r="U165" s="89"/>
      <c r="V165" s="89"/>
      <c r="W165" s="89"/>
      <c r="X165" s="89"/>
      <c r="Y165" s="116"/>
    </row>
    <row r="166" spans="1:25" s="71" customFormat="1">
      <c r="A166" s="1"/>
      <c r="B166" s="116"/>
      <c r="P166" s="89"/>
      <c r="Q166" s="89"/>
      <c r="R166" s="89"/>
      <c r="S166" s="89"/>
      <c r="T166" s="89"/>
      <c r="U166" s="89"/>
      <c r="V166" s="89"/>
      <c r="W166" s="89"/>
      <c r="X166" s="89"/>
      <c r="Y166" s="116"/>
    </row>
    <row r="167" spans="1:25" s="71" customFormat="1">
      <c r="A167" s="1"/>
      <c r="B167" s="116"/>
      <c r="P167" s="89"/>
      <c r="Q167" s="89"/>
      <c r="R167" s="89"/>
      <c r="S167" s="89"/>
      <c r="T167" s="89"/>
      <c r="U167" s="89"/>
      <c r="V167" s="89"/>
      <c r="W167" s="89"/>
      <c r="X167" s="89"/>
      <c r="Y167" s="116"/>
    </row>
    <row r="168" spans="1:25" s="71" customFormat="1">
      <c r="A168" s="1"/>
      <c r="B168" s="116"/>
      <c r="P168" s="89"/>
      <c r="Q168" s="89"/>
      <c r="R168" s="89"/>
      <c r="S168" s="89"/>
      <c r="T168" s="89"/>
      <c r="U168" s="89"/>
      <c r="V168" s="89"/>
      <c r="W168" s="89"/>
      <c r="X168" s="89"/>
      <c r="Y168" s="116"/>
    </row>
    <row r="169" spans="1:25" s="71" customFormat="1">
      <c r="A169" s="1"/>
      <c r="B169" s="116"/>
      <c r="P169" s="89"/>
      <c r="Q169" s="89"/>
      <c r="R169" s="89"/>
      <c r="S169" s="89"/>
      <c r="T169" s="89"/>
      <c r="U169" s="89"/>
      <c r="V169" s="89"/>
      <c r="W169" s="89"/>
      <c r="X169" s="89"/>
      <c r="Y169" s="116"/>
    </row>
    <row r="170" spans="1:25" s="71" customFormat="1">
      <c r="A170" s="1"/>
      <c r="B170" s="116"/>
      <c r="P170" s="89"/>
      <c r="Q170" s="89"/>
      <c r="R170" s="89"/>
      <c r="S170" s="89"/>
      <c r="T170" s="89"/>
      <c r="U170" s="89"/>
      <c r="V170" s="89"/>
      <c r="W170" s="89"/>
      <c r="X170" s="89"/>
      <c r="Y170" s="116"/>
    </row>
    <row r="171" spans="1:25" s="71" customFormat="1">
      <c r="A171" s="1"/>
      <c r="B171" s="116"/>
      <c r="P171" s="89"/>
      <c r="Q171" s="89"/>
      <c r="R171" s="89"/>
      <c r="S171" s="89"/>
      <c r="T171" s="89"/>
      <c r="U171" s="89"/>
      <c r="V171" s="89"/>
      <c r="W171" s="89"/>
      <c r="X171" s="89"/>
      <c r="Y171" s="116"/>
    </row>
    <row r="172" spans="1:25" s="71" customFormat="1">
      <c r="A172" s="1"/>
      <c r="B172" s="116"/>
      <c r="P172" s="89"/>
      <c r="Q172" s="89"/>
      <c r="R172" s="89"/>
      <c r="S172" s="89"/>
      <c r="T172" s="89"/>
      <c r="U172" s="89"/>
      <c r="V172" s="89"/>
      <c r="W172" s="89"/>
      <c r="X172" s="89"/>
      <c r="Y172" s="116"/>
    </row>
    <row r="173" spans="1:25" s="71" customFormat="1">
      <c r="A173" s="1"/>
      <c r="B173" s="116"/>
      <c r="P173" s="89"/>
      <c r="Q173" s="89"/>
      <c r="R173" s="89"/>
      <c r="S173" s="89"/>
      <c r="T173" s="89"/>
      <c r="U173" s="89"/>
      <c r="V173" s="89"/>
      <c r="W173" s="89"/>
      <c r="X173" s="89"/>
      <c r="Y173" s="116"/>
    </row>
    <row r="174" spans="1:25" s="71" customFormat="1">
      <c r="A174" s="1"/>
      <c r="B174" s="116"/>
      <c r="P174" s="89"/>
      <c r="Q174" s="89"/>
      <c r="R174" s="89"/>
      <c r="S174" s="89"/>
      <c r="T174" s="89"/>
      <c r="U174" s="89"/>
      <c r="V174" s="89"/>
      <c r="W174" s="89"/>
      <c r="X174" s="89"/>
      <c r="Y174" s="116"/>
    </row>
    <row r="175" spans="1:25">
      <c r="P175" s="89"/>
      <c r="Q175" s="89"/>
      <c r="R175" s="89"/>
      <c r="S175" s="89"/>
      <c r="T175" s="89"/>
      <c r="U175" s="89"/>
      <c r="V175" s="89"/>
      <c r="W175" s="89"/>
      <c r="X175" s="89"/>
    </row>
    <row r="176" spans="1:25">
      <c r="P176" s="89"/>
      <c r="Q176" s="89"/>
      <c r="R176" s="89"/>
      <c r="S176" s="89"/>
      <c r="T176" s="89"/>
      <c r="U176" s="89"/>
      <c r="V176" s="89"/>
      <c r="W176" s="89"/>
      <c r="X176" s="89"/>
    </row>
    <row r="177" spans="1:25" s="71" customFormat="1">
      <c r="A177" s="1"/>
      <c r="B177" s="116"/>
      <c r="P177" s="89"/>
      <c r="Q177" s="89"/>
      <c r="R177" s="89"/>
      <c r="S177" s="89"/>
      <c r="T177" s="89"/>
      <c r="U177" s="89"/>
      <c r="V177" s="89"/>
      <c r="W177" s="89"/>
      <c r="X177" s="89"/>
      <c r="Y177" s="116"/>
    </row>
    <row r="178" spans="1:25" s="71" customFormat="1">
      <c r="A178" s="1"/>
      <c r="B178" s="116"/>
      <c r="P178" s="89"/>
      <c r="Q178" s="89"/>
      <c r="R178" s="89"/>
      <c r="S178" s="89"/>
      <c r="T178" s="89"/>
      <c r="U178" s="89"/>
      <c r="V178" s="89"/>
      <c r="W178" s="89"/>
      <c r="X178" s="89"/>
      <c r="Y178" s="116"/>
    </row>
    <row r="179" spans="1:25" s="71" customFormat="1">
      <c r="A179" s="1"/>
      <c r="B179" s="116"/>
      <c r="P179" s="89"/>
      <c r="Q179" s="89"/>
      <c r="R179" s="89"/>
      <c r="S179" s="89"/>
      <c r="T179" s="89"/>
      <c r="U179" s="89"/>
      <c r="V179" s="89"/>
      <c r="W179" s="89"/>
      <c r="X179" s="89"/>
      <c r="Y179" s="116"/>
    </row>
    <row r="180" spans="1:25" s="71" customFormat="1">
      <c r="A180" s="1"/>
      <c r="B180" s="116"/>
      <c r="P180" s="89"/>
      <c r="Q180" s="89"/>
      <c r="R180" s="89"/>
      <c r="S180" s="89"/>
      <c r="T180" s="89"/>
      <c r="U180" s="89"/>
      <c r="V180" s="89"/>
      <c r="W180" s="89"/>
      <c r="X180" s="89"/>
      <c r="Y180" s="116"/>
    </row>
    <row r="181" spans="1:25" s="71" customFormat="1">
      <c r="A181" s="1"/>
      <c r="B181" s="116"/>
      <c r="P181" s="89"/>
      <c r="Q181" s="89"/>
      <c r="R181" s="89"/>
      <c r="S181" s="89"/>
      <c r="T181" s="89"/>
      <c r="U181" s="89"/>
      <c r="V181" s="89"/>
      <c r="W181" s="89"/>
      <c r="X181" s="89"/>
      <c r="Y181" s="116"/>
    </row>
    <row r="182" spans="1:25" s="71" customFormat="1">
      <c r="A182" s="1"/>
      <c r="B182" s="116"/>
      <c r="P182" s="89"/>
      <c r="Q182" s="89"/>
      <c r="R182" s="89"/>
      <c r="S182" s="89"/>
      <c r="T182" s="89"/>
      <c r="U182" s="89"/>
      <c r="V182" s="89"/>
      <c r="W182" s="89"/>
      <c r="X182" s="89"/>
      <c r="Y182" s="116"/>
    </row>
    <row r="183" spans="1:25" s="71" customFormat="1">
      <c r="A183" s="1"/>
      <c r="B183" s="116"/>
      <c r="P183" s="89"/>
      <c r="Q183" s="89"/>
      <c r="R183" s="89"/>
      <c r="S183" s="89"/>
      <c r="T183" s="89"/>
      <c r="U183" s="89"/>
      <c r="V183" s="89"/>
      <c r="W183" s="89"/>
      <c r="X183" s="89"/>
      <c r="Y183" s="116"/>
    </row>
    <row r="186" spans="1:25" ht="12.75" customHeight="1"/>
    <row r="187" spans="1:25" ht="28.5" customHeight="1"/>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1"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sheetPr>
    <tabColor theme="3" tint="0.79998168889431442"/>
    <pageSetUpPr fitToPage="1"/>
  </sheetPr>
  <dimension ref="A1:AG143"/>
  <sheetViews>
    <sheetView showGridLines="0" zoomScaleNormal="100" zoomScaleSheetLayoutView="86" workbookViewId="0"/>
  </sheetViews>
  <sheetFormatPr baseColWidth="10" defaultColWidth="11.453125" defaultRowHeight="13"/>
  <cols>
    <col min="1" max="1" width="10.26953125" style="1" bestFit="1" customWidth="1"/>
    <col min="2" max="2" width="55.7265625" style="116" customWidth="1"/>
    <col min="3" max="14" width="11.453125" style="71" customWidth="1"/>
    <col min="15" max="15" width="12.453125" style="71" bestFit="1" customWidth="1"/>
    <col min="16" max="16" width="16.453125" style="116" bestFit="1" customWidth="1"/>
    <col min="17" max="16384" width="11.453125" style="116"/>
  </cols>
  <sheetData>
    <row r="1" spans="1:33" ht="14.5">
      <c r="A1" s="738" t="s">
        <v>219</v>
      </c>
      <c r="B1" s="741"/>
    </row>
    <row r="2" spans="1:33" ht="15" customHeight="1">
      <c r="A2" s="42"/>
      <c r="B2" s="386" t="str">
        <f>+INDICE!B2</f>
        <v>MINISTERIO DE ECONOMÍA</v>
      </c>
      <c r="C2" s="3"/>
      <c r="D2" s="3"/>
      <c r="E2" s="3"/>
      <c r="F2" s="3"/>
      <c r="G2" s="3"/>
      <c r="H2" s="3"/>
      <c r="I2" s="3"/>
      <c r="J2" s="3"/>
      <c r="K2" s="3"/>
      <c r="L2" s="3"/>
      <c r="M2" s="3"/>
      <c r="N2" s="3"/>
      <c r="O2" s="87"/>
    </row>
    <row r="3" spans="1:33" ht="15" customHeight="1">
      <c r="A3" s="42"/>
      <c r="B3" s="270" t="s">
        <v>304</v>
      </c>
      <c r="C3" s="3"/>
      <c r="D3" s="3"/>
      <c r="E3" s="3"/>
      <c r="F3" s="3"/>
      <c r="G3" s="3"/>
      <c r="H3" s="3"/>
      <c r="I3" s="3"/>
      <c r="J3" s="3"/>
      <c r="K3" s="3"/>
      <c r="L3" s="3"/>
      <c r="M3" s="3"/>
      <c r="N3" s="3"/>
      <c r="O3" s="87"/>
    </row>
    <row r="4" spans="1:33" s="88" customFormat="1">
      <c r="A4" s="5"/>
      <c r="B4" s="87"/>
      <c r="C4" s="87"/>
      <c r="D4" s="87"/>
      <c r="E4" s="87"/>
      <c r="F4" s="87"/>
      <c r="G4" s="87"/>
      <c r="H4" s="87"/>
      <c r="I4" s="87"/>
      <c r="J4" s="87"/>
      <c r="K4" s="87"/>
      <c r="L4" s="87"/>
      <c r="M4" s="87"/>
      <c r="N4" s="87"/>
      <c r="O4" s="87"/>
    </row>
    <row r="5" spans="1:33" s="88" customFormat="1" ht="13.5" thickBot="1">
      <c r="A5" s="5"/>
      <c r="B5" s="87"/>
      <c r="C5" s="87"/>
      <c r="D5" s="87"/>
      <c r="E5" s="87"/>
      <c r="F5" s="87"/>
      <c r="G5" s="87"/>
      <c r="H5" s="87"/>
      <c r="I5" s="87"/>
      <c r="J5" s="87"/>
      <c r="K5" s="87"/>
      <c r="L5" s="87"/>
      <c r="M5" s="87"/>
      <c r="N5" s="87"/>
      <c r="O5" s="87"/>
    </row>
    <row r="6" spans="1:33" s="88" customFormat="1" ht="22.5" customHeight="1" thickBot="1">
      <c r="A6" s="5"/>
      <c r="B6" s="1487" t="s">
        <v>784</v>
      </c>
      <c r="C6" s="1488"/>
      <c r="D6" s="1488"/>
      <c r="E6" s="1488"/>
      <c r="F6" s="1488"/>
      <c r="G6" s="1488"/>
      <c r="H6" s="1488"/>
      <c r="I6" s="1488"/>
      <c r="J6" s="1488"/>
      <c r="K6" s="1488"/>
      <c r="L6" s="1488"/>
      <c r="M6" s="1488"/>
      <c r="N6" s="1488"/>
      <c r="O6" s="1489"/>
    </row>
    <row r="7" spans="1:33" s="88" customFormat="1">
      <c r="A7" s="5"/>
      <c r="B7" s="475"/>
      <c r="C7" s="475"/>
      <c r="D7" s="475"/>
      <c r="E7" s="475"/>
      <c r="F7" s="475"/>
      <c r="G7" s="475"/>
      <c r="H7" s="475"/>
      <c r="I7" s="475"/>
      <c r="J7" s="475"/>
      <c r="K7" s="475"/>
      <c r="L7" s="475"/>
      <c r="M7" s="475"/>
      <c r="N7" s="475"/>
      <c r="O7" s="475"/>
    </row>
    <row r="8" spans="1:33" s="88" customFormat="1" ht="13.5" thickBot="1">
      <c r="A8" s="5"/>
      <c r="B8" s="269" t="s">
        <v>915</v>
      </c>
      <c r="C8" s="5"/>
      <c r="D8" s="5"/>
      <c r="E8" s="5"/>
      <c r="F8" s="5"/>
      <c r="G8" s="5"/>
      <c r="H8" s="5"/>
      <c r="I8" s="5"/>
      <c r="J8" s="5"/>
      <c r="K8" s="5"/>
      <c r="L8" s="5"/>
      <c r="M8" s="5"/>
      <c r="N8" s="5"/>
      <c r="O8" s="75"/>
    </row>
    <row r="9" spans="1:33" s="88" customFormat="1" ht="14" thickTop="1" thickBot="1">
      <c r="A9" s="5"/>
      <c r="B9" s="117"/>
      <c r="C9" s="458">
        <v>44197</v>
      </c>
      <c r="D9" s="458">
        <v>44228</v>
      </c>
      <c r="E9" s="458">
        <v>44256</v>
      </c>
      <c r="F9" s="458">
        <v>44287</v>
      </c>
      <c r="G9" s="458">
        <v>44317</v>
      </c>
      <c r="H9" s="458">
        <v>44348</v>
      </c>
      <c r="I9" s="458">
        <v>44378</v>
      </c>
      <c r="J9" s="458">
        <v>44409</v>
      </c>
      <c r="K9" s="458">
        <v>44440</v>
      </c>
      <c r="L9" s="458">
        <v>44470</v>
      </c>
      <c r="M9" s="458">
        <v>44501</v>
      </c>
      <c r="N9" s="458">
        <v>44531</v>
      </c>
      <c r="O9" s="459">
        <v>2021</v>
      </c>
    </row>
    <row r="10" spans="1:33" s="88" customFormat="1" ht="14" thickTop="1" thickBot="1">
      <c r="A10" s="5"/>
      <c r="B10" s="5"/>
      <c r="C10" s="5"/>
      <c r="D10" s="5"/>
      <c r="E10" s="5"/>
      <c r="F10" s="93"/>
      <c r="G10" s="93"/>
      <c r="H10" s="93"/>
      <c r="I10" s="93"/>
      <c r="J10" s="93"/>
      <c r="K10" s="93"/>
      <c r="L10" s="93"/>
      <c r="M10" s="93"/>
      <c r="N10" s="93"/>
      <c r="O10" s="93"/>
    </row>
    <row r="11" spans="1:33" s="88" customFormat="1" ht="13.5" thickBot="1">
      <c r="A11" s="5"/>
      <c r="B11" s="1484" t="s">
        <v>747</v>
      </c>
      <c r="C11" s="1485"/>
      <c r="D11" s="1485"/>
      <c r="E11" s="1485"/>
      <c r="F11" s="1485"/>
      <c r="G11" s="1485"/>
      <c r="H11" s="1485"/>
      <c r="I11" s="1485"/>
      <c r="J11" s="1485"/>
      <c r="K11" s="1485"/>
      <c r="L11" s="1485"/>
      <c r="M11" s="1485"/>
      <c r="N11" s="1485"/>
      <c r="O11" s="1485"/>
    </row>
    <row r="12" spans="1:33" s="120" customFormat="1" ht="13.5" thickBot="1">
      <c r="A12" s="118"/>
      <c r="B12" s="119"/>
      <c r="C12" s="93"/>
      <c r="D12" s="93"/>
      <c r="E12" s="93"/>
      <c r="F12" s="93"/>
      <c r="G12" s="93"/>
      <c r="H12" s="93"/>
      <c r="I12" s="93"/>
      <c r="J12" s="93"/>
      <c r="K12" s="93"/>
      <c r="L12" s="93"/>
      <c r="M12" s="93"/>
      <c r="N12" s="93"/>
      <c r="O12" s="93"/>
    </row>
    <row r="13" spans="1:33" ht="15" thickBot="1">
      <c r="B13" s="331" t="s">
        <v>60</v>
      </c>
      <c r="C13" s="332">
        <f>SUM(C14:C15)</f>
        <v>1163.414134790447</v>
      </c>
      <c r="D13" s="332">
        <f t="shared" ref="D13:N13" si="0">SUM(D14:D15)</f>
        <v>568.97766499641909</v>
      </c>
      <c r="E13" s="332">
        <f t="shared" si="0"/>
        <v>408.62606174253887</v>
      </c>
      <c r="F13" s="332">
        <f t="shared" si="0"/>
        <v>1191.5110842131633</v>
      </c>
      <c r="G13" s="332">
        <f t="shared" si="0"/>
        <v>751.66605383629576</v>
      </c>
      <c r="H13" s="332">
        <f t="shared" si="0"/>
        <v>1786.9734737745537</v>
      </c>
      <c r="I13" s="332">
        <f t="shared" si="0"/>
        <v>893.82428515629204</v>
      </c>
      <c r="J13" s="332">
        <f t="shared" si="0"/>
        <v>523.67424406454961</v>
      </c>
      <c r="K13" s="332">
        <f t="shared" si="0"/>
        <v>389.765886368704</v>
      </c>
      <c r="L13" s="332">
        <f t="shared" si="0"/>
        <v>1034.9551772957859</v>
      </c>
      <c r="M13" s="332">
        <f t="shared" si="0"/>
        <v>803.81671001027416</v>
      </c>
      <c r="N13" s="332">
        <f t="shared" si="0"/>
        <v>1782.7546767169185</v>
      </c>
      <c r="O13" s="332">
        <f>SUM(C13:N13)</f>
        <v>11299.959452965943</v>
      </c>
      <c r="P13" s="89"/>
      <c r="Q13" s="89"/>
      <c r="R13" s="89"/>
      <c r="S13" s="89"/>
      <c r="T13" s="89"/>
      <c r="U13" s="89"/>
      <c r="V13" s="89"/>
      <c r="W13" s="89"/>
      <c r="X13" s="89"/>
      <c r="Y13" s="89"/>
      <c r="Z13" s="89"/>
      <c r="AA13" s="89"/>
      <c r="AB13" s="89"/>
      <c r="AC13" s="89"/>
      <c r="AD13" s="89"/>
      <c r="AE13" s="89"/>
      <c r="AF13" s="89"/>
      <c r="AG13" s="89"/>
    </row>
    <row r="14" spans="1:33">
      <c r="B14" s="341" t="s">
        <v>671</v>
      </c>
      <c r="C14" s="92">
        <v>0</v>
      </c>
      <c r="D14" s="92">
        <v>0</v>
      </c>
      <c r="E14" s="92">
        <v>0</v>
      </c>
      <c r="F14" s="92">
        <v>0</v>
      </c>
      <c r="G14" s="92">
        <v>0</v>
      </c>
      <c r="H14" s="92">
        <v>0</v>
      </c>
      <c r="I14" s="92">
        <v>0</v>
      </c>
      <c r="J14" s="92">
        <v>0</v>
      </c>
      <c r="K14" s="92">
        <v>0</v>
      </c>
      <c r="L14" s="92">
        <v>0</v>
      </c>
      <c r="M14" s="92">
        <v>0</v>
      </c>
      <c r="N14" s="92">
        <v>0</v>
      </c>
      <c r="O14" s="92">
        <f>SUM(C14:N14)</f>
        <v>0</v>
      </c>
      <c r="P14" s="89"/>
      <c r="Q14" s="89"/>
      <c r="R14" s="89"/>
      <c r="S14" s="89"/>
      <c r="T14" s="89"/>
      <c r="U14" s="89"/>
      <c r="V14" s="89"/>
      <c r="W14" s="89"/>
      <c r="X14" s="89"/>
      <c r="Y14" s="89"/>
      <c r="Z14" s="89"/>
      <c r="AA14" s="89"/>
      <c r="AB14" s="89"/>
      <c r="AC14" s="89"/>
      <c r="AD14" s="89"/>
      <c r="AE14" s="89"/>
      <c r="AF14" s="89"/>
      <c r="AG14" s="89"/>
    </row>
    <row r="15" spans="1:33">
      <c r="B15" s="341" t="s">
        <v>672</v>
      </c>
      <c r="C15" s="92">
        <v>1163.414134790447</v>
      </c>
      <c r="D15" s="92">
        <v>568.97766499641909</v>
      </c>
      <c r="E15" s="92">
        <v>408.62606174253887</v>
      </c>
      <c r="F15" s="92">
        <v>1191.5110842131633</v>
      </c>
      <c r="G15" s="92">
        <v>751.66605383629576</v>
      </c>
      <c r="H15" s="92">
        <v>1786.9734737745537</v>
      </c>
      <c r="I15" s="92">
        <v>893.82428515629204</v>
      </c>
      <c r="J15" s="92">
        <v>523.67424406454961</v>
      </c>
      <c r="K15" s="92">
        <v>389.765886368704</v>
      </c>
      <c r="L15" s="92">
        <v>1034.9551772957859</v>
      </c>
      <c r="M15" s="92">
        <v>803.81671001027416</v>
      </c>
      <c r="N15" s="92">
        <v>1782.7546767169185</v>
      </c>
      <c r="O15" s="1013">
        <f>SUM(C15:N15)</f>
        <v>11299.959452965943</v>
      </c>
      <c r="P15" s="89"/>
      <c r="Q15" s="89"/>
      <c r="R15" s="89"/>
      <c r="S15" s="89"/>
      <c r="T15" s="89"/>
      <c r="U15" s="89"/>
      <c r="V15" s="89"/>
      <c r="W15" s="89"/>
      <c r="X15" s="89"/>
      <c r="Y15" s="89"/>
      <c r="Z15" s="89"/>
      <c r="AA15" s="89"/>
      <c r="AB15" s="89"/>
      <c r="AC15" s="89"/>
      <c r="AD15" s="89"/>
      <c r="AE15" s="89"/>
      <c r="AF15" s="89"/>
      <c r="AG15" s="89"/>
    </row>
    <row r="16" spans="1:33" s="120" customFormat="1" ht="13.5" thickBot="1">
      <c r="A16" s="1"/>
      <c r="B16" s="269"/>
      <c r="C16" s="342"/>
      <c r="D16" s="342"/>
      <c r="E16" s="342"/>
      <c r="F16" s="342"/>
      <c r="G16" s="342"/>
      <c r="H16" s="342"/>
      <c r="I16" s="342"/>
      <c r="J16" s="342"/>
      <c r="K16" s="342"/>
      <c r="L16" s="342"/>
      <c r="M16" s="342"/>
      <c r="N16" s="342"/>
      <c r="O16" s="342"/>
      <c r="P16" s="89"/>
      <c r="Q16" s="89"/>
      <c r="R16" s="89"/>
      <c r="S16" s="89"/>
      <c r="T16" s="89"/>
      <c r="U16" s="89"/>
      <c r="V16" s="89"/>
      <c r="W16" s="89"/>
      <c r="X16" s="89"/>
      <c r="Y16" s="89"/>
      <c r="Z16" s="89"/>
      <c r="AA16" s="89"/>
      <c r="AB16" s="89"/>
      <c r="AC16" s="89"/>
      <c r="AD16" s="89"/>
      <c r="AE16" s="89"/>
      <c r="AF16" s="89"/>
      <c r="AG16" s="89"/>
    </row>
    <row r="17" spans="1:33" s="71" customFormat="1" ht="13.5" thickBot="1">
      <c r="A17" s="1"/>
      <c r="B17" s="126" t="s">
        <v>53</v>
      </c>
      <c r="C17" s="78">
        <f t="shared" ref="C17:N17" si="1">+C18+C23+C25+C28+C29+C34</f>
        <v>87.272281863590123</v>
      </c>
      <c r="D17" s="78">
        <f t="shared" si="1"/>
        <v>438.45708683706511</v>
      </c>
      <c r="E17" s="78">
        <f t="shared" si="1"/>
        <v>115.61012077742632</v>
      </c>
      <c r="F17" s="78">
        <f t="shared" si="1"/>
        <v>50.225967474445781</v>
      </c>
      <c r="G17" s="78">
        <f t="shared" si="1"/>
        <v>477.50368641295745</v>
      </c>
      <c r="H17" s="78">
        <f t="shared" si="1"/>
        <v>87.528091056009004</v>
      </c>
      <c r="I17" s="78">
        <f t="shared" si="1"/>
        <v>81.590893628011415</v>
      </c>
      <c r="J17" s="78">
        <f t="shared" si="1"/>
        <v>477.70173941157549</v>
      </c>
      <c r="K17" s="78">
        <f t="shared" si="1"/>
        <v>111.9831932230794</v>
      </c>
      <c r="L17" s="78">
        <f t="shared" si="1"/>
        <v>48.347844981820856</v>
      </c>
      <c r="M17" s="78">
        <f t="shared" si="1"/>
        <v>535.35081573131379</v>
      </c>
      <c r="N17" s="78">
        <f t="shared" si="1"/>
        <v>83.038136197302805</v>
      </c>
      <c r="O17" s="127">
        <f t="shared" ref="O17:O26" si="2">SUM(C17:N17)</f>
        <v>2594.6098575945975</v>
      </c>
      <c r="P17" s="89"/>
      <c r="Q17" s="89"/>
      <c r="R17" s="89"/>
      <c r="S17" s="89"/>
      <c r="T17" s="89"/>
      <c r="U17" s="89"/>
      <c r="V17" s="89"/>
      <c r="W17" s="89"/>
      <c r="X17" s="89"/>
      <c r="Y17" s="89"/>
      <c r="Z17" s="89"/>
      <c r="AA17" s="89"/>
      <c r="AB17" s="89"/>
      <c r="AC17" s="89"/>
      <c r="AD17" s="89"/>
      <c r="AE17" s="89"/>
      <c r="AF17" s="89"/>
      <c r="AG17" s="89"/>
    </row>
    <row r="18" spans="1:33" s="71" customFormat="1">
      <c r="A18" s="1"/>
      <c r="B18" s="965" t="s">
        <v>63</v>
      </c>
      <c r="C18" s="966">
        <f>+SUM(C19:C22)</f>
        <v>38.880551219999994</v>
      </c>
      <c r="D18" s="966">
        <f t="shared" ref="D18:N18" si="3">+SUM(D19:D22)</f>
        <v>433.31395576045543</v>
      </c>
      <c r="E18" s="966">
        <f t="shared" si="3"/>
        <v>106.54312356</v>
      </c>
      <c r="F18" s="966">
        <f t="shared" si="3"/>
        <v>45.545587939535395</v>
      </c>
      <c r="G18" s="966">
        <f t="shared" si="3"/>
        <v>471.563952530996</v>
      </c>
      <c r="H18" s="966">
        <f t="shared" si="3"/>
        <v>48.545966080537326</v>
      </c>
      <c r="I18" s="966">
        <f t="shared" si="3"/>
        <v>36.402334740000001</v>
      </c>
      <c r="J18" s="966">
        <f t="shared" si="3"/>
        <v>473.01527215965604</v>
      </c>
      <c r="K18" s="966">
        <f t="shared" si="3"/>
        <v>103.82607116999996</v>
      </c>
      <c r="L18" s="966">
        <f t="shared" si="3"/>
        <v>44.086189281106194</v>
      </c>
      <c r="M18" s="966">
        <f t="shared" si="3"/>
        <v>529.82488975225658</v>
      </c>
      <c r="N18" s="966">
        <f t="shared" si="3"/>
        <v>46.470177982077089</v>
      </c>
      <c r="O18" s="966">
        <f t="shared" si="2"/>
        <v>2378.0180721766201</v>
      </c>
      <c r="P18" s="89"/>
      <c r="Q18" s="89"/>
      <c r="R18" s="89"/>
      <c r="S18" s="89"/>
      <c r="T18" s="89"/>
      <c r="U18" s="89"/>
      <c r="V18" s="89"/>
      <c r="W18" s="89"/>
      <c r="X18" s="89"/>
      <c r="Y18" s="89"/>
      <c r="Z18" s="89"/>
      <c r="AA18" s="89"/>
      <c r="AB18" s="89"/>
      <c r="AC18" s="89"/>
      <c r="AD18" s="89"/>
      <c r="AE18" s="89"/>
      <c r="AF18" s="89"/>
      <c r="AG18" s="89"/>
    </row>
    <row r="19" spans="1:33" s="71" customFormat="1">
      <c r="A19" s="1"/>
      <c r="B19" s="466" t="s">
        <v>64</v>
      </c>
      <c r="C19" s="94">
        <v>1.7598746599999999</v>
      </c>
      <c r="D19" s="94">
        <v>2.1801107500000003</v>
      </c>
      <c r="E19" s="94">
        <v>35.452804469999997</v>
      </c>
      <c r="F19" s="94">
        <v>17.870169159999996</v>
      </c>
      <c r="G19" s="94">
        <v>16.296499880000002</v>
      </c>
      <c r="H19" s="94">
        <v>26.746563420000001</v>
      </c>
      <c r="I19" s="94">
        <v>1.4303119499999997</v>
      </c>
      <c r="J19" s="94">
        <v>2.1075271899999999</v>
      </c>
      <c r="K19" s="94">
        <v>34.975165319999988</v>
      </c>
      <c r="L19" s="94">
        <v>17.325350889999999</v>
      </c>
      <c r="M19" s="94">
        <v>16.339898860000002</v>
      </c>
      <c r="N19" s="94">
        <v>26.430363270000001</v>
      </c>
      <c r="O19" s="94">
        <f t="shared" si="2"/>
        <v>198.91463981999999</v>
      </c>
      <c r="P19" s="89"/>
      <c r="Q19" s="89"/>
      <c r="R19" s="89"/>
      <c r="S19" s="89"/>
      <c r="T19" s="89"/>
      <c r="U19" s="89"/>
      <c r="V19" s="89"/>
      <c r="W19" s="89"/>
      <c r="X19" s="89"/>
      <c r="Y19" s="89"/>
      <c r="Z19" s="89"/>
      <c r="AA19" s="89"/>
      <c r="AB19" s="89"/>
      <c r="AC19" s="89"/>
      <c r="AD19" s="89"/>
      <c r="AE19" s="89"/>
      <c r="AF19" s="89"/>
      <c r="AG19" s="89"/>
    </row>
    <row r="20" spans="1:33" s="71" customFormat="1">
      <c r="A20" s="1"/>
      <c r="B20" s="467" t="s">
        <v>65</v>
      </c>
      <c r="C20" s="343">
        <v>23.684048629999996</v>
      </c>
      <c r="D20" s="343">
        <v>16.649917845345076</v>
      </c>
      <c r="E20" s="343">
        <v>58.324898440000005</v>
      </c>
      <c r="F20" s="343">
        <v>23.684786709999997</v>
      </c>
      <c r="G20" s="343">
        <v>65.163855429999984</v>
      </c>
      <c r="H20" s="343">
        <v>6.7024708125919554</v>
      </c>
      <c r="I20" s="343">
        <v>22.387071200000001</v>
      </c>
      <c r="J20" s="343">
        <v>15.399263043726366</v>
      </c>
      <c r="K20" s="343">
        <v>56.694990559999979</v>
      </c>
      <c r="L20" s="343">
        <v>22.9903339</v>
      </c>
      <c r="M20" s="343">
        <v>64.379290910000023</v>
      </c>
      <c r="N20" s="343">
        <v>5.9604703897750415</v>
      </c>
      <c r="O20" s="83">
        <f t="shared" si="2"/>
        <v>382.02139787143841</v>
      </c>
      <c r="P20" s="89"/>
      <c r="Q20" s="89"/>
      <c r="R20" s="89"/>
      <c r="S20" s="89"/>
      <c r="T20" s="89"/>
      <c r="U20" s="89"/>
      <c r="V20" s="89"/>
      <c r="W20" s="89"/>
      <c r="X20" s="89"/>
      <c r="Y20" s="89"/>
      <c r="Z20" s="89"/>
      <c r="AA20" s="89"/>
      <c r="AB20" s="89"/>
      <c r="AC20" s="89"/>
      <c r="AD20" s="89"/>
      <c r="AE20" s="89"/>
      <c r="AF20" s="89"/>
      <c r="AG20" s="89"/>
    </row>
    <row r="21" spans="1:33" s="71" customFormat="1">
      <c r="A21" s="1"/>
      <c r="B21" s="377" t="s">
        <v>667</v>
      </c>
      <c r="C21" s="343">
        <v>0</v>
      </c>
      <c r="D21" s="343">
        <v>397.37959310011036</v>
      </c>
      <c r="E21" s="343">
        <v>0</v>
      </c>
      <c r="F21" s="343">
        <v>0</v>
      </c>
      <c r="G21" s="343">
        <v>384.42156290099604</v>
      </c>
      <c r="H21" s="343">
        <v>0</v>
      </c>
      <c r="I21" s="343">
        <v>0</v>
      </c>
      <c r="J21" s="343">
        <v>440.15893454092969</v>
      </c>
      <c r="K21" s="343">
        <v>0</v>
      </c>
      <c r="L21" s="343">
        <v>0</v>
      </c>
      <c r="M21" s="343">
        <v>444.00081424225652</v>
      </c>
      <c r="N21" s="343">
        <v>0</v>
      </c>
      <c r="O21" s="83">
        <f t="shared" si="2"/>
        <v>1665.9609047842928</v>
      </c>
      <c r="P21" s="89"/>
      <c r="Q21" s="89"/>
      <c r="R21" s="89"/>
      <c r="S21" s="89"/>
      <c r="T21" s="89"/>
      <c r="U21" s="89"/>
      <c r="V21" s="89"/>
      <c r="W21" s="89"/>
      <c r="X21" s="89"/>
      <c r="Y21" s="89"/>
      <c r="Z21" s="89"/>
      <c r="AA21" s="89"/>
      <c r="AB21" s="89"/>
      <c r="AC21" s="89"/>
      <c r="AD21" s="89"/>
      <c r="AE21" s="89"/>
      <c r="AF21" s="89"/>
      <c r="AG21" s="89"/>
    </row>
    <row r="22" spans="1:33" s="121" customFormat="1">
      <c r="A22" s="1"/>
      <c r="B22" s="468" t="s">
        <v>66</v>
      </c>
      <c r="C22" s="344">
        <v>13.436627929999998</v>
      </c>
      <c r="D22" s="344">
        <v>17.104334065</v>
      </c>
      <c r="E22" s="344">
        <v>12.765420649999999</v>
      </c>
      <c r="F22" s="344">
        <v>3.9906320695353985</v>
      </c>
      <c r="G22" s="344">
        <v>5.6820343199999996</v>
      </c>
      <c r="H22" s="344">
        <v>15.096931847945372</v>
      </c>
      <c r="I22" s="344">
        <v>12.584951589999999</v>
      </c>
      <c r="J22" s="344">
        <v>15.349547385000001</v>
      </c>
      <c r="K22" s="344">
        <v>12.155915290000001</v>
      </c>
      <c r="L22" s="344">
        <v>3.7705044911061947</v>
      </c>
      <c r="M22" s="344">
        <v>5.1048857400000003</v>
      </c>
      <c r="N22" s="344">
        <v>14.079344322302051</v>
      </c>
      <c r="O22" s="1006">
        <f t="shared" si="2"/>
        <v>131.12112970088904</v>
      </c>
      <c r="P22" s="89"/>
      <c r="Q22" s="89"/>
      <c r="R22" s="89"/>
      <c r="S22" s="89"/>
      <c r="T22" s="89"/>
      <c r="U22" s="89"/>
      <c r="V22" s="89"/>
      <c r="W22" s="89"/>
      <c r="X22" s="89"/>
      <c r="Y22" s="89"/>
      <c r="Z22" s="89"/>
      <c r="AA22" s="89"/>
      <c r="AB22" s="89"/>
      <c r="AC22" s="89"/>
      <c r="AD22" s="89"/>
      <c r="AE22" s="89"/>
      <c r="AF22" s="89"/>
      <c r="AG22" s="89"/>
    </row>
    <row r="23" spans="1:33" s="121" customFormat="1">
      <c r="A23" s="1"/>
      <c r="B23" s="967" t="s">
        <v>67</v>
      </c>
      <c r="C23" s="968">
        <f t="shared" ref="C23:N23" si="4">SUM(C24:C24)</f>
        <v>2.6621372979220954</v>
      </c>
      <c r="D23" s="968">
        <f t="shared" si="4"/>
        <v>2.6621372979220954</v>
      </c>
      <c r="E23" s="968">
        <f t="shared" si="4"/>
        <v>2.4696125218442559</v>
      </c>
      <c r="F23" s="968">
        <f t="shared" si="4"/>
        <v>2.6621372979220954</v>
      </c>
      <c r="G23" s="968">
        <f t="shared" si="4"/>
        <v>2.5979623746443359</v>
      </c>
      <c r="H23" s="968">
        <f t="shared" si="4"/>
        <v>2.6621372979220954</v>
      </c>
      <c r="I23" s="968">
        <f t="shared" si="4"/>
        <v>2.5979623746443359</v>
      </c>
      <c r="J23" s="968">
        <f t="shared" si="4"/>
        <v>2.6621372979220954</v>
      </c>
      <c r="K23" s="968">
        <f t="shared" si="4"/>
        <v>2.6621372979220954</v>
      </c>
      <c r="L23" s="968">
        <f t="shared" si="4"/>
        <v>2.5979623746443359</v>
      </c>
      <c r="M23" s="968">
        <f t="shared" si="4"/>
        <v>2.6621372979220954</v>
      </c>
      <c r="N23" s="968">
        <f t="shared" si="4"/>
        <v>2.5979623746443359</v>
      </c>
      <c r="O23" s="969">
        <f t="shared" si="2"/>
        <v>31.496423105876264</v>
      </c>
      <c r="P23" s="89"/>
      <c r="Q23" s="89"/>
      <c r="R23" s="89"/>
      <c r="S23" s="89"/>
      <c r="T23" s="89"/>
      <c r="U23" s="89"/>
      <c r="V23" s="89"/>
      <c r="W23" s="89"/>
      <c r="X23" s="89"/>
      <c r="Y23" s="89"/>
      <c r="Z23" s="89"/>
      <c r="AA23" s="89"/>
      <c r="AB23" s="89"/>
      <c r="AC23" s="89"/>
      <c r="AD23" s="89"/>
      <c r="AE23" s="89"/>
      <c r="AF23" s="89"/>
      <c r="AG23" s="89"/>
    </row>
    <row r="24" spans="1:33" s="71" customFormat="1">
      <c r="A24" s="1"/>
      <c r="B24" s="466" t="s">
        <v>68</v>
      </c>
      <c r="C24" s="345">
        <v>2.6621372979220954</v>
      </c>
      <c r="D24" s="345">
        <v>2.6621372979220954</v>
      </c>
      <c r="E24" s="345">
        <v>2.4696125218442559</v>
      </c>
      <c r="F24" s="345">
        <v>2.6621372979220954</v>
      </c>
      <c r="G24" s="345">
        <v>2.5979623746443359</v>
      </c>
      <c r="H24" s="345">
        <v>2.6621372979220954</v>
      </c>
      <c r="I24" s="345">
        <v>2.5979623746443359</v>
      </c>
      <c r="J24" s="345">
        <v>2.6621372979220954</v>
      </c>
      <c r="K24" s="345">
        <v>2.6621372979220954</v>
      </c>
      <c r="L24" s="94">
        <v>2.5979623746443359</v>
      </c>
      <c r="M24" s="345">
        <v>2.6621372979220954</v>
      </c>
      <c r="N24" s="345">
        <v>2.5979623746443359</v>
      </c>
      <c r="O24" s="94">
        <f t="shared" si="2"/>
        <v>31.496423105876264</v>
      </c>
      <c r="P24" s="89"/>
      <c r="Q24" s="89"/>
      <c r="R24" s="89"/>
      <c r="S24" s="89"/>
      <c r="T24" s="89"/>
      <c r="U24" s="89"/>
      <c r="V24" s="89"/>
      <c r="W24" s="89"/>
      <c r="X24" s="89"/>
      <c r="Y24" s="89"/>
      <c r="Z24" s="89"/>
      <c r="AA24" s="89"/>
      <c r="AB24" s="89"/>
      <c r="AC24" s="89"/>
      <c r="AD24" s="89"/>
      <c r="AE24" s="89"/>
      <c r="AF24" s="89"/>
      <c r="AG24" s="89"/>
    </row>
    <row r="25" spans="1:33" s="121" customFormat="1">
      <c r="A25" s="1"/>
      <c r="B25" s="967" t="s">
        <v>69</v>
      </c>
      <c r="C25" s="968">
        <f t="shared" ref="C25:N25" si="5">+C26+C27</f>
        <v>2.7548492634978591E-3</v>
      </c>
      <c r="D25" s="968">
        <f t="shared" si="5"/>
        <v>4.4733317781418522E-2</v>
      </c>
      <c r="E25" s="968">
        <f t="shared" si="5"/>
        <v>2.4420709471319252E-3</v>
      </c>
      <c r="F25" s="968">
        <f t="shared" si="5"/>
        <v>2.535662963561048E-3</v>
      </c>
      <c r="G25" s="968">
        <f t="shared" si="5"/>
        <v>1.4234704060990317</v>
      </c>
      <c r="H25" s="968">
        <f t="shared" si="5"/>
        <v>2.387745303657937E-3</v>
      </c>
      <c r="I25" s="968">
        <f t="shared" si="5"/>
        <v>2.265252648318472E-3</v>
      </c>
      <c r="J25" s="968">
        <f t="shared" si="5"/>
        <v>4.0028515006201561E-2</v>
      </c>
      <c r="K25" s="968">
        <f t="shared" si="5"/>
        <v>2.1627986238854178E-3</v>
      </c>
      <c r="L25" s="968">
        <f t="shared" si="5"/>
        <v>2.0449942757845962E-3</v>
      </c>
      <c r="M25" s="968">
        <f t="shared" si="5"/>
        <v>1.3418745777645851</v>
      </c>
      <c r="N25" s="968">
        <f t="shared" si="5"/>
        <v>1.8959438868215973E-3</v>
      </c>
      <c r="O25" s="969">
        <f t="shared" si="2"/>
        <v>2.8685961345638962</v>
      </c>
      <c r="P25" s="89"/>
      <c r="Q25" s="89"/>
      <c r="R25" s="89"/>
      <c r="S25" s="89"/>
      <c r="T25" s="89"/>
      <c r="U25" s="89"/>
      <c r="V25" s="89"/>
      <c r="W25" s="89"/>
      <c r="X25" s="89"/>
      <c r="Y25" s="89"/>
      <c r="Z25" s="89"/>
      <c r="AA25" s="89"/>
      <c r="AB25" s="89"/>
      <c r="AC25" s="89"/>
      <c r="AD25" s="89"/>
      <c r="AE25" s="89"/>
      <c r="AF25" s="89"/>
      <c r="AG25" s="89"/>
    </row>
    <row r="26" spans="1:33" s="121" customFormat="1">
      <c r="A26" s="1"/>
      <c r="B26" s="467" t="s">
        <v>72</v>
      </c>
      <c r="C26" s="343">
        <v>0</v>
      </c>
      <c r="D26" s="343">
        <v>0</v>
      </c>
      <c r="E26" s="343">
        <v>0</v>
      </c>
      <c r="F26" s="343">
        <v>0</v>
      </c>
      <c r="G26" s="343">
        <v>0</v>
      </c>
      <c r="H26" s="343">
        <v>0</v>
      </c>
      <c r="I26" s="343">
        <v>0</v>
      </c>
      <c r="J26" s="343">
        <v>0</v>
      </c>
      <c r="K26" s="343">
        <v>0</v>
      </c>
      <c r="L26" s="343">
        <v>0</v>
      </c>
      <c r="M26" s="343">
        <v>0</v>
      </c>
      <c r="N26" s="343">
        <v>0</v>
      </c>
      <c r="O26" s="83">
        <f t="shared" si="2"/>
        <v>0</v>
      </c>
      <c r="P26" s="89"/>
      <c r="Q26" s="89"/>
      <c r="R26" s="89"/>
      <c r="S26" s="89"/>
      <c r="T26" s="89"/>
      <c r="U26" s="89"/>
      <c r="V26" s="89"/>
      <c r="W26" s="89"/>
      <c r="X26" s="89"/>
      <c r="Y26" s="89"/>
      <c r="Z26" s="89"/>
      <c r="AA26" s="89"/>
      <c r="AB26" s="89"/>
      <c r="AC26" s="89"/>
      <c r="AD26" s="89"/>
      <c r="AE26" s="89"/>
      <c r="AF26" s="89"/>
      <c r="AG26" s="89"/>
    </row>
    <row r="27" spans="1:33" s="121" customFormat="1">
      <c r="A27" s="1"/>
      <c r="B27" s="467" t="s">
        <v>70</v>
      </c>
      <c r="C27" s="343">
        <v>2.7548492634978591E-3</v>
      </c>
      <c r="D27" s="343">
        <v>4.4733317781418522E-2</v>
      </c>
      <c r="E27" s="343">
        <v>2.4420709471319252E-3</v>
      </c>
      <c r="F27" s="343">
        <v>2.535662963561048E-3</v>
      </c>
      <c r="G27" s="343">
        <v>1.4234704060990317</v>
      </c>
      <c r="H27" s="343">
        <v>2.387745303657937E-3</v>
      </c>
      <c r="I27" s="343">
        <v>2.265252648318472E-3</v>
      </c>
      <c r="J27" s="343">
        <v>4.0028515006201561E-2</v>
      </c>
      <c r="K27" s="343">
        <v>2.1627986238854178E-3</v>
      </c>
      <c r="L27" s="343">
        <v>2.0449942757845962E-3</v>
      </c>
      <c r="M27" s="343">
        <v>1.3418745777645851</v>
      </c>
      <c r="N27" s="343">
        <v>1.8959438868215973E-3</v>
      </c>
      <c r="O27" s="1006">
        <f>SUM(C27:N27)</f>
        <v>2.8685961345638962</v>
      </c>
      <c r="P27" s="89"/>
      <c r="Q27" s="89"/>
      <c r="R27" s="89"/>
      <c r="S27" s="89"/>
      <c r="T27" s="89"/>
      <c r="U27" s="89"/>
      <c r="V27" s="89"/>
      <c r="W27" s="89"/>
      <c r="X27" s="89"/>
      <c r="Y27" s="89"/>
      <c r="Z27" s="89"/>
      <c r="AA27" s="89"/>
      <c r="AB27" s="89"/>
      <c r="AC27" s="89"/>
      <c r="AD27" s="89"/>
      <c r="AE27" s="89"/>
      <c r="AF27" s="89"/>
      <c r="AG27" s="89"/>
    </row>
    <row r="28" spans="1:33" s="5" customFormat="1">
      <c r="A28" s="1"/>
      <c r="B28" s="967" t="s">
        <v>71</v>
      </c>
      <c r="C28" s="968">
        <v>44.838332690000001</v>
      </c>
      <c r="D28" s="968">
        <v>0.11229724852537575</v>
      </c>
      <c r="E28" s="968">
        <v>0.66429490132761759</v>
      </c>
      <c r="F28" s="968">
        <v>0.53512397193941685</v>
      </c>
      <c r="G28" s="968">
        <v>0.61551871408557524</v>
      </c>
      <c r="H28" s="968">
        <v>34.178971272617417</v>
      </c>
      <c r="I28" s="968">
        <v>41.877388779999997</v>
      </c>
      <c r="J28" s="968">
        <v>0.11040092714876933</v>
      </c>
      <c r="K28" s="968">
        <v>0.18951534082944393</v>
      </c>
      <c r="L28" s="969">
        <v>0.51911545709465734</v>
      </c>
      <c r="M28" s="968">
        <v>0.54365120383053422</v>
      </c>
      <c r="N28" s="968">
        <v>32.347389632617414</v>
      </c>
      <c r="O28" s="969">
        <f t="shared" ref="O28:O34" si="6">SUM(C28:N28)</f>
        <v>156.53200014001624</v>
      </c>
      <c r="P28" s="89"/>
      <c r="Q28" s="89"/>
      <c r="R28" s="89"/>
      <c r="S28" s="89"/>
      <c r="T28" s="89"/>
      <c r="U28" s="89"/>
      <c r="V28" s="89"/>
      <c r="W28" s="89"/>
      <c r="X28" s="89"/>
      <c r="Y28" s="89"/>
      <c r="Z28" s="89"/>
      <c r="AA28" s="89"/>
      <c r="AB28" s="89"/>
      <c r="AC28" s="89"/>
      <c r="AD28" s="89"/>
      <c r="AE28" s="89"/>
      <c r="AF28" s="89"/>
      <c r="AG28" s="89"/>
    </row>
    <row r="29" spans="1:33" s="5" customFormat="1">
      <c r="A29" s="1"/>
      <c r="B29" s="967" t="s">
        <v>371</v>
      </c>
      <c r="C29" s="968">
        <f>+C30+C32</f>
        <v>0</v>
      </c>
      <c r="D29" s="968">
        <f t="shared" ref="D29:N29" si="7">+D30</f>
        <v>0</v>
      </c>
      <c r="E29" s="968">
        <f t="shared" si="7"/>
        <v>2.7817612785364703</v>
      </c>
      <c r="F29" s="968">
        <f t="shared" si="7"/>
        <v>0</v>
      </c>
      <c r="G29" s="968">
        <f t="shared" si="7"/>
        <v>0</v>
      </c>
      <c r="H29" s="968">
        <f t="shared" si="7"/>
        <v>0</v>
      </c>
      <c r="I29" s="968">
        <f t="shared" si="7"/>
        <v>0</v>
      </c>
      <c r="J29" s="968">
        <f t="shared" si="7"/>
        <v>0</v>
      </c>
      <c r="K29" s="968">
        <f t="shared" si="7"/>
        <v>2.7817612785364703</v>
      </c>
      <c r="L29" s="968">
        <f t="shared" si="7"/>
        <v>0</v>
      </c>
      <c r="M29" s="968">
        <f t="shared" si="7"/>
        <v>0</v>
      </c>
      <c r="N29" s="968">
        <f t="shared" si="7"/>
        <v>0</v>
      </c>
      <c r="O29" s="969">
        <f t="shared" si="6"/>
        <v>5.5635225570729405</v>
      </c>
      <c r="P29" s="89"/>
      <c r="Q29" s="89"/>
      <c r="R29" s="89"/>
      <c r="S29" s="89"/>
      <c r="T29" s="89"/>
      <c r="U29" s="89"/>
      <c r="V29" s="89"/>
      <c r="W29" s="89"/>
      <c r="X29" s="89"/>
      <c r="Y29" s="89"/>
      <c r="Z29" s="89"/>
      <c r="AA29" s="89"/>
      <c r="AB29" s="89"/>
      <c r="AC29" s="89"/>
      <c r="AD29" s="89"/>
      <c r="AE29" s="89"/>
      <c r="AF29" s="89"/>
      <c r="AG29" s="89"/>
    </row>
    <row r="30" spans="1:33" s="5" customFormat="1">
      <c r="A30" s="1"/>
      <c r="B30" s="370" t="s">
        <v>68</v>
      </c>
      <c r="C30" s="345">
        <f>+C31</f>
        <v>0</v>
      </c>
      <c r="D30" s="345">
        <f t="shared" ref="D30:N30" si="8">+D31</f>
        <v>0</v>
      </c>
      <c r="E30" s="345">
        <f t="shared" si="8"/>
        <v>2.7817612785364703</v>
      </c>
      <c r="F30" s="345">
        <f t="shared" si="8"/>
        <v>0</v>
      </c>
      <c r="G30" s="345">
        <f t="shared" si="8"/>
        <v>0</v>
      </c>
      <c r="H30" s="345">
        <f t="shared" si="8"/>
        <v>0</v>
      </c>
      <c r="I30" s="345">
        <f t="shared" si="8"/>
        <v>0</v>
      </c>
      <c r="J30" s="345">
        <f t="shared" si="8"/>
        <v>0</v>
      </c>
      <c r="K30" s="345">
        <f t="shared" si="8"/>
        <v>2.7817612785364703</v>
      </c>
      <c r="L30" s="345">
        <f t="shared" si="8"/>
        <v>0</v>
      </c>
      <c r="M30" s="345">
        <f t="shared" si="8"/>
        <v>0</v>
      </c>
      <c r="N30" s="345">
        <f t="shared" si="8"/>
        <v>0</v>
      </c>
      <c r="O30" s="1006">
        <f t="shared" si="6"/>
        <v>5.5635225570729405</v>
      </c>
      <c r="P30" s="89"/>
      <c r="Q30" s="89"/>
      <c r="R30" s="89"/>
      <c r="S30" s="89"/>
      <c r="T30" s="89"/>
      <c r="U30" s="89"/>
      <c r="V30" s="89"/>
      <c r="W30" s="89"/>
      <c r="X30" s="89"/>
      <c r="Y30" s="89"/>
      <c r="Z30" s="89"/>
      <c r="AA30" s="89"/>
      <c r="AB30" s="89"/>
      <c r="AC30" s="89"/>
      <c r="AD30" s="89"/>
      <c r="AE30" s="89"/>
      <c r="AF30" s="89"/>
      <c r="AG30" s="89"/>
    </row>
    <row r="31" spans="1:33" s="5" customFormat="1">
      <c r="A31" s="1"/>
      <c r="B31" s="358" t="s">
        <v>673</v>
      </c>
      <c r="C31" s="343">
        <v>0</v>
      </c>
      <c r="D31" s="343">
        <v>0</v>
      </c>
      <c r="E31" s="343">
        <v>2.7817612785364703</v>
      </c>
      <c r="F31" s="343">
        <v>0</v>
      </c>
      <c r="G31" s="343">
        <v>0</v>
      </c>
      <c r="H31" s="343">
        <v>0</v>
      </c>
      <c r="I31" s="343">
        <v>0</v>
      </c>
      <c r="J31" s="343">
        <v>0</v>
      </c>
      <c r="K31" s="343">
        <v>2.7817612785364703</v>
      </c>
      <c r="L31" s="83">
        <v>0</v>
      </c>
      <c r="M31" s="343">
        <v>0</v>
      </c>
      <c r="N31" s="343">
        <v>0</v>
      </c>
      <c r="O31" s="83">
        <f t="shared" si="6"/>
        <v>5.5635225570729405</v>
      </c>
      <c r="P31" s="89"/>
      <c r="Q31" s="89"/>
      <c r="R31" s="89"/>
      <c r="S31" s="89"/>
      <c r="T31" s="89"/>
      <c r="U31" s="89"/>
      <c r="V31" s="89"/>
      <c r="W31" s="89"/>
      <c r="X31" s="89"/>
      <c r="Y31" s="89"/>
      <c r="Z31" s="89"/>
      <c r="AA31" s="89"/>
      <c r="AB31" s="89"/>
      <c r="AC31" s="89"/>
      <c r="AD31" s="89"/>
      <c r="AE31" s="89"/>
      <c r="AF31" s="89"/>
      <c r="AG31" s="89"/>
    </row>
    <row r="32" spans="1:33" s="5" customFormat="1">
      <c r="A32" s="1"/>
      <c r="B32" s="347" t="s">
        <v>949</v>
      </c>
      <c r="C32" s="381">
        <f>+C33</f>
        <v>0</v>
      </c>
      <c r="D32" s="381">
        <f t="shared" ref="D32:N32" si="9">+D33</f>
        <v>0</v>
      </c>
      <c r="E32" s="381">
        <f t="shared" si="9"/>
        <v>0</v>
      </c>
      <c r="F32" s="381">
        <f t="shared" si="9"/>
        <v>0</v>
      </c>
      <c r="G32" s="381">
        <f t="shared" si="9"/>
        <v>0</v>
      </c>
      <c r="H32" s="381">
        <f t="shared" si="9"/>
        <v>0</v>
      </c>
      <c r="I32" s="381">
        <f t="shared" si="9"/>
        <v>0</v>
      </c>
      <c r="J32" s="381">
        <f t="shared" si="9"/>
        <v>0</v>
      </c>
      <c r="K32" s="381">
        <f t="shared" si="9"/>
        <v>0</v>
      </c>
      <c r="L32" s="381">
        <f t="shared" si="9"/>
        <v>0</v>
      </c>
      <c r="M32" s="381">
        <f t="shared" si="9"/>
        <v>0</v>
      </c>
      <c r="N32" s="381">
        <f t="shared" si="9"/>
        <v>0</v>
      </c>
      <c r="O32" s="1006">
        <f t="shared" si="6"/>
        <v>0</v>
      </c>
      <c r="P32" s="89"/>
      <c r="Q32" s="89"/>
      <c r="R32" s="89"/>
      <c r="S32" s="89"/>
      <c r="T32" s="89"/>
      <c r="U32" s="89"/>
      <c r="V32" s="89"/>
      <c r="W32" s="89"/>
      <c r="X32" s="89"/>
      <c r="Y32" s="89"/>
      <c r="Z32" s="89"/>
      <c r="AA32" s="89"/>
      <c r="AB32" s="89"/>
      <c r="AC32" s="89"/>
      <c r="AD32" s="89"/>
      <c r="AE32" s="89"/>
      <c r="AF32" s="89"/>
      <c r="AG32" s="89"/>
    </row>
    <row r="33" spans="1:33" s="5" customFormat="1">
      <c r="A33" s="1"/>
      <c r="B33" s="370" t="s">
        <v>957</v>
      </c>
      <c r="C33" s="381">
        <v>0</v>
      </c>
      <c r="D33" s="381">
        <v>0</v>
      </c>
      <c r="E33" s="381">
        <v>0</v>
      </c>
      <c r="F33" s="381">
        <v>0</v>
      </c>
      <c r="G33" s="381">
        <v>0</v>
      </c>
      <c r="H33" s="381">
        <v>0</v>
      </c>
      <c r="I33" s="381">
        <v>0</v>
      </c>
      <c r="J33" s="381">
        <v>0</v>
      </c>
      <c r="K33" s="381">
        <v>0</v>
      </c>
      <c r="L33" s="128">
        <v>0</v>
      </c>
      <c r="M33" s="381">
        <v>0</v>
      </c>
      <c r="N33" s="381">
        <v>0</v>
      </c>
      <c r="O33" s="1006">
        <f t="shared" si="6"/>
        <v>0</v>
      </c>
      <c r="P33" s="89"/>
      <c r="Q33" s="89"/>
      <c r="R33" s="89"/>
      <c r="S33" s="89"/>
      <c r="T33" s="89"/>
      <c r="U33" s="89"/>
      <c r="V33" s="89"/>
      <c r="W33" s="89"/>
      <c r="X33" s="89"/>
      <c r="Y33" s="89"/>
      <c r="Z33" s="89"/>
      <c r="AA33" s="89"/>
      <c r="AB33" s="89"/>
      <c r="AC33" s="89"/>
      <c r="AD33" s="89"/>
      <c r="AE33" s="89"/>
      <c r="AF33" s="89"/>
      <c r="AG33" s="89"/>
    </row>
    <row r="34" spans="1:33" s="71" customFormat="1">
      <c r="A34" s="1"/>
      <c r="B34" s="970" t="s">
        <v>824</v>
      </c>
      <c r="C34" s="971">
        <f>C35+C36</f>
        <v>0.88850580640454102</v>
      </c>
      <c r="D34" s="971">
        <f t="shared" ref="D34:N34" si="10">D35+D36</f>
        <v>2.3239632123808325</v>
      </c>
      <c r="E34" s="971">
        <f t="shared" si="10"/>
        <v>3.1488864447708482</v>
      </c>
      <c r="F34" s="971">
        <f t="shared" si="10"/>
        <v>1.4805826020853161</v>
      </c>
      <c r="G34" s="971">
        <f t="shared" si="10"/>
        <v>1.302782387132482</v>
      </c>
      <c r="H34" s="971">
        <f t="shared" si="10"/>
        <v>2.1386286596285156</v>
      </c>
      <c r="I34" s="971">
        <f t="shared" si="10"/>
        <v>0.71094248071875799</v>
      </c>
      <c r="J34" s="971">
        <f t="shared" si="10"/>
        <v>1.8739005118423908</v>
      </c>
      <c r="K34" s="971">
        <f t="shared" si="10"/>
        <v>2.5215453371675434</v>
      </c>
      <c r="L34" s="971">
        <f t="shared" si="10"/>
        <v>1.1425328746998908</v>
      </c>
      <c r="M34" s="971">
        <f t="shared" si="10"/>
        <v>0.97826289954002799</v>
      </c>
      <c r="N34" s="971">
        <f t="shared" si="10"/>
        <v>1.6207102640771351</v>
      </c>
      <c r="O34" s="972">
        <f t="shared" si="6"/>
        <v>20.131243480448283</v>
      </c>
      <c r="P34" s="89"/>
      <c r="Q34" s="89"/>
      <c r="R34" s="89"/>
      <c r="S34" s="89"/>
      <c r="T34" s="89"/>
      <c r="U34" s="89"/>
      <c r="V34" s="89"/>
      <c r="W34" s="89"/>
      <c r="X34" s="89"/>
      <c r="Y34" s="89"/>
      <c r="Z34" s="89"/>
      <c r="AA34" s="89"/>
      <c r="AB34" s="89"/>
      <c r="AC34" s="89"/>
      <c r="AD34" s="89"/>
      <c r="AE34" s="89"/>
      <c r="AF34" s="89"/>
      <c r="AG34" s="89"/>
    </row>
    <row r="35" spans="1:33" s="71" customFormat="1">
      <c r="A35" s="1"/>
      <c r="B35" s="346" t="s">
        <v>72</v>
      </c>
      <c r="C35" s="345">
        <v>0.49319632640454103</v>
      </c>
      <c r="D35" s="345">
        <v>0.48081612238083293</v>
      </c>
      <c r="E35" s="345">
        <v>0.46820015477084898</v>
      </c>
      <c r="F35" s="345">
        <v>0.45522938208531599</v>
      </c>
      <c r="G35" s="345">
        <v>0.44213264713248202</v>
      </c>
      <c r="H35" s="345">
        <v>0.42875054962851594</v>
      </c>
      <c r="I35" s="345">
        <v>0.41515241071875802</v>
      </c>
      <c r="J35" s="345">
        <v>0.401260671842391</v>
      </c>
      <c r="K35" s="345">
        <v>0.38714066716754297</v>
      </c>
      <c r="L35" s="345">
        <v>0.37275230469989096</v>
      </c>
      <c r="M35" s="345">
        <v>0.35805868954002801</v>
      </c>
      <c r="N35" s="345">
        <v>0.34311804407713498</v>
      </c>
      <c r="O35" s="1006">
        <f>SUM(C35:N35)</f>
        <v>5.0458079704482834</v>
      </c>
      <c r="P35" s="89"/>
      <c r="Q35" s="89"/>
      <c r="R35" s="89"/>
      <c r="S35" s="89"/>
      <c r="T35" s="89"/>
      <c r="U35" s="89"/>
      <c r="V35" s="89"/>
      <c r="W35" s="89"/>
      <c r="X35" s="89"/>
      <c r="Y35" s="89"/>
      <c r="Z35" s="89"/>
      <c r="AA35" s="89"/>
      <c r="AB35" s="89"/>
      <c r="AC35" s="89"/>
      <c r="AD35" s="89"/>
      <c r="AE35" s="89"/>
      <c r="AF35" s="89"/>
      <c r="AG35" s="89"/>
    </row>
    <row r="36" spans="1:33" s="71" customFormat="1">
      <c r="A36" s="1"/>
      <c r="B36" s="348" t="s">
        <v>70</v>
      </c>
      <c r="C36" s="349">
        <v>0.39530947999999999</v>
      </c>
      <c r="D36" s="349">
        <v>1.8431470899999995</v>
      </c>
      <c r="E36" s="349">
        <v>2.6806862899999992</v>
      </c>
      <c r="F36" s="349">
        <v>1.0253532200000002</v>
      </c>
      <c r="G36" s="349">
        <v>0.86064973999999994</v>
      </c>
      <c r="H36" s="349">
        <v>1.7098781099999998</v>
      </c>
      <c r="I36" s="349">
        <v>0.29579006999999996</v>
      </c>
      <c r="J36" s="349">
        <v>1.4726398399999998</v>
      </c>
      <c r="K36" s="349">
        <v>2.1344046700000003</v>
      </c>
      <c r="L36" s="84">
        <v>0.76978057</v>
      </c>
      <c r="M36" s="349">
        <v>0.62020420999999992</v>
      </c>
      <c r="N36" s="349">
        <v>1.2775922200000003</v>
      </c>
      <c r="O36" s="349">
        <f>SUM(C36:N36)</f>
        <v>15.085435510000002</v>
      </c>
      <c r="P36" s="89"/>
      <c r="Q36" s="89"/>
      <c r="R36" s="89"/>
      <c r="S36" s="89"/>
      <c r="T36" s="89"/>
      <c r="U36" s="89"/>
      <c r="V36" s="89"/>
      <c r="W36" s="89"/>
      <c r="X36" s="89"/>
      <c r="Y36" s="89"/>
      <c r="Z36" s="89"/>
      <c r="AA36" s="89"/>
      <c r="AB36" s="89"/>
      <c r="AC36" s="89"/>
      <c r="AD36" s="89"/>
      <c r="AE36" s="89"/>
      <c r="AF36" s="89"/>
      <c r="AG36" s="89"/>
    </row>
    <row r="37" spans="1:33" s="71" customFormat="1" ht="13.5" thickBot="1">
      <c r="A37" s="1"/>
      <c r="B37" s="350"/>
      <c r="C37" s="351"/>
      <c r="D37" s="351"/>
      <c r="E37" s="351"/>
      <c r="F37" s="351"/>
      <c r="G37" s="351"/>
      <c r="H37" s="351"/>
      <c r="I37" s="81"/>
      <c r="J37" s="81"/>
      <c r="K37" s="81"/>
      <c r="L37" s="81"/>
      <c r="M37" s="81"/>
      <c r="N37" s="81"/>
      <c r="O37" s="1009"/>
      <c r="P37" s="89"/>
      <c r="Q37" s="89"/>
      <c r="R37" s="89"/>
      <c r="S37" s="89"/>
      <c r="T37" s="89"/>
      <c r="U37" s="89"/>
      <c r="V37" s="89"/>
      <c r="W37" s="89"/>
      <c r="X37" s="89"/>
      <c r="Y37" s="89"/>
      <c r="Z37" s="89"/>
      <c r="AA37" s="89"/>
      <c r="AB37" s="89"/>
      <c r="AC37" s="89"/>
      <c r="AD37" s="89"/>
      <c r="AE37" s="89"/>
      <c r="AF37" s="89"/>
      <c r="AG37" s="89"/>
    </row>
    <row r="38" spans="1:33" s="71" customFormat="1" ht="13.5" thickBot="1">
      <c r="A38" s="1"/>
      <c r="B38" s="126" t="s">
        <v>307</v>
      </c>
      <c r="C38" s="78">
        <f>+C39+C56+SUM(C73:C119)+C122</f>
        <v>1076.1418529268572</v>
      </c>
      <c r="D38" s="78">
        <f t="shared" ref="D38:O38" si="11">+D39+D56+SUM(D73:D119)+D122</f>
        <v>130.52057815935362</v>
      </c>
      <c r="E38" s="78">
        <f t="shared" si="11"/>
        <v>293.01594096511309</v>
      </c>
      <c r="F38" s="78">
        <f t="shared" si="11"/>
        <v>1141.2851167387175</v>
      </c>
      <c r="G38" s="78">
        <f t="shared" si="11"/>
        <v>274.16236742333842</v>
      </c>
      <c r="H38" s="78">
        <f t="shared" si="11"/>
        <v>1699.4453827185453</v>
      </c>
      <c r="I38" s="78">
        <f t="shared" si="11"/>
        <v>812.23339152827998</v>
      </c>
      <c r="J38" s="78">
        <f t="shared" si="11"/>
        <v>45.97250465297406</v>
      </c>
      <c r="K38" s="78">
        <f t="shared" si="11"/>
        <v>277.78269314562442</v>
      </c>
      <c r="L38" s="78">
        <f t="shared" si="11"/>
        <v>986.60733231396546</v>
      </c>
      <c r="M38" s="78">
        <f t="shared" si="11"/>
        <v>268.46589427896021</v>
      </c>
      <c r="N38" s="78">
        <f t="shared" si="11"/>
        <v>1699.7165405196149</v>
      </c>
      <c r="O38" s="78">
        <f t="shared" si="11"/>
        <v>8705.3495953713464</v>
      </c>
      <c r="P38" s="89"/>
      <c r="Q38" s="89"/>
      <c r="R38" s="89"/>
      <c r="S38" s="89"/>
      <c r="T38" s="89"/>
      <c r="U38" s="89"/>
      <c r="V38" s="89"/>
      <c r="W38" s="89"/>
      <c r="X38" s="89"/>
      <c r="Y38" s="89"/>
      <c r="Z38" s="89"/>
      <c r="AA38" s="89"/>
      <c r="AB38" s="89"/>
      <c r="AC38" s="89"/>
      <c r="AD38" s="89"/>
      <c r="AE38" s="89"/>
      <c r="AF38" s="89"/>
      <c r="AG38" s="89"/>
    </row>
    <row r="39" spans="1:33" s="71" customFormat="1">
      <c r="A39" s="1"/>
      <c r="B39" s="355" t="s">
        <v>74</v>
      </c>
      <c r="C39" s="356">
        <f>+C40+C43+C50+C53</f>
        <v>0</v>
      </c>
      <c r="D39" s="356">
        <f t="shared" ref="D39:N39" si="12">+D40+D43+D50+D53</f>
        <v>0</v>
      </c>
      <c r="E39" s="356">
        <f t="shared" si="12"/>
        <v>254.0970538613939</v>
      </c>
      <c r="F39" s="356">
        <f t="shared" si="12"/>
        <v>0</v>
      </c>
      <c r="G39" s="356">
        <f t="shared" si="12"/>
        <v>0</v>
      </c>
      <c r="H39" s="356">
        <f t="shared" si="12"/>
        <v>0</v>
      </c>
      <c r="I39" s="356">
        <f t="shared" si="12"/>
        <v>0</v>
      </c>
      <c r="J39" s="356">
        <f t="shared" si="12"/>
        <v>0</v>
      </c>
      <c r="K39" s="356">
        <f>+K40+K43+K50+K53</f>
        <v>254.0970538613939</v>
      </c>
      <c r="L39" s="356">
        <f t="shared" si="12"/>
        <v>0</v>
      </c>
      <c r="M39" s="356">
        <f t="shared" si="12"/>
        <v>0</v>
      </c>
      <c r="N39" s="356">
        <f t="shared" si="12"/>
        <v>0</v>
      </c>
      <c r="O39" s="85">
        <f>SUM(C39:N39)</f>
        <v>508.19410772278781</v>
      </c>
      <c r="P39" s="89"/>
      <c r="Q39" s="89"/>
      <c r="R39" s="89"/>
      <c r="S39" s="89"/>
      <c r="T39" s="89"/>
      <c r="U39" s="89"/>
      <c r="V39" s="89"/>
      <c r="W39" s="89"/>
      <c r="X39" s="89"/>
      <c r="Y39" s="89"/>
      <c r="Z39" s="89"/>
      <c r="AA39" s="89"/>
      <c r="AB39" s="89"/>
      <c r="AC39" s="89"/>
      <c r="AD39" s="89"/>
      <c r="AE39" s="89"/>
      <c r="AF39" s="89"/>
      <c r="AG39" s="89"/>
    </row>
    <row r="40" spans="1:33" s="71" customFormat="1">
      <c r="A40" s="1"/>
      <c r="B40" s="269" t="s">
        <v>19</v>
      </c>
      <c r="C40" s="357">
        <f>+C41+C42</f>
        <v>0</v>
      </c>
      <c r="D40" s="357">
        <f t="shared" ref="D40:N40" si="13">+D41+D42</f>
        <v>0</v>
      </c>
      <c r="E40" s="357">
        <f t="shared" si="13"/>
        <v>5.384714465869882</v>
      </c>
      <c r="F40" s="357">
        <f t="shared" si="13"/>
        <v>0</v>
      </c>
      <c r="G40" s="357">
        <f t="shared" si="13"/>
        <v>0</v>
      </c>
      <c r="H40" s="357">
        <f t="shared" si="13"/>
        <v>0</v>
      </c>
      <c r="I40" s="357">
        <f t="shared" si="13"/>
        <v>0</v>
      </c>
      <c r="J40" s="357">
        <f t="shared" si="13"/>
        <v>0</v>
      </c>
      <c r="K40" s="357">
        <f t="shared" si="13"/>
        <v>5.384714465869882</v>
      </c>
      <c r="L40" s="357">
        <f t="shared" si="13"/>
        <v>0</v>
      </c>
      <c r="M40" s="357">
        <f t="shared" si="13"/>
        <v>0</v>
      </c>
      <c r="N40" s="357">
        <f t="shared" si="13"/>
        <v>0</v>
      </c>
      <c r="O40" s="1009">
        <f>SUM(C40:N40)</f>
        <v>10.769428931739764</v>
      </c>
      <c r="P40" s="89"/>
      <c r="Q40" s="89"/>
      <c r="R40" s="89"/>
      <c r="S40" s="89"/>
      <c r="T40" s="89"/>
      <c r="U40" s="89"/>
      <c r="V40" s="89"/>
      <c r="W40" s="89"/>
      <c r="X40" s="89"/>
      <c r="Y40" s="89"/>
      <c r="Z40" s="89"/>
      <c r="AA40" s="89"/>
      <c r="AB40" s="89"/>
      <c r="AC40" s="89"/>
      <c r="AD40" s="89"/>
      <c r="AE40" s="89"/>
      <c r="AF40" s="89"/>
      <c r="AG40" s="89"/>
    </row>
    <row r="41" spans="1:33" s="71" customFormat="1">
      <c r="A41" s="1"/>
      <c r="B41" s="358" t="s">
        <v>240</v>
      </c>
      <c r="C41" s="357">
        <v>0</v>
      </c>
      <c r="D41" s="357">
        <v>0</v>
      </c>
      <c r="E41" s="357">
        <v>5.36338427438353</v>
      </c>
      <c r="F41" s="357">
        <v>0</v>
      </c>
      <c r="G41" s="357">
        <v>0</v>
      </c>
      <c r="H41" s="357">
        <v>0</v>
      </c>
      <c r="I41" s="357">
        <v>0</v>
      </c>
      <c r="J41" s="357">
        <v>0</v>
      </c>
      <c r="K41" s="357">
        <v>5.36338427438353</v>
      </c>
      <c r="L41" s="357">
        <v>0</v>
      </c>
      <c r="M41" s="357">
        <v>0</v>
      </c>
      <c r="N41" s="357">
        <v>0</v>
      </c>
      <c r="O41" s="81">
        <f>SUM(C41:N41)</f>
        <v>10.72676854876706</v>
      </c>
      <c r="P41" s="89"/>
      <c r="Q41" s="89"/>
      <c r="R41" s="89"/>
      <c r="S41" s="89"/>
      <c r="T41" s="89"/>
      <c r="U41" s="89"/>
      <c r="V41" s="89"/>
      <c r="W41" s="89"/>
      <c r="X41" s="89"/>
      <c r="Y41" s="89"/>
      <c r="Z41" s="89"/>
      <c r="AA41" s="89"/>
      <c r="AB41" s="89"/>
      <c r="AC41" s="89"/>
      <c r="AD41" s="89"/>
      <c r="AE41" s="89"/>
      <c r="AF41" s="89"/>
      <c r="AG41" s="89"/>
    </row>
    <row r="42" spans="1:33" s="71" customFormat="1">
      <c r="A42" s="1"/>
      <c r="B42" s="358" t="s">
        <v>241</v>
      </c>
      <c r="C42" s="357">
        <v>0</v>
      </c>
      <c r="D42" s="357">
        <v>0</v>
      </c>
      <c r="E42" s="357">
        <v>2.1330191486352401E-2</v>
      </c>
      <c r="F42" s="357">
        <v>0</v>
      </c>
      <c r="G42" s="357">
        <v>0</v>
      </c>
      <c r="H42" s="357">
        <v>0</v>
      </c>
      <c r="I42" s="357">
        <v>0</v>
      </c>
      <c r="J42" s="357">
        <v>0</v>
      </c>
      <c r="K42" s="357">
        <v>2.1330191486352401E-2</v>
      </c>
      <c r="L42" s="357">
        <v>0</v>
      </c>
      <c r="M42" s="357">
        <v>0</v>
      </c>
      <c r="N42" s="357">
        <v>0</v>
      </c>
      <c r="O42" s="81">
        <f>SUM(C42:N42)</f>
        <v>4.2660382972704802E-2</v>
      </c>
      <c r="P42" s="89"/>
      <c r="Q42" s="89"/>
      <c r="R42" s="89"/>
      <c r="S42" s="89"/>
      <c r="T42" s="89"/>
      <c r="U42" s="89"/>
      <c r="V42" s="89"/>
      <c r="W42" s="89"/>
      <c r="X42" s="89"/>
      <c r="Y42" s="89"/>
      <c r="Z42" s="89"/>
      <c r="AA42" s="89"/>
      <c r="AB42" s="89"/>
      <c r="AC42" s="89"/>
      <c r="AD42" s="89"/>
      <c r="AE42" s="89"/>
      <c r="AF42" s="89"/>
      <c r="AG42" s="89"/>
    </row>
    <row r="43" spans="1:33" s="71" customFormat="1">
      <c r="A43" s="1"/>
      <c r="B43" s="269" t="s">
        <v>20</v>
      </c>
      <c r="C43" s="357">
        <f>+C44+C47</f>
        <v>0</v>
      </c>
      <c r="D43" s="357">
        <f t="shared" ref="D43:N43" si="14">+D44+D47</f>
        <v>0</v>
      </c>
      <c r="E43" s="357">
        <f t="shared" si="14"/>
        <v>125.52432972000001</v>
      </c>
      <c r="F43" s="357">
        <f t="shared" si="14"/>
        <v>0</v>
      </c>
      <c r="G43" s="357">
        <f t="shared" si="14"/>
        <v>0</v>
      </c>
      <c r="H43" s="357">
        <f t="shared" si="14"/>
        <v>0</v>
      </c>
      <c r="I43" s="357">
        <f t="shared" si="14"/>
        <v>0</v>
      </c>
      <c r="J43" s="357">
        <f t="shared" si="14"/>
        <v>0</v>
      </c>
      <c r="K43" s="357">
        <f t="shared" si="14"/>
        <v>125.52432972000001</v>
      </c>
      <c r="L43" s="357">
        <f t="shared" si="14"/>
        <v>0</v>
      </c>
      <c r="M43" s="357">
        <f t="shared" si="14"/>
        <v>0</v>
      </c>
      <c r="N43" s="357">
        <f t="shared" si="14"/>
        <v>0</v>
      </c>
      <c r="O43" s="1009">
        <f t="shared" ref="O43:O55" si="15">SUM(C43:N43)</f>
        <v>251.04865944000002</v>
      </c>
      <c r="P43" s="89"/>
      <c r="Q43" s="89"/>
      <c r="R43" s="89"/>
      <c r="S43" s="89"/>
      <c r="T43" s="89"/>
      <c r="U43" s="89"/>
      <c r="V43" s="89"/>
      <c r="W43" s="89"/>
      <c r="X43" s="89"/>
      <c r="Y43" s="89"/>
      <c r="Z43" s="89"/>
      <c r="AA43" s="89"/>
      <c r="AB43" s="89"/>
      <c r="AC43" s="89"/>
      <c r="AD43" s="89"/>
      <c r="AE43" s="89"/>
      <c r="AF43" s="89"/>
      <c r="AG43" s="89"/>
    </row>
    <row r="44" spans="1:33" s="71" customFormat="1">
      <c r="A44" s="1"/>
      <c r="B44" s="358" t="s">
        <v>240</v>
      </c>
      <c r="C44" s="357">
        <f>+C45+C46</f>
        <v>0</v>
      </c>
      <c r="D44" s="357">
        <f t="shared" ref="D44:N44" si="16">+D45+D46</f>
        <v>0</v>
      </c>
      <c r="E44" s="357">
        <f t="shared" si="16"/>
        <v>122.36722570000001</v>
      </c>
      <c r="F44" s="357">
        <f t="shared" si="16"/>
        <v>0</v>
      </c>
      <c r="G44" s="357">
        <f t="shared" si="16"/>
        <v>0</v>
      </c>
      <c r="H44" s="357">
        <f t="shared" si="16"/>
        <v>0</v>
      </c>
      <c r="I44" s="357">
        <f t="shared" si="16"/>
        <v>0</v>
      </c>
      <c r="J44" s="357">
        <f t="shared" si="16"/>
        <v>0</v>
      </c>
      <c r="K44" s="357">
        <f t="shared" si="16"/>
        <v>122.36722570000001</v>
      </c>
      <c r="L44" s="357">
        <f t="shared" si="16"/>
        <v>0</v>
      </c>
      <c r="M44" s="357">
        <f t="shared" si="16"/>
        <v>0</v>
      </c>
      <c r="N44" s="357">
        <f t="shared" si="16"/>
        <v>0</v>
      </c>
      <c r="O44" s="1009">
        <f t="shared" si="15"/>
        <v>244.73445140000001</v>
      </c>
      <c r="P44" s="89"/>
      <c r="Q44" s="89"/>
      <c r="R44" s="89"/>
      <c r="S44" s="89"/>
      <c r="T44" s="89"/>
      <c r="U44" s="89"/>
      <c r="V44" s="89"/>
      <c r="W44" s="89"/>
      <c r="X44" s="89"/>
      <c r="Y44" s="89"/>
      <c r="Z44" s="89"/>
      <c r="AA44" s="89"/>
      <c r="AB44" s="89"/>
      <c r="AC44" s="89"/>
      <c r="AD44" s="89"/>
      <c r="AE44" s="89"/>
      <c r="AF44" s="89"/>
      <c r="AG44" s="89"/>
    </row>
    <row r="45" spans="1:33" s="71" customFormat="1">
      <c r="A45" s="1"/>
      <c r="B45" s="359" t="s">
        <v>242</v>
      </c>
      <c r="C45" s="357">
        <v>0</v>
      </c>
      <c r="D45" s="357">
        <v>0</v>
      </c>
      <c r="E45" s="357">
        <v>99.312922409999999</v>
      </c>
      <c r="F45" s="357">
        <v>0</v>
      </c>
      <c r="G45" s="357">
        <v>0</v>
      </c>
      <c r="H45" s="357">
        <v>0</v>
      </c>
      <c r="I45" s="357">
        <v>0</v>
      </c>
      <c r="J45" s="357">
        <v>0</v>
      </c>
      <c r="K45" s="357">
        <v>99.312922409999999</v>
      </c>
      <c r="L45" s="81">
        <v>0</v>
      </c>
      <c r="M45" s="357">
        <v>0</v>
      </c>
      <c r="N45" s="357">
        <v>0</v>
      </c>
      <c r="O45" s="1009">
        <f t="shared" si="15"/>
        <v>198.62584482</v>
      </c>
      <c r="P45" s="89"/>
      <c r="Q45" s="89"/>
      <c r="R45" s="89"/>
      <c r="S45" s="89"/>
      <c r="T45" s="89"/>
      <c r="U45" s="89"/>
      <c r="V45" s="89"/>
      <c r="W45" s="89"/>
      <c r="X45" s="89"/>
      <c r="Y45" s="89"/>
      <c r="Z45" s="89"/>
      <c r="AA45" s="89"/>
      <c r="AB45" s="89"/>
      <c r="AC45" s="89"/>
      <c r="AD45" s="89"/>
      <c r="AE45" s="89"/>
      <c r="AF45" s="89"/>
      <c r="AG45" s="89"/>
    </row>
    <row r="46" spans="1:33" s="71" customFormat="1">
      <c r="A46" s="1"/>
      <c r="B46" s="360" t="s">
        <v>243</v>
      </c>
      <c r="C46" s="357">
        <v>0</v>
      </c>
      <c r="D46" s="357">
        <v>0</v>
      </c>
      <c r="E46" s="357">
        <v>23.05430329</v>
      </c>
      <c r="F46" s="357">
        <v>0</v>
      </c>
      <c r="G46" s="357">
        <v>0</v>
      </c>
      <c r="H46" s="357">
        <v>0</v>
      </c>
      <c r="I46" s="357">
        <v>0</v>
      </c>
      <c r="J46" s="357">
        <v>0</v>
      </c>
      <c r="K46" s="357">
        <v>23.05430329</v>
      </c>
      <c r="L46" s="81">
        <v>0</v>
      </c>
      <c r="M46" s="357">
        <v>0</v>
      </c>
      <c r="N46" s="357">
        <v>0</v>
      </c>
      <c r="O46" s="1009">
        <f t="shared" si="15"/>
        <v>46.10860658</v>
      </c>
      <c r="P46" s="89"/>
      <c r="Q46" s="89"/>
      <c r="R46" s="89"/>
      <c r="S46" s="89"/>
      <c r="T46" s="89"/>
      <c r="U46" s="89"/>
      <c r="V46" s="89"/>
      <c r="W46" s="89"/>
      <c r="X46" s="89"/>
      <c r="Y46" s="89"/>
      <c r="Z46" s="89"/>
      <c r="AA46" s="89"/>
      <c r="AB46" s="89"/>
      <c r="AC46" s="89"/>
      <c r="AD46" s="89"/>
      <c r="AE46" s="89"/>
      <c r="AF46" s="89"/>
      <c r="AG46" s="89"/>
    </row>
    <row r="47" spans="1:33" s="71" customFormat="1">
      <c r="A47" s="1"/>
      <c r="B47" s="358" t="s">
        <v>241</v>
      </c>
      <c r="C47" s="357">
        <f>+C48+C49</f>
        <v>0</v>
      </c>
      <c r="D47" s="357">
        <f t="shared" ref="D47:N47" si="17">+D48+D49</f>
        <v>0</v>
      </c>
      <c r="E47" s="357">
        <f t="shared" si="17"/>
        <v>3.1571040199999998</v>
      </c>
      <c r="F47" s="357">
        <f t="shared" si="17"/>
        <v>0</v>
      </c>
      <c r="G47" s="357">
        <f t="shared" si="17"/>
        <v>0</v>
      </c>
      <c r="H47" s="357">
        <f t="shared" si="17"/>
        <v>0</v>
      </c>
      <c r="I47" s="357">
        <f t="shared" si="17"/>
        <v>0</v>
      </c>
      <c r="J47" s="357">
        <f t="shared" si="17"/>
        <v>0</v>
      </c>
      <c r="K47" s="357">
        <f t="shared" si="17"/>
        <v>3.1571040199999998</v>
      </c>
      <c r="L47" s="357">
        <f t="shared" si="17"/>
        <v>0</v>
      </c>
      <c r="M47" s="357">
        <f t="shared" si="17"/>
        <v>0</v>
      </c>
      <c r="N47" s="357">
        <f t="shared" si="17"/>
        <v>0</v>
      </c>
      <c r="O47" s="1009">
        <f t="shared" si="15"/>
        <v>6.3142080399999996</v>
      </c>
      <c r="P47" s="89"/>
      <c r="Q47" s="89"/>
      <c r="R47" s="89"/>
      <c r="S47" s="89"/>
      <c r="T47" s="89"/>
      <c r="U47" s="89"/>
      <c r="V47" s="89"/>
      <c r="W47" s="89"/>
      <c r="X47" s="89"/>
      <c r="Y47" s="89"/>
      <c r="Z47" s="89"/>
      <c r="AA47" s="89"/>
      <c r="AB47" s="89"/>
      <c r="AC47" s="89"/>
      <c r="AD47" s="89"/>
      <c r="AE47" s="89"/>
      <c r="AF47" s="89"/>
      <c r="AG47" s="89"/>
    </row>
    <row r="48" spans="1:33" s="71" customFormat="1">
      <c r="A48" s="1"/>
      <c r="B48" s="359" t="s">
        <v>242</v>
      </c>
      <c r="C48" s="357">
        <v>0</v>
      </c>
      <c r="D48" s="357">
        <v>0</v>
      </c>
      <c r="E48" s="357">
        <v>1.8176096099999999</v>
      </c>
      <c r="F48" s="357">
        <v>0</v>
      </c>
      <c r="G48" s="357">
        <v>0</v>
      </c>
      <c r="H48" s="357">
        <v>0</v>
      </c>
      <c r="I48" s="357">
        <v>0</v>
      </c>
      <c r="J48" s="357">
        <v>0</v>
      </c>
      <c r="K48" s="357">
        <v>1.8176096099999999</v>
      </c>
      <c r="L48" s="81">
        <v>0</v>
      </c>
      <c r="M48" s="357">
        <v>0</v>
      </c>
      <c r="N48" s="357">
        <v>0</v>
      </c>
      <c r="O48" s="1009">
        <f t="shared" si="15"/>
        <v>3.6352192199999998</v>
      </c>
      <c r="P48" s="89"/>
      <c r="Q48" s="89"/>
      <c r="R48" s="89"/>
      <c r="S48" s="89"/>
      <c r="T48" s="89"/>
      <c r="U48" s="89"/>
      <c r="V48" s="89"/>
      <c r="W48" s="89"/>
      <c r="X48" s="89"/>
      <c r="Y48" s="89"/>
      <c r="Z48" s="89"/>
      <c r="AA48" s="89"/>
      <c r="AB48" s="89"/>
      <c r="AC48" s="89"/>
      <c r="AD48" s="89"/>
      <c r="AE48" s="89"/>
      <c r="AF48" s="89"/>
      <c r="AG48" s="89"/>
    </row>
    <row r="49" spans="1:33" s="71" customFormat="1">
      <c r="A49" s="1"/>
      <c r="B49" s="360" t="s">
        <v>243</v>
      </c>
      <c r="C49" s="357">
        <v>0</v>
      </c>
      <c r="D49" s="357">
        <v>0</v>
      </c>
      <c r="E49" s="357">
        <v>1.3394944099999999</v>
      </c>
      <c r="F49" s="357">
        <v>0</v>
      </c>
      <c r="G49" s="357">
        <v>0</v>
      </c>
      <c r="H49" s="357">
        <v>0</v>
      </c>
      <c r="I49" s="357">
        <v>0</v>
      </c>
      <c r="J49" s="357">
        <v>0</v>
      </c>
      <c r="K49" s="357">
        <v>1.3394944099999999</v>
      </c>
      <c r="L49" s="81">
        <v>0</v>
      </c>
      <c r="M49" s="357">
        <v>0</v>
      </c>
      <c r="N49" s="357">
        <v>0</v>
      </c>
      <c r="O49" s="1009">
        <f t="shared" si="15"/>
        <v>2.6789888199999998</v>
      </c>
      <c r="P49" s="89"/>
      <c r="Q49" s="89"/>
      <c r="R49" s="89"/>
      <c r="S49" s="89"/>
      <c r="T49" s="89"/>
      <c r="U49" s="89"/>
      <c r="V49" s="89"/>
      <c r="W49" s="89"/>
      <c r="X49" s="89"/>
      <c r="Y49" s="89"/>
      <c r="Z49" s="89"/>
      <c r="AA49" s="89"/>
      <c r="AB49" s="89"/>
      <c r="AC49" s="89"/>
      <c r="AD49" s="89"/>
      <c r="AE49" s="89"/>
      <c r="AF49" s="89"/>
      <c r="AG49" s="89"/>
    </row>
    <row r="50" spans="1:33" s="71" customFormat="1">
      <c r="A50" s="1"/>
      <c r="B50" s="269" t="s">
        <v>21</v>
      </c>
      <c r="C50" s="357">
        <f>+C51+C52</f>
        <v>0</v>
      </c>
      <c r="D50" s="357">
        <f t="shared" ref="D50:N50" si="18">+D51+D52</f>
        <v>0</v>
      </c>
      <c r="E50" s="357">
        <f t="shared" si="18"/>
        <v>122.62915632776597</v>
      </c>
      <c r="F50" s="357">
        <f t="shared" si="18"/>
        <v>0</v>
      </c>
      <c r="G50" s="357">
        <f t="shared" si="18"/>
        <v>0</v>
      </c>
      <c r="H50" s="357">
        <f t="shared" si="18"/>
        <v>0</v>
      </c>
      <c r="I50" s="357">
        <f t="shared" si="18"/>
        <v>0</v>
      </c>
      <c r="J50" s="357">
        <f t="shared" si="18"/>
        <v>0</v>
      </c>
      <c r="K50" s="357">
        <f t="shared" si="18"/>
        <v>122.62915632776597</v>
      </c>
      <c r="L50" s="357">
        <f t="shared" si="18"/>
        <v>0</v>
      </c>
      <c r="M50" s="357">
        <f t="shared" si="18"/>
        <v>0</v>
      </c>
      <c r="N50" s="357">
        <f t="shared" si="18"/>
        <v>0</v>
      </c>
      <c r="O50" s="1009">
        <f t="shared" si="15"/>
        <v>245.25831265553194</v>
      </c>
      <c r="P50" s="89"/>
      <c r="Q50" s="89"/>
      <c r="R50" s="89"/>
      <c r="S50" s="89"/>
      <c r="T50" s="89"/>
      <c r="U50" s="89"/>
      <c r="V50" s="89"/>
      <c r="W50" s="89"/>
      <c r="X50" s="89"/>
      <c r="Y50" s="89"/>
      <c r="Z50" s="89"/>
      <c r="AA50" s="89"/>
      <c r="AB50" s="89"/>
      <c r="AC50" s="89"/>
      <c r="AD50" s="89"/>
      <c r="AE50" s="89"/>
      <c r="AF50" s="89"/>
      <c r="AG50" s="89"/>
    </row>
    <row r="51" spans="1:33" s="71" customFormat="1">
      <c r="A51" s="1"/>
      <c r="B51" s="358" t="s">
        <v>240</v>
      </c>
      <c r="C51" s="357">
        <v>0</v>
      </c>
      <c r="D51" s="357">
        <v>0</v>
      </c>
      <c r="E51" s="357">
        <v>95.381701199417094</v>
      </c>
      <c r="F51" s="357">
        <v>0</v>
      </c>
      <c r="G51" s="357">
        <v>0</v>
      </c>
      <c r="H51" s="357">
        <v>0</v>
      </c>
      <c r="I51" s="357">
        <v>0</v>
      </c>
      <c r="J51" s="357">
        <v>0</v>
      </c>
      <c r="K51" s="357">
        <v>95.381701199417094</v>
      </c>
      <c r="L51" s="81">
        <v>0</v>
      </c>
      <c r="M51" s="357">
        <v>0</v>
      </c>
      <c r="N51" s="357">
        <v>0</v>
      </c>
      <c r="O51" s="1009">
        <f t="shared" si="15"/>
        <v>190.76340239883419</v>
      </c>
      <c r="P51" s="89"/>
      <c r="Q51" s="89"/>
      <c r="R51" s="89"/>
      <c r="S51" s="89"/>
      <c r="T51" s="89"/>
      <c r="U51" s="89"/>
      <c r="V51" s="89"/>
      <c r="W51" s="89"/>
      <c r="X51" s="89"/>
      <c r="Y51" s="89"/>
      <c r="Z51" s="89"/>
      <c r="AA51" s="89"/>
      <c r="AB51" s="89"/>
      <c r="AC51" s="89"/>
      <c r="AD51" s="89"/>
      <c r="AE51" s="89"/>
      <c r="AF51" s="89"/>
      <c r="AG51" s="89"/>
    </row>
    <row r="52" spans="1:33" s="71" customFormat="1">
      <c r="A52" s="1"/>
      <c r="B52" s="358" t="s">
        <v>241</v>
      </c>
      <c r="C52" s="357">
        <v>0</v>
      </c>
      <c r="D52" s="357">
        <v>0</v>
      </c>
      <c r="E52" s="357">
        <v>27.247455128348882</v>
      </c>
      <c r="F52" s="357">
        <v>0</v>
      </c>
      <c r="G52" s="357">
        <v>0</v>
      </c>
      <c r="H52" s="357">
        <v>0</v>
      </c>
      <c r="I52" s="357">
        <v>0</v>
      </c>
      <c r="J52" s="357">
        <v>0</v>
      </c>
      <c r="K52" s="357">
        <v>27.247455128348882</v>
      </c>
      <c r="L52" s="81">
        <v>0</v>
      </c>
      <c r="M52" s="357">
        <v>0</v>
      </c>
      <c r="N52" s="357">
        <v>0</v>
      </c>
      <c r="O52" s="1009">
        <f t="shared" si="15"/>
        <v>54.494910256697764</v>
      </c>
      <c r="P52" s="89"/>
      <c r="Q52" s="89"/>
      <c r="R52" s="89"/>
      <c r="S52" s="89"/>
      <c r="T52" s="89"/>
      <c r="U52" s="89"/>
      <c r="V52" s="89"/>
      <c r="W52" s="89"/>
      <c r="X52" s="89"/>
      <c r="Y52" s="89"/>
      <c r="Z52" s="89"/>
      <c r="AA52" s="89"/>
      <c r="AB52" s="89"/>
      <c r="AC52" s="89"/>
      <c r="AD52" s="89"/>
      <c r="AE52" s="89"/>
      <c r="AF52" s="89"/>
      <c r="AG52" s="89"/>
    </row>
    <row r="53" spans="1:33" s="71" customFormat="1">
      <c r="A53" s="1"/>
      <c r="B53" s="269" t="s">
        <v>22</v>
      </c>
      <c r="C53" s="357">
        <f>+C54+C55</f>
        <v>0</v>
      </c>
      <c r="D53" s="357">
        <f t="shared" ref="D53:N53" si="19">+D54+D55</f>
        <v>0</v>
      </c>
      <c r="E53" s="357">
        <f t="shared" si="19"/>
        <v>0.55885334775803319</v>
      </c>
      <c r="F53" s="357">
        <f t="shared" si="19"/>
        <v>0</v>
      </c>
      <c r="G53" s="357">
        <f t="shared" si="19"/>
        <v>0</v>
      </c>
      <c r="H53" s="357">
        <f t="shared" si="19"/>
        <v>0</v>
      </c>
      <c r="I53" s="357">
        <f t="shared" si="19"/>
        <v>0</v>
      </c>
      <c r="J53" s="357">
        <f t="shared" si="19"/>
        <v>0</v>
      </c>
      <c r="K53" s="357">
        <f t="shared" si="19"/>
        <v>0.55885334775803319</v>
      </c>
      <c r="L53" s="357">
        <f t="shared" si="19"/>
        <v>0</v>
      </c>
      <c r="M53" s="357">
        <f t="shared" si="19"/>
        <v>0</v>
      </c>
      <c r="N53" s="357">
        <f t="shared" si="19"/>
        <v>0</v>
      </c>
      <c r="O53" s="1009">
        <f t="shared" si="15"/>
        <v>1.1177066955160664</v>
      </c>
      <c r="P53" s="89"/>
      <c r="Q53" s="89"/>
      <c r="R53" s="89"/>
      <c r="S53" s="89"/>
      <c r="T53" s="89"/>
      <c r="U53" s="89"/>
      <c r="V53" s="89"/>
      <c r="W53" s="89"/>
      <c r="X53" s="89"/>
      <c r="Y53" s="89"/>
      <c r="Z53" s="89"/>
      <c r="AA53" s="89"/>
      <c r="AB53" s="89"/>
      <c r="AC53" s="89"/>
      <c r="AD53" s="89"/>
      <c r="AE53" s="89"/>
      <c r="AF53" s="89"/>
      <c r="AG53" s="89"/>
    </row>
    <row r="54" spans="1:33" s="71" customFormat="1">
      <c r="A54" s="1"/>
      <c r="B54" s="358" t="s">
        <v>240</v>
      </c>
      <c r="C54" s="357">
        <v>0</v>
      </c>
      <c r="D54" s="357">
        <v>0</v>
      </c>
      <c r="E54" s="357">
        <v>0.53251591980480606</v>
      </c>
      <c r="F54" s="357">
        <v>0</v>
      </c>
      <c r="G54" s="357">
        <v>0</v>
      </c>
      <c r="H54" s="357">
        <v>0</v>
      </c>
      <c r="I54" s="357">
        <v>0</v>
      </c>
      <c r="J54" s="357">
        <v>0</v>
      </c>
      <c r="K54" s="357">
        <v>0.53251591980480606</v>
      </c>
      <c r="L54" s="81">
        <v>0</v>
      </c>
      <c r="M54" s="357">
        <v>0</v>
      </c>
      <c r="N54" s="357">
        <v>0</v>
      </c>
      <c r="O54" s="1009">
        <f t="shared" si="15"/>
        <v>1.0650318396096121</v>
      </c>
      <c r="P54" s="89"/>
      <c r="Q54" s="89"/>
      <c r="R54" s="89"/>
      <c r="S54" s="89"/>
      <c r="T54" s="89"/>
      <c r="U54" s="89"/>
      <c r="V54" s="89"/>
      <c r="W54" s="89"/>
      <c r="X54" s="89"/>
      <c r="Y54" s="89"/>
      <c r="Z54" s="89"/>
      <c r="AA54" s="89"/>
      <c r="AB54" s="89"/>
      <c r="AC54" s="89"/>
      <c r="AD54" s="89"/>
      <c r="AE54" s="89"/>
      <c r="AF54" s="89"/>
      <c r="AG54" s="89"/>
    </row>
    <row r="55" spans="1:33" s="71" customFormat="1">
      <c r="A55" s="1"/>
      <c r="B55" s="358" t="s">
        <v>241</v>
      </c>
      <c r="C55" s="357">
        <v>0</v>
      </c>
      <c r="D55" s="357">
        <v>0</v>
      </c>
      <c r="E55" s="357">
        <v>2.6337427953227108E-2</v>
      </c>
      <c r="F55" s="357">
        <v>0</v>
      </c>
      <c r="G55" s="357">
        <v>0</v>
      </c>
      <c r="H55" s="357">
        <v>0</v>
      </c>
      <c r="I55" s="357">
        <v>0</v>
      </c>
      <c r="J55" s="357">
        <v>0</v>
      </c>
      <c r="K55" s="357">
        <v>2.6337427953227108E-2</v>
      </c>
      <c r="L55" s="85">
        <v>0</v>
      </c>
      <c r="M55" s="357">
        <v>0</v>
      </c>
      <c r="N55" s="357">
        <v>0</v>
      </c>
      <c r="O55" s="1009">
        <f t="shared" si="15"/>
        <v>5.2674855906454217E-2</v>
      </c>
      <c r="P55" s="89"/>
      <c r="Q55" s="89"/>
      <c r="R55" s="89"/>
      <c r="S55" s="89"/>
      <c r="T55" s="89"/>
      <c r="U55" s="89"/>
      <c r="V55" s="89"/>
      <c r="W55" s="89"/>
      <c r="X55" s="89"/>
      <c r="Y55" s="89"/>
      <c r="Z55" s="89"/>
      <c r="AA55" s="89"/>
      <c r="AB55" s="89"/>
      <c r="AC55" s="89"/>
      <c r="AD55" s="89"/>
      <c r="AE55" s="89"/>
      <c r="AF55" s="89"/>
      <c r="AG55" s="89"/>
    </row>
    <row r="56" spans="1:33" s="71" customFormat="1">
      <c r="A56" s="1"/>
      <c r="B56" s="361" t="s">
        <v>75</v>
      </c>
      <c r="C56" s="362">
        <f>+C57+C60+C67+C70</f>
        <v>0</v>
      </c>
      <c r="D56" s="362">
        <f t="shared" ref="D56:N56" si="20">+D57+D60+D67+D70</f>
        <v>0</v>
      </c>
      <c r="E56" s="362">
        <f t="shared" si="20"/>
        <v>0</v>
      </c>
      <c r="F56" s="362">
        <f t="shared" si="20"/>
        <v>0</v>
      </c>
      <c r="G56" s="362">
        <f t="shared" si="20"/>
        <v>0</v>
      </c>
      <c r="H56" s="362">
        <f t="shared" si="20"/>
        <v>869.67226823301962</v>
      </c>
      <c r="I56" s="362">
        <f t="shared" si="20"/>
        <v>0</v>
      </c>
      <c r="J56" s="362">
        <f t="shared" si="20"/>
        <v>0</v>
      </c>
      <c r="K56" s="362">
        <f t="shared" si="20"/>
        <v>0</v>
      </c>
      <c r="L56" s="362">
        <f t="shared" si="20"/>
        <v>0</v>
      </c>
      <c r="M56" s="362">
        <f t="shared" si="20"/>
        <v>0</v>
      </c>
      <c r="N56" s="362">
        <f t="shared" si="20"/>
        <v>869.67226823301962</v>
      </c>
      <c r="O56" s="80">
        <f>SUM(C56:N56)</f>
        <v>1739.3445364660392</v>
      </c>
      <c r="P56" s="89"/>
      <c r="Q56" s="89"/>
      <c r="R56" s="89"/>
      <c r="S56" s="89"/>
      <c r="T56" s="89"/>
      <c r="U56" s="89"/>
      <c r="V56" s="89"/>
      <c r="W56" s="89"/>
      <c r="X56" s="89"/>
      <c r="Y56" s="89"/>
      <c r="Z56" s="89"/>
      <c r="AA56" s="89"/>
      <c r="AB56" s="89"/>
      <c r="AC56" s="89"/>
      <c r="AD56" s="89"/>
      <c r="AE56" s="89"/>
      <c r="AF56" s="89"/>
      <c r="AG56" s="89"/>
    </row>
    <row r="57" spans="1:33" s="71" customFormat="1">
      <c r="A57" s="1"/>
      <c r="B57" s="269" t="s">
        <v>23</v>
      </c>
      <c r="C57" s="357">
        <f>+C58+C59</f>
        <v>0</v>
      </c>
      <c r="D57" s="357">
        <f t="shared" ref="D57:N57" si="21">+D58+D59</f>
        <v>0</v>
      </c>
      <c r="E57" s="357">
        <f t="shared" si="21"/>
        <v>0</v>
      </c>
      <c r="F57" s="357">
        <f t="shared" si="21"/>
        <v>0</v>
      </c>
      <c r="G57" s="357">
        <f t="shared" si="21"/>
        <v>0</v>
      </c>
      <c r="H57" s="357">
        <f t="shared" si="21"/>
        <v>83.836007386691719</v>
      </c>
      <c r="I57" s="357">
        <f t="shared" si="21"/>
        <v>0</v>
      </c>
      <c r="J57" s="357">
        <f t="shared" si="21"/>
        <v>0</v>
      </c>
      <c r="K57" s="357">
        <f t="shared" si="21"/>
        <v>0</v>
      </c>
      <c r="L57" s="357">
        <f t="shared" si="21"/>
        <v>0</v>
      </c>
      <c r="M57" s="357">
        <f t="shared" si="21"/>
        <v>0</v>
      </c>
      <c r="N57" s="357">
        <f t="shared" si="21"/>
        <v>83.836007386691719</v>
      </c>
      <c r="O57" s="95">
        <f>SUM(C57:N57)</f>
        <v>167.67201477338344</v>
      </c>
      <c r="P57" s="89"/>
      <c r="Q57" s="89"/>
      <c r="R57" s="89"/>
      <c r="S57" s="89"/>
      <c r="T57" s="89"/>
      <c r="U57" s="89"/>
      <c r="V57" s="89"/>
      <c r="W57" s="89"/>
      <c r="X57" s="89"/>
      <c r="Y57" s="89"/>
      <c r="Z57" s="89"/>
      <c r="AA57" s="89"/>
      <c r="AB57" s="89"/>
      <c r="AC57" s="89"/>
      <c r="AD57" s="89"/>
      <c r="AE57" s="89"/>
      <c r="AF57" s="89"/>
      <c r="AG57" s="89"/>
    </row>
    <row r="58" spans="1:33" s="71" customFormat="1">
      <c r="A58" s="1"/>
      <c r="B58" s="358" t="s">
        <v>240</v>
      </c>
      <c r="C58" s="357">
        <v>0</v>
      </c>
      <c r="D58" s="357">
        <v>0</v>
      </c>
      <c r="E58" s="357">
        <v>0</v>
      </c>
      <c r="F58" s="357">
        <v>0</v>
      </c>
      <c r="G58" s="357">
        <v>0</v>
      </c>
      <c r="H58" s="357">
        <v>82.8402067355713</v>
      </c>
      <c r="I58" s="357">
        <v>0</v>
      </c>
      <c r="J58" s="357">
        <v>0</v>
      </c>
      <c r="K58" s="357">
        <v>0</v>
      </c>
      <c r="L58" s="81">
        <v>0</v>
      </c>
      <c r="M58" s="357">
        <v>0</v>
      </c>
      <c r="N58" s="357">
        <v>82.8402067355713</v>
      </c>
      <c r="O58" s="1009">
        <f t="shared" ref="O58:O72" si="22">SUM(C58:N58)</f>
        <v>165.6804134711426</v>
      </c>
      <c r="P58" s="89"/>
      <c r="Q58" s="89"/>
      <c r="R58" s="89"/>
      <c r="S58" s="89"/>
      <c r="T58" s="89"/>
      <c r="U58" s="89"/>
      <c r="V58" s="89"/>
      <c r="W58" s="89"/>
      <c r="X58" s="89"/>
      <c r="Y58" s="89"/>
      <c r="Z58" s="89"/>
      <c r="AA58" s="89"/>
      <c r="AB58" s="89"/>
      <c r="AC58" s="89"/>
      <c r="AD58" s="89"/>
      <c r="AE58" s="89"/>
      <c r="AF58" s="89"/>
      <c r="AG58" s="89"/>
    </row>
    <row r="59" spans="1:33" s="71" customFormat="1">
      <c r="A59" s="1"/>
      <c r="B59" s="358" t="s">
        <v>241</v>
      </c>
      <c r="C59" s="357">
        <v>0</v>
      </c>
      <c r="D59" s="357">
        <v>0</v>
      </c>
      <c r="E59" s="357">
        <v>0</v>
      </c>
      <c r="F59" s="357">
        <v>0</v>
      </c>
      <c r="G59" s="357">
        <v>0</v>
      </c>
      <c r="H59" s="357">
        <v>0.99580065112041494</v>
      </c>
      <c r="I59" s="357">
        <v>0</v>
      </c>
      <c r="J59" s="357">
        <v>0</v>
      </c>
      <c r="K59" s="357">
        <v>0</v>
      </c>
      <c r="L59" s="81">
        <v>0</v>
      </c>
      <c r="M59" s="357">
        <v>0</v>
      </c>
      <c r="N59" s="357">
        <v>0.99580065112041494</v>
      </c>
      <c r="O59" s="1009">
        <f t="shared" si="22"/>
        <v>1.9916013022408299</v>
      </c>
      <c r="P59" s="89"/>
      <c r="Q59" s="89"/>
      <c r="R59" s="89"/>
      <c r="S59" s="89"/>
      <c r="T59" s="89"/>
      <c r="U59" s="89"/>
      <c r="V59" s="89"/>
      <c r="W59" s="89"/>
      <c r="X59" s="89"/>
      <c r="Y59" s="89"/>
      <c r="Z59" s="89"/>
      <c r="AA59" s="89"/>
      <c r="AB59" s="89"/>
      <c r="AC59" s="89"/>
      <c r="AD59" s="89"/>
      <c r="AE59" s="89"/>
      <c r="AF59" s="89"/>
      <c r="AG59" s="89"/>
    </row>
    <row r="60" spans="1:33" s="71" customFormat="1">
      <c r="A60" s="1"/>
      <c r="B60" s="269" t="s">
        <v>24</v>
      </c>
      <c r="C60" s="357">
        <f>+C61+C64</f>
        <v>0</v>
      </c>
      <c r="D60" s="357">
        <f t="shared" ref="D60:N60" si="23">+D61+D64</f>
        <v>0</v>
      </c>
      <c r="E60" s="357">
        <f t="shared" si="23"/>
        <v>0</v>
      </c>
      <c r="F60" s="357">
        <f t="shared" si="23"/>
        <v>0</v>
      </c>
      <c r="G60" s="357">
        <f t="shared" si="23"/>
        <v>0</v>
      </c>
      <c r="H60" s="357">
        <f t="shared" si="23"/>
        <v>530.70812977999992</v>
      </c>
      <c r="I60" s="357">
        <f t="shared" si="23"/>
        <v>0</v>
      </c>
      <c r="J60" s="357">
        <f t="shared" si="23"/>
        <v>0</v>
      </c>
      <c r="K60" s="357">
        <f t="shared" si="23"/>
        <v>0</v>
      </c>
      <c r="L60" s="357">
        <f t="shared" si="23"/>
        <v>0</v>
      </c>
      <c r="M60" s="357">
        <f t="shared" si="23"/>
        <v>0</v>
      </c>
      <c r="N60" s="357">
        <f t="shared" si="23"/>
        <v>530.70812977999992</v>
      </c>
      <c r="O60" s="1009">
        <f t="shared" si="22"/>
        <v>1061.4162595599998</v>
      </c>
      <c r="P60" s="89"/>
      <c r="Q60" s="89"/>
      <c r="R60" s="89"/>
      <c r="S60" s="89"/>
      <c r="T60" s="89"/>
      <c r="U60" s="89"/>
      <c r="V60" s="89"/>
      <c r="W60" s="89"/>
      <c r="X60" s="89"/>
      <c r="Y60" s="89"/>
      <c r="Z60" s="89"/>
      <c r="AA60" s="89"/>
      <c r="AB60" s="89"/>
      <c r="AC60" s="89"/>
      <c r="AD60" s="89"/>
      <c r="AE60" s="89"/>
      <c r="AF60" s="89"/>
      <c r="AG60" s="89"/>
    </row>
    <row r="61" spans="1:33" s="71" customFormat="1">
      <c r="A61" s="1"/>
      <c r="B61" s="358" t="s">
        <v>240</v>
      </c>
      <c r="C61" s="357">
        <f>+C62+C63</f>
        <v>0</v>
      </c>
      <c r="D61" s="357">
        <f t="shared" ref="D61:N61" si="24">+D62+D63</f>
        <v>0</v>
      </c>
      <c r="E61" s="357">
        <f t="shared" si="24"/>
        <v>0</v>
      </c>
      <c r="F61" s="357">
        <f t="shared" si="24"/>
        <v>0</v>
      </c>
      <c r="G61" s="357">
        <f t="shared" si="24"/>
        <v>0</v>
      </c>
      <c r="H61" s="357">
        <f t="shared" si="24"/>
        <v>469.10147129999996</v>
      </c>
      <c r="I61" s="357">
        <f t="shared" si="24"/>
        <v>0</v>
      </c>
      <c r="J61" s="357">
        <f t="shared" si="24"/>
        <v>0</v>
      </c>
      <c r="K61" s="357">
        <f t="shared" si="24"/>
        <v>0</v>
      </c>
      <c r="L61" s="357">
        <f t="shared" si="24"/>
        <v>0</v>
      </c>
      <c r="M61" s="357">
        <f t="shared" si="24"/>
        <v>0</v>
      </c>
      <c r="N61" s="357">
        <f t="shared" si="24"/>
        <v>469.10147129999996</v>
      </c>
      <c r="O61" s="1009">
        <f t="shared" si="22"/>
        <v>938.20294259999991</v>
      </c>
      <c r="P61" s="89"/>
      <c r="Q61" s="89"/>
      <c r="R61" s="89"/>
      <c r="S61" s="89"/>
      <c r="T61" s="89"/>
      <c r="U61" s="89"/>
      <c r="V61" s="89"/>
      <c r="W61" s="89"/>
      <c r="X61" s="89"/>
      <c r="Y61" s="89"/>
      <c r="Z61" s="89"/>
      <c r="AA61" s="89"/>
      <c r="AB61" s="89"/>
      <c r="AC61" s="89"/>
      <c r="AD61" s="89"/>
      <c r="AE61" s="89"/>
      <c r="AF61" s="89"/>
      <c r="AG61" s="89"/>
    </row>
    <row r="62" spans="1:33" s="71" customFormat="1">
      <c r="A62" s="1"/>
      <c r="B62" s="359" t="s">
        <v>242</v>
      </c>
      <c r="C62" s="357">
        <v>0</v>
      </c>
      <c r="D62" s="357">
        <v>0</v>
      </c>
      <c r="E62" s="357">
        <v>0</v>
      </c>
      <c r="F62" s="357">
        <v>0</v>
      </c>
      <c r="G62" s="357">
        <v>0</v>
      </c>
      <c r="H62" s="357">
        <v>176.42785387000001</v>
      </c>
      <c r="I62" s="357">
        <v>0</v>
      </c>
      <c r="J62" s="357">
        <v>0</v>
      </c>
      <c r="K62" s="357">
        <v>0</v>
      </c>
      <c r="L62" s="81">
        <v>0</v>
      </c>
      <c r="M62" s="357">
        <v>0</v>
      </c>
      <c r="N62" s="357">
        <v>176.42785387000001</v>
      </c>
      <c r="O62" s="1009">
        <f t="shared" si="22"/>
        <v>352.85570774000001</v>
      </c>
      <c r="P62" s="89"/>
      <c r="Q62" s="89"/>
      <c r="R62" s="89"/>
      <c r="S62" s="89"/>
      <c r="T62" s="89"/>
      <c r="U62" s="89"/>
      <c r="V62" s="89"/>
      <c r="W62" s="89"/>
      <c r="X62" s="89"/>
      <c r="Y62" s="89"/>
      <c r="Z62" s="89"/>
      <c r="AA62" s="89"/>
      <c r="AB62" s="89"/>
      <c r="AC62" s="89"/>
      <c r="AD62" s="89"/>
      <c r="AE62" s="89"/>
      <c r="AF62" s="89"/>
      <c r="AG62" s="89"/>
    </row>
    <row r="63" spans="1:33" s="71" customFormat="1">
      <c r="A63" s="1"/>
      <c r="B63" s="360" t="s">
        <v>243</v>
      </c>
      <c r="C63" s="357">
        <v>0</v>
      </c>
      <c r="D63" s="357">
        <v>0</v>
      </c>
      <c r="E63" s="357">
        <v>0</v>
      </c>
      <c r="F63" s="357">
        <v>0</v>
      </c>
      <c r="G63" s="357">
        <v>0</v>
      </c>
      <c r="H63" s="357">
        <v>292.67361742999998</v>
      </c>
      <c r="I63" s="357">
        <v>0</v>
      </c>
      <c r="J63" s="357">
        <v>0</v>
      </c>
      <c r="K63" s="357">
        <v>0</v>
      </c>
      <c r="L63" s="81">
        <v>0</v>
      </c>
      <c r="M63" s="357">
        <v>0</v>
      </c>
      <c r="N63" s="357">
        <v>292.67361742999998</v>
      </c>
      <c r="O63" s="1009">
        <f t="shared" si="22"/>
        <v>585.34723485999996</v>
      </c>
      <c r="P63" s="89"/>
      <c r="Q63" s="89"/>
      <c r="R63" s="89"/>
      <c r="S63" s="89"/>
      <c r="T63" s="89"/>
      <c r="U63" s="89"/>
      <c r="V63" s="89"/>
      <c r="W63" s="89"/>
      <c r="X63" s="89"/>
      <c r="Y63" s="89"/>
      <c r="Z63" s="89"/>
      <c r="AA63" s="89"/>
      <c r="AB63" s="89"/>
      <c r="AC63" s="89"/>
      <c r="AD63" s="89"/>
      <c r="AE63" s="89"/>
      <c r="AF63" s="89"/>
      <c r="AG63" s="89"/>
    </row>
    <row r="64" spans="1:33" s="71" customFormat="1">
      <c r="A64" s="1"/>
      <c r="B64" s="358" t="s">
        <v>241</v>
      </c>
      <c r="C64" s="357">
        <f>+C65+C66</f>
        <v>0</v>
      </c>
      <c r="D64" s="357">
        <f t="shared" ref="D64:N64" si="25">+D65+D66</f>
        <v>0</v>
      </c>
      <c r="E64" s="357">
        <f t="shared" si="25"/>
        <v>0</v>
      </c>
      <c r="F64" s="357">
        <f t="shared" si="25"/>
        <v>0</v>
      </c>
      <c r="G64" s="357">
        <f t="shared" si="25"/>
        <v>0</v>
      </c>
      <c r="H64" s="357">
        <f t="shared" si="25"/>
        <v>61.60665848</v>
      </c>
      <c r="I64" s="357">
        <f t="shared" si="25"/>
        <v>0</v>
      </c>
      <c r="J64" s="357">
        <f t="shared" si="25"/>
        <v>0</v>
      </c>
      <c r="K64" s="357">
        <f t="shared" si="25"/>
        <v>0</v>
      </c>
      <c r="L64" s="357">
        <f t="shared" si="25"/>
        <v>0</v>
      </c>
      <c r="M64" s="357">
        <f t="shared" si="25"/>
        <v>0</v>
      </c>
      <c r="N64" s="357">
        <f t="shared" si="25"/>
        <v>61.60665848</v>
      </c>
      <c r="O64" s="1009">
        <f t="shared" si="22"/>
        <v>123.21331696</v>
      </c>
      <c r="P64" s="89"/>
      <c r="Q64" s="89"/>
      <c r="R64" s="89"/>
      <c r="S64" s="89"/>
      <c r="T64" s="89"/>
      <c r="U64" s="89"/>
      <c r="V64" s="89"/>
      <c r="W64" s="89"/>
      <c r="X64" s="89"/>
      <c r="Y64" s="89"/>
      <c r="Z64" s="89"/>
      <c r="AA64" s="89"/>
      <c r="AB64" s="89"/>
      <c r="AC64" s="89"/>
      <c r="AD64" s="89"/>
      <c r="AE64" s="89"/>
      <c r="AF64" s="89"/>
      <c r="AG64" s="89"/>
    </row>
    <row r="65" spans="1:33" s="71" customFormat="1">
      <c r="A65" s="1"/>
      <c r="B65" s="359" t="s">
        <v>242</v>
      </c>
      <c r="C65" s="357">
        <v>0</v>
      </c>
      <c r="D65" s="357">
        <v>0</v>
      </c>
      <c r="E65" s="357">
        <v>0</v>
      </c>
      <c r="F65" s="357">
        <v>0</v>
      </c>
      <c r="G65" s="357">
        <v>0</v>
      </c>
      <c r="H65" s="357">
        <v>53.975224019999999</v>
      </c>
      <c r="I65" s="357">
        <v>0</v>
      </c>
      <c r="J65" s="357">
        <v>0</v>
      </c>
      <c r="K65" s="357">
        <v>0</v>
      </c>
      <c r="L65" s="81">
        <v>0</v>
      </c>
      <c r="M65" s="357">
        <v>0</v>
      </c>
      <c r="N65" s="357">
        <v>53.975224019999999</v>
      </c>
      <c r="O65" s="1009">
        <f t="shared" si="22"/>
        <v>107.95044804</v>
      </c>
      <c r="P65" s="89"/>
      <c r="Q65" s="89"/>
      <c r="R65" s="89"/>
      <c r="S65" s="89"/>
      <c r="T65" s="89"/>
      <c r="U65" s="89"/>
      <c r="V65" s="89"/>
      <c r="W65" s="89"/>
      <c r="X65" s="89"/>
      <c r="Y65" s="89"/>
      <c r="Z65" s="89"/>
      <c r="AA65" s="89"/>
      <c r="AB65" s="89"/>
      <c r="AC65" s="89"/>
      <c r="AD65" s="89"/>
      <c r="AE65" s="89"/>
      <c r="AF65" s="89"/>
      <c r="AG65" s="89"/>
    </row>
    <row r="66" spans="1:33" s="71" customFormat="1">
      <c r="A66" s="1"/>
      <c r="B66" s="360" t="s">
        <v>243</v>
      </c>
      <c r="C66" s="357">
        <v>0</v>
      </c>
      <c r="D66" s="357">
        <v>0</v>
      </c>
      <c r="E66" s="357">
        <v>0</v>
      </c>
      <c r="F66" s="357">
        <v>0</v>
      </c>
      <c r="G66" s="357">
        <v>0</v>
      </c>
      <c r="H66" s="357">
        <v>7.6314344600000004</v>
      </c>
      <c r="I66" s="357">
        <v>0</v>
      </c>
      <c r="J66" s="357">
        <v>0</v>
      </c>
      <c r="K66" s="357">
        <v>0</v>
      </c>
      <c r="L66" s="81">
        <v>0</v>
      </c>
      <c r="M66" s="357">
        <v>0</v>
      </c>
      <c r="N66" s="357">
        <v>7.6314344600000004</v>
      </c>
      <c r="O66" s="1009">
        <f t="shared" si="22"/>
        <v>15.262868920000001</v>
      </c>
      <c r="P66" s="89"/>
      <c r="Q66" s="89"/>
      <c r="R66" s="89"/>
      <c r="S66" s="89"/>
      <c r="T66" s="89"/>
      <c r="U66" s="89"/>
      <c r="V66" s="89"/>
      <c r="W66" s="89"/>
      <c r="X66" s="89"/>
      <c r="Y66" s="89"/>
      <c r="Z66" s="89"/>
      <c r="AA66" s="89"/>
      <c r="AB66" s="89"/>
      <c r="AC66" s="89"/>
      <c r="AD66" s="89"/>
      <c r="AE66" s="89"/>
      <c r="AF66" s="89"/>
      <c r="AG66" s="89"/>
    </row>
    <row r="67" spans="1:33" s="71" customFormat="1">
      <c r="A67" s="1"/>
      <c r="B67" s="269" t="s">
        <v>25</v>
      </c>
      <c r="C67" s="357">
        <f>+C68+C69</f>
        <v>0</v>
      </c>
      <c r="D67" s="357">
        <f t="shared" ref="D67:N67" si="26">+D68+D69</f>
        <v>0</v>
      </c>
      <c r="E67" s="357">
        <f t="shared" si="26"/>
        <v>0</v>
      </c>
      <c r="F67" s="357">
        <f t="shared" si="26"/>
        <v>0</v>
      </c>
      <c r="G67" s="357">
        <f t="shared" si="26"/>
        <v>0</v>
      </c>
      <c r="H67" s="357">
        <f t="shared" si="26"/>
        <v>253.16971766618082</v>
      </c>
      <c r="I67" s="357">
        <f t="shared" si="26"/>
        <v>0</v>
      </c>
      <c r="J67" s="357">
        <f t="shared" si="26"/>
        <v>0</v>
      </c>
      <c r="K67" s="357">
        <f t="shared" si="26"/>
        <v>0</v>
      </c>
      <c r="L67" s="357">
        <f t="shared" si="26"/>
        <v>0</v>
      </c>
      <c r="M67" s="357">
        <f t="shared" si="26"/>
        <v>0</v>
      </c>
      <c r="N67" s="357">
        <f t="shared" si="26"/>
        <v>253.16971766618082</v>
      </c>
      <c r="O67" s="1009">
        <f t="shared" si="22"/>
        <v>506.33943533236163</v>
      </c>
      <c r="P67" s="89"/>
      <c r="Q67" s="89"/>
      <c r="R67" s="89"/>
      <c r="S67" s="89"/>
      <c r="T67" s="89"/>
      <c r="U67" s="89"/>
      <c r="V67" s="89"/>
      <c r="W67" s="89"/>
      <c r="X67" s="89"/>
      <c r="Y67" s="89"/>
      <c r="Z67" s="89"/>
      <c r="AA67" s="89"/>
      <c r="AB67" s="89"/>
      <c r="AC67" s="89"/>
      <c r="AD67" s="89"/>
      <c r="AE67" s="89"/>
      <c r="AF67" s="89"/>
      <c r="AG67" s="89"/>
    </row>
    <row r="68" spans="1:33" s="71" customFormat="1">
      <c r="A68" s="1"/>
      <c r="B68" s="358" t="s">
        <v>240</v>
      </c>
      <c r="C68" s="357">
        <v>0</v>
      </c>
      <c r="D68" s="357">
        <v>0</v>
      </c>
      <c r="E68" s="357">
        <v>0</v>
      </c>
      <c r="F68" s="357">
        <v>0</v>
      </c>
      <c r="G68" s="357">
        <v>0</v>
      </c>
      <c r="H68" s="357">
        <v>136.51959736576597</v>
      </c>
      <c r="I68" s="357">
        <v>0</v>
      </c>
      <c r="J68" s="357">
        <v>0</v>
      </c>
      <c r="K68" s="357">
        <v>0</v>
      </c>
      <c r="L68" s="81">
        <v>0</v>
      </c>
      <c r="M68" s="357">
        <v>0</v>
      </c>
      <c r="N68" s="357">
        <v>136.51959736576597</v>
      </c>
      <c r="O68" s="1009">
        <f t="shared" si="22"/>
        <v>273.03919473153195</v>
      </c>
      <c r="P68" s="89"/>
      <c r="Q68" s="89"/>
      <c r="R68" s="89"/>
      <c r="S68" s="89"/>
      <c r="T68" s="89"/>
      <c r="U68" s="89"/>
      <c r="V68" s="89"/>
      <c r="W68" s="89"/>
      <c r="X68" s="89"/>
      <c r="Y68" s="89"/>
      <c r="Z68" s="89"/>
      <c r="AA68" s="89"/>
      <c r="AB68" s="89"/>
      <c r="AC68" s="89"/>
      <c r="AD68" s="89"/>
      <c r="AE68" s="89"/>
      <c r="AF68" s="89"/>
      <c r="AG68" s="89"/>
    </row>
    <row r="69" spans="1:33" s="71" customFormat="1">
      <c r="A69" s="1"/>
      <c r="B69" s="358" t="s">
        <v>241</v>
      </c>
      <c r="C69" s="357">
        <v>0</v>
      </c>
      <c r="D69" s="357">
        <v>0</v>
      </c>
      <c r="E69" s="357">
        <v>0</v>
      </c>
      <c r="F69" s="357">
        <v>0</v>
      </c>
      <c r="G69" s="357">
        <v>0</v>
      </c>
      <c r="H69" s="357">
        <v>116.65012030041486</v>
      </c>
      <c r="I69" s="357">
        <v>0</v>
      </c>
      <c r="J69" s="357">
        <v>0</v>
      </c>
      <c r="K69" s="357">
        <v>0</v>
      </c>
      <c r="L69" s="81">
        <v>0</v>
      </c>
      <c r="M69" s="357">
        <v>0</v>
      </c>
      <c r="N69" s="357">
        <v>116.65012030041486</v>
      </c>
      <c r="O69" s="1009">
        <f t="shared" si="22"/>
        <v>233.30024060082971</v>
      </c>
      <c r="P69" s="89"/>
      <c r="Q69" s="89"/>
      <c r="R69" s="89"/>
      <c r="S69" s="89"/>
      <c r="T69" s="89"/>
      <c r="U69" s="89"/>
      <c r="V69" s="89"/>
      <c r="W69" s="89"/>
      <c r="X69" s="89"/>
      <c r="Y69" s="89"/>
      <c r="Z69" s="89"/>
      <c r="AA69" s="89"/>
      <c r="AB69" s="89"/>
      <c r="AC69" s="89"/>
      <c r="AD69" s="89"/>
      <c r="AE69" s="89"/>
      <c r="AF69" s="89"/>
      <c r="AG69" s="89"/>
    </row>
    <row r="70" spans="1:33" s="71" customFormat="1">
      <c r="A70" s="1"/>
      <c r="B70" s="269" t="s">
        <v>26</v>
      </c>
      <c r="C70" s="357">
        <f>+C71+C72</f>
        <v>0</v>
      </c>
      <c r="D70" s="357">
        <f t="shared" ref="D70:N70" si="27">+D71+D72</f>
        <v>0</v>
      </c>
      <c r="E70" s="357">
        <f t="shared" si="27"/>
        <v>0</v>
      </c>
      <c r="F70" s="357">
        <f t="shared" si="27"/>
        <v>0</v>
      </c>
      <c r="G70" s="357">
        <f t="shared" si="27"/>
        <v>0</v>
      </c>
      <c r="H70" s="357">
        <f t="shared" si="27"/>
        <v>1.9584134001473155</v>
      </c>
      <c r="I70" s="357">
        <f t="shared" si="27"/>
        <v>0</v>
      </c>
      <c r="J70" s="357">
        <f t="shared" si="27"/>
        <v>0</v>
      </c>
      <c r="K70" s="357">
        <f t="shared" si="27"/>
        <v>0</v>
      </c>
      <c r="L70" s="357">
        <f t="shared" si="27"/>
        <v>0</v>
      </c>
      <c r="M70" s="357">
        <f t="shared" si="27"/>
        <v>0</v>
      </c>
      <c r="N70" s="357">
        <f t="shared" si="27"/>
        <v>1.9584134001473155</v>
      </c>
      <c r="O70" s="1009">
        <f t="shared" si="22"/>
        <v>3.9168268002946309</v>
      </c>
      <c r="P70" s="89"/>
      <c r="Q70" s="89"/>
      <c r="R70" s="89"/>
      <c r="S70" s="89"/>
      <c r="T70" s="89"/>
      <c r="U70" s="89"/>
      <c r="V70" s="89"/>
      <c r="W70" s="89"/>
      <c r="X70" s="89"/>
      <c r="Y70" s="89"/>
      <c r="Z70" s="89"/>
      <c r="AA70" s="89"/>
      <c r="AB70" s="89"/>
      <c r="AC70" s="89"/>
      <c r="AD70" s="89"/>
      <c r="AE70" s="89"/>
      <c r="AF70" s="89"/>
      <c r="AG70" s="89"/>
    </row>
    <row r="71" spans="1:33" s="71" customFormat="1">
      <c r="A71" s="1"/>
      <c r="B71" s="358" t="s">
        <v>240</v>
      </c>
      <c r="C71" s="357">
        <v>0</v>
      </c>
      <c r="D71" s="357">
        <v>0</v>
      </c>
      <c r="E71" s="357">
        <v>0</v>
      </c>
      <c r="F71" s="357">
        <v>0</v>
      </c>
      <c r="G71" s="357">
        <v>0</v>
      </c>
      <c r="H71" s="357">
        <v>1.35123859396004</v>
      </c>
      <c r="I71" s="357">
        <v>0</v>
      </c>
      <c r="J71" s="357">
        <v>0</v>
      </c>
      <c r="K71" s="357">
        <v>0</v>
      </c>
      <c r="L71" s="81">
        <v>0</v>
      </c>
      <c r="M71" s="357">
        <v>0</v>
      </c>
      <c r="N71" s="357">
        <v>1.35123859396004</v>
      </c>
      <c r="O71" s="1009">
        <f t="shared" si="22"/>
        <v>2.70247718792008</v>
      </c>
      <c r="P71" s="89"/>
      <c r="Q71" s="89"/>
      <c r="R71" s="89"/>
      <c r="S71" s="89"/>
      <c r="T71" s="89"/>
      <c r="U71" s="89"/>
      <c r="V71" s="89"/>
      <c r="W71" s="89"/>
      <c r="X71" s="89"/>
      <c r="Y71" s="89"/>
      <c r="Z71" s="89"/>
      <c r="AA71" s="89"/>
      <c r="AB71" s="89"/>
      <c r="AC71" s="89"/>
      <c r="AD71" s="89"/>
      <c r="AE71" s="89"/>
      <c r="AF71" s="89"/>
      <c r="AG71" s="89"/>
    </row>
    <row r="72" spans="1:33" s="71" customFormat="1">
      <c r="A72" s="1"/>
      <c r="B72" s="363" t="s">
        <v>241</v>
      </c>
      <c r="C72" s="357">
        <v>0</v>
      </c>
      <c r="D72" s="357">
        <v>0</v>
      </c>
      <c r="E72" s="357">
        <v>0</v>
      </c>
      <c r="F72" s="357">
        <v>0</v>
      </c>
      <c r="G72" s="357">
        <v>0</v>
      </c>
      <c r="H72" s="357">
        <v>0.60717480618727548</v>
      </c>
      <c r="I72" s="357">
        <v>0</v>
      </c>
      <c r="J72" s="357">
        <v>0</v>
      </c>
      <c r="K72" s="357">
        <v>0</v>
      </c>
      <c r="L72" s="85">
        <v>0</v>
      </c>
      <c r="M72" s="357">
        <v>0</v>
      </c>
      <c r="N72" s="357">
        <v>0.60717480618727548</v>
      </c>
      <c r="O72" s="1009">
        <f t="shared" si="22"/>
        <v>1.214349612374551</v>
      </c>
      <c r="P72" s="89"/>
      <c r="Q72" s="89"/>
      <c r="R72" s="89"/>
      <c r="S72" s="89"/>
      <c r="T72" s="89"/>
      <c r="U72" s="89"/>
      <c r="V72" s="89"/>
      <c r="W72" s="89"/>
      <c r="X72" s="89"/>
      <c r="Y72" s="89"/>
      <c r="Z72" s="89"/>
      <c r="AA72" s="89"/>
      <c r="AB72" s="89"/>
      <c r="AC72" s="89"/>
      <c r="AD72" s="89"/>
      <c r="AE72" s="89"/>
      <c r="AF72" s="89"/>
      <c r="AG72" s="89"/>
    </row>
    <row r="73" spans="1:33" s="71" customFormat="1">
      <c r="A73" s="1"/>
      <c r="B73" s="364" t="s">
        <v>27</v>
      </c>
      <c r="C73" s="340">
        <v>0</v>
      </c>
      <c r="D73" s="340">
        <v>0</v>
      </c>
      <c r="E73" s="340">
        <v>0</v>
      </c>
      <c r="F73" s="340">
        <v>0</v>
      </c>
      <c r="G73" s="340">
        <v>0</v>
      </c>
      <c r="H73" s="340">
        <v>115.42288011659799</v>
      </c>
      <c r="I73" s="340">
        <v>0</v>
      </c>
      <c r="J73" s="340">
        <v>0</v>
      </c>
      <c r="K73" s="340">
        <v>0</v>
      </c>
      <c r="L73" s="80">
        <v>0</v>
      </c>
      <c r="M73" s="340">
        <v>0</v>
      </c>
      <c r="N73" s="340">
        <v>115.42288011659799</v>
      </c>
      <c r="O73" s="1007">
        <f>SUM(C73:N73)</f>
        <v>230.84576023319599</v>
      </c>
      <c r="P73" s="89"/>
      <c r="Q73" s="89"/>
      <c r="R73" s="89"/>
      <c r="S73" s="89"/>
      <c r="T73" s="89"/>
      <c r="U73" s="89"/>
      <c r="V73" s="89"/>
      <c r="W73" s="89"/>
      <c r="X73" s="89"/>
      <c r="Y73" s="89"/>
      <c r="Z73" s="89"/>
      <c r="AA73" s="89"/>
      <c r="AB73" s="89"/>
      <c r="AC73" s="89"/>
      <c r="AD73" s="89"/>
      <c r="AE73" s="89"/>
      <c r="AF73" s="89"/>
      <c r="AG73" s="89"/>
    </row>
    <row r="74" spans="1:33" s="71" customFormat="1">
      <c r="A74" s="1"/>
      <c r="B74" s="364" t="s">
        <v>690</v>
      </c>
      <c r="C74" s="95">
        <v>0</v>
      </c>
      <c r="D74" s="95">
        <v>0</v>
      </c>
      <c r="E74" s="95">
        <v>0</v>
      </c>
      <c r="F74" s="95">
        <v>0</v>
      </c>
      <c r="G74" s="95">
        <v>0</v>
      </c>
      <c r="H74" s="95">
        <v>0</v>
      </c>
      <c r="I74" s="95">
        <v>0</v>
      </c>
      <c r="J74" s="95">
        <v>0</v>
      </c>
      <c r="K74" s="95">
        <v>0</v>
      </c>
      <c r="L74" s="80">
        <v>0</v>
      </c>
      <c r="M74" s="95">
        <v>0</v>
      </c>
      <c r="N74" s="340">
        <v>0</v>
      </c>
      <c r="O74" s="80">
        <f>SUM(C74:N74)</f>
        <v>0</v>
      </c>
      <c r="P74" s="89"/>
      <c r="Q74" s="89"/>
      <c r="R74" s="89"/>
      <c r="S74" s="89"/>
      <c r="T74" s="89"/>
      <c r="U74" s="89"/>
      <c r="V74" s="89"/>
      <c r="W74" s="89"/>
      <c r="X74" s="89"/>
      <c r="Y74" s="89"/>
      <c r="Z74" s="89"/>
      <c r="AA74" s="89"/>
      <c r="AB74" s="89"/>
      <c r="AC74" s="89"/>
      <c r="AD74" s="89"/>
      <c r="AE74" s="89"/>
      <c r="AF74" s="89"/>
      <c r="AG74" s="89"/>
    </row>
    <row r="75" spans="1:33" s="71" customFormat="1">
      <c r="A75" s="1"/>
      <c r="B75" s="339" t="s">
        <v>387</v>
      </c>
      <c r="C75" s="95">
        <v>0</v>
      </c>
      <c r="D75" s="95">
        <v>0</v>
      </c>
      <c r="E75" s="95">
        <v>0</v>
      </c>
      <c r="F75" s="95">
        <v>0</v>
      </c>
      <c r="G75" s="95">
        <v>0</v>
      </c>
      <c r="H75" s="95">
        <v>0</v>
      </c>
      <c r="I75" s="95">
        <v>0</v>
      </c>
      <c r="J75" s="95">
        <v>0</v>
      </c>
      <c r="K75" s="95">
        <v>0</v>
      </c>
      <c r="L75" s="80">
        <v>0</v>
      </c>
      <c r="M75" s="95">
        <v>0</v>
      </c>
      <c r="N75" s="340">
        <v>0</v>
      </c>
      <c r="O75" s="1007">
        <f t="shared" ref="O75:O121" si="28">SUM(C75:N75)</f>
        <v>0</v>
      </c>
      <c r="P75" s="89"/>
      <c r="Q75" s="89"/>
      <c r="R75" s="89"/>
      <c r="S75" s="89"/>
      <c r="T75" s="89"/>
      <c r="U75" s="89"/>
      <c r="V75" s="89"/>
      <c r="W75" s="89"/>
      <c r="X75" s="89"/>
      <c r="Y75" s="89"/>
      <c r="Z75" s="89"/>
      <c r="AA75" s="89"/>
      <c r="AB75" s="89"/>
      <c r="AC75" s="89"/>
      <c r="AD75" s="89"/>
      <c r="AE75" s="89"/>
      <c r="AF75" s="89"/>
      <c r="AG75" s="89"/>
    </row>
    <row r="76" spans="1:33" s="71" customFormat="1">
      <c r="A76" s="1"/>
      <c r="B76" s="339" t="s">
        <v>534</v>
      </c>
      <c r="C76" s="95">
        <v>112.514411144665</v>
      </c>
      <c r="D76" s="95">
        <v>0</v>
      </c>
      <c r="E76" s="95">
        <v>0</v>
      </c>
      <c r="F76" s="95">
        <v>110.06844568499801</v>
      </c>
      <c r="G76" s="95">
        <v>0</v>
      </c>
      <c r="H76" s="95">
        <v>0</v>
      </c>
      <c r="I76" s="95">
        <v>111.291428414832</v>
      </c>
      <c r="J76" s="95">
        <v>0</v>
      </c>
      <c r="K76" s="95">
        <v>0</v>
      </c>
      <c r="L76" s="80">
        <v>112.514411144665</v>
      </c>
      <c r="M76" s="95">
        <v>0</v>
      </c>
      <c r="N76" s="340">
        <v>0</v>
      </c>
      <c r="O76" s="1007">
        <f t="shared" si="28"/>
        <v>446.38869638916003</v>
      </c>
      <c r="P76" s="89"/>
      <c r="Q76" s="89"/>
      <c r="R76" s="89"/>
      <c r="S76" s="89"/>
      <c r="T76" s="89"/>
      <c r="U76" s="89"/>
      <c r="V76" s="89"/>
      <c r="W76" s="89"/>
      <c r="X76" s="89"/>
      <c r="Y76" s="89"/>
      <c r="Z76" s="89"/>
      <c r="AA76" s="89"/>
      <c r="AB76" s="89"/>
      <c r="AC76" s="89"/>
      <c r="AD76" s="89"/>
      <c r="AE76" s="89"/>
      <c r="AF76" s="89"/>
      <c r="AG76" s="89"/>
    </row>
    <row r="77" spans="1:33" s="71" customFormat="1">
      <c r="A77" s="1"/>
      <c r="B77" s="339" t="s">
        <v>656</v>
      </c>
      <c r="C77" s="95">
        <v>3.62486859988313</v>
      </c>
      <c r="D77" s="95">
        <v>3.35653948025712</v>
      </c>
      <c r="E77" s="95">
        <v>3.56621164938643</v>
      </c>
      <c r="F77" s="95">
        <v>3.5379729471575301</v>
      </c>
      <c r="G77" s="95">
        <v>3.5089094787544903</v>
      </c>
      <c r="H77" s="95">
        <v>3.47968306987228</v>
      </c>
      <c r="I77" s="95">
        <v>3.4502928069120999</v>
      </c>
      <c r="J77" s="95">
        <v>3.4207377716003</v>
      </c>
      <c r="K77" s="95">
        <v>3.3910170398196802</v>
      </c>
      <c r="L77" s="80">
        <v>3.3611296827782002</v>
      </c>
      <c r="M77" s="95">
        <v>3.3310747661741398</v>
      </c>
      <c r="N77" s="340">
        <v>3.30085135086401</v>
      </c>
      <c r="O77" s="1007">
        <f t="shared" si="28"/>
        <v>41.329288643459407</v>
      </c>
      <c r="P77" s="89"/>
      <c r="Q77" s="89"/>
      <c r="R77" s="89"/>
      <c r="S77" s="89"/>
      <c r="T77" s="89"/>
      <c r="U77" s="89"/>
      <c r="V77" s="89"/>
      <c r="W77" s="89"/>
      <c r="X77" s="89"/>
      <c r="Y77" s="89"/>
      <c r="Z77" s="89"/>
      <c r="AA77" s="89"/>
      <c r="AB77" s="89"/>
      <c r="AC77" s="89"/>
      <c r="AD77" s="89"/>
      <c r="AE77" s="89"/>
      <c r="AF77" s="89"/>
      <c r="AG77" s="89"/>
    </row>
    <row r="78" spans="1:33" s="71" customFormat="1">
      <c r="A78" s="1"/>
      <c r="B78" s="339" t="s">
        <v>507</v>
      </c>
      <c r="C78" s="95">
        <v>0</v>
      </c>
      <c r="D78" s="95">
        <v>0</v>
      </c>
      <c r="E78" s="95">
        <v>0</v>
      </c>
      <c r="F78" s="95">
        <v>124.95455071124501</v>
      </c>
      <c r="G78" s="95">
        <v>0</v>
      </c>
      <c r="H78" s="95">
        <v>0</v>
      </c>
      <c r="I78" s="95">
        <v>0</v>
      </c>
      <c r="J78" s="95">
        <v>0</v>
      </c>
      <c r="K78" s="95">
        <v>0</v>
      </c>
      <c r="L78" s="80">
        <v>124.95455071124501</v>
      </c>
      <c r="M78" s="95">
        <v>0</v>
      </c>
      <c r="N78" s="340">
        <v>0</v>
      </c>
      <c r="O78" s="1007">
        <f t="shared" si="28"/>
        <v>249.90910142249001</v>
      </c>
      <c r="P78" s="89"/>
      <c r="Q78" s="89"/>
      <c r="R78" s="89"/>
      <c r="S78" s="89"/>
      <c r="T78" s="89"/>
      <c r="U78" s="89"/>
      <c r="V78" s="89"/>
      <c r="W78" s="89"/>
      <c r="X78" s="89"/>
      <c r="Y78" s="89"/>
      <c r="Z78" s="89"/>
      <c r="AA78" s="89"/>
      <c r="AB78" s="89"/>
      <c r="AC78" s="89"/>
      <c r="AD78" s="89"/>
      <c r="AE78" s="89"/>
      <c r="AF78" s="89"/>
      <c r="AG78" s="89"/>
    </row>
    <row r="79" spans="1:33" s="71" customFormat="1">
      <c r="A79" s="1"/>
      <c r="B79" s="364" t="s">
        <v>508</v>
      </c>
      <c r="C79" s="95">
        <v>0</v>
      </c>
      <c r="D79" s="95">
        <v>0</v>
      </c>
      <c r="E79" s="95">
        <v>0</v>
      </c>
      <c r="F79" s="95">
        <v>85.683750638283698</v>
      </c>
      <c r="G79" s="95">
        <v>0</v>
      </c>
      <c r="H79" s="95">
        <v>0</v>
      </c>
      <c r="I79" s="95">
        <v>0</v>
      </c>
      <c r="J79" s="95">
        <v>0</v>
      </c>
      <c r="K79" s="95">
        <v>0</v>
      </c>
      <c r="L79" s="80">
        <v>85.683750638283698</v>
      </c>
      <c r="M79" s="95">
        <v>0</v>
      </c>
      <c r="N79" s="340">
        <v>0</v>
      </c>
      <c r="O79" s="1007">
        <f t="shared" si="28"/>
        <v>171.3675012765674</v>
      </c>
      <c r="P79" s="89"/>
      <c r="Q79" s="89"/>
      <c r="R79" s="89"/>
      <c r="S79" s="89"/>
      <c r="T79" s="89"/>
      <c r="U79" s="89"/>
      <c r="V79" s="89"/>
      <c r="W79" s="89"/>
      <c r="X79" s="89"/>
      <c r="Y79" s="89"/>
      <c r="Z79" s="89"/>
      <c r="AA79" s="89"/>
      <c r="AB79" s="89"/>
      <c r="AC79" s="89"/>
      <c r="AD79" s="89"/>
      <c r="AE79" s="89"/>
      <c r="AF79" s="89"/>
      <c r="AG79" s="89"/>
    </row>
    <row r="80" spans="1:33" s="71" customFormat="1">
      <c r="A80" s="1"/>
      <c r="B80" s="339" t="s">
        <v>509</v>
      </c>
      <c r="C80" s="95">
        <v>0</v>
      </c>
      <c r="D80" s="95">
        <v>0</v>
      </c>
      <c r="E80" s="95">
        <v>0</v>
      </c>
      <c r="F80" s="95">
        <v>94.957842878036601</v>
      </c>
      <c r="G80" s="95">
        <v>0</v>
      </c>
      <c r="H80" s="95">
        <v>0</v>
      </c>
      <c r="I80" s="95">
        <v>0</v>
      </c>
      <c r="J80" s="95">
        <v>0</v>
      </c>
      <c r="K80" s="95">
        <v>0</v>
      </c>
      <c r="L80" s="80">
        <v>94.957842878036601</v>
      </c>
      <c r="M80" s="95">
        <v>0</v>
      </c>
      <c r="N80" s="340">
        <v>0</v>
      </c>
      <c r="O80" s="1007">
        <f t="shared" si="28"/>
        <v>189.9156857560732</v>
      </c>
      <c r="P80" s="89"/>
      <c r="Q80" s="89"/>
      <c r="R80" s="89"/>
      <c r="S80" s="89"/>
      <c r="T80" s="89"/>
      <c r="U80" s="89"/>
      <c r="V80" s="89"/>
      <c r="W80" s="89"/>
      <c r="X80" s="89"/>
      <c r="Y80" s="89"/>
      <c r="Z80" s="89"/>
      <c r="AA80" s="89"/>
      <c r="AB80" s="89"/>
      <c r="AC80" s="89"/>
      <c r="AD80" s="89"/>
      <c r="AE80" s="89"/>
      <c r="AF80" s="89"/>
      <c r="AG80" s="89"/>
    </row>
    <row r="81" spans="1:33" s="71" customFormat="1">
      <c r="A81" s="1"/>
      <c r="B81" s="1010" t="s">
        <v>682</v>
      </c>
      <c r="C81" s="95">
        <v>0</v>
      </c>
      <c r="D81" s="95">
        <v>0</v>
      </c>
      <c r="E81" s="95">
        <v>0</v>
      </c>
      <c r="F81" s="95">
        <v>0</v>
      </c>
      <c r="G81" s="95">
        <v>0</v>
      </c>
      <c r="H81" s="95">
        <v>0</v>
      </c>
      <c r="I81" s="95">
        <v>0</v>
      </c>
      <c r="J81" s="95">
        <v>0</v>
      </c>
      <c r="K81" s="95">
        <v>0</v>
      </c>
      <c r="L81" s="80">
        <v>0</v>
      </c>
      <c r="M81" s="95">
        <v>0</v>
      </c>
      <c r="N81" s="340">
        <v>0</v>
      </c>
      <c r="O81" s="1007">
        <f t="shared" si="28"/>
        <v>0</v>
      </c>
      <c r="P81" s="89"/>
      <c r="Q81" s="89"/>
      <c r="R81" s="89"/>
      <c r="S81" s="89"/>
      <c r="T81" s="89"/>
      <c r="U81" s="89"/>
      <c r="V81" s="89"/>
      <c r="W81" s="89"/>
      <c r="X81" s="89"/>
      <c r="Y81" s="89"/>
      <c r="Z81" s="89"/>
      <c r="AA81" s="89"/>
      <c r="AB81" s="89"/>
      <c r="AC81" s="89"/>
      <c r="AD81" s="89"/>
      <c r="AE81" s="89"/>
      <c r="AF81" s="89"/>
      <c r="AG81" s="89"/>
    </row>
    <row r="82" spans="1:33" s="71" customFormat="1">
      <c r="A82" s="1"/>
      <c r="B82" s="1010" t="s">
        <v>631</v>
      </c>
      <c r="C82" s="95">
        <v>0</v>
      </c>
      <c r="D82" s="95">
        <v>0</v>
      </c>
      <c r="E82" s="95">
        <v>0</v>
      </c>
      <c r="F82" s="95">
        <v>0</v>
      </c>
      <c r="G82" s="95">
        <v>232.22530891999997</v>
      </c>
      <c r="H82" s="95">
        <v>0</v>
      </c>
      <c r="I82" s="95">
        <v>0</v>
      </c>
      <c r="J82" s="95">
        <v>0</v>
      </c>
      <c r="K82" s="95">
        <v>0</v>
      </c>
      <c r="L82" s="80">
        <v>0</v>
      </c>
      <c r="M82" s="95">
        <v>174.20380852000002</v>
      </c>
      <c r="N82" s="340">
        <v>0</v>
      </c>
      <c r="O82" s="1007">
        <f t="shared" si="28"/>
        <v>406.42911744000003</v>
      </c>
      <c r="P82" s="89"/>
      <c r="Q82" s="89"/>
      <c r="R82" s="89"/>
      <c r="S82" s="89"/>
      <c r="T82" s="89"/>
      <c r="U82" s="89"/>
      <c r="V82" s="89"/>
      <c r="W82" s="89"/>
      <c r="X82" s="89"/>
      <c r="Y82" s="89"/>
      <c r="Z82" s="89"/>
      <c r="AA82" s="89"/>
      <c r="AB82" s="89"/>
      <c r="AC82" s="89"/>
      <c r="AD82" s="89"/>
      <c r="AE82" s="89"/>
      <c r="AF82" s="89"/>
      <c r="AG82" s="89"/>
    </row>
    <row r="83" spans="1:33" s="71" customFormat="1">
      <c r="A83" s="1"/>
      <c r="B83" s="1010" t="s">
        <v>379</v>
      </c>
      <c r="C83" s="95">
        <v>0</v>
      </c>
      <c r="D83" s="95">
        <v>0</v>
      </c>
      <c r="E83" s="95">
        <v>0</v>
      </c>
      <c r="F83" s="95">
        <v>0</v>
      </c>
      <c r="G83" s="95">
        <v>0</v>
      </c>
      <c r="H83" s="95">
        <v>0</v>
      </c>
      <c r="I83" s="95">
        <v>0</v>
      </c>
      <c r="J83" s="95">
        <v>0</v>
      </c>
      <c r="K83" s="95">
        <v>0</v>
      </c>
      <c r="L83" s="80">
        <v>0</v>
      </c>
      <c r="M83" s="95">
        <v>0</v>
      </c>
      <c r="N83" s="340">
        <v>0</v>
      </c>
      <c r="O83" s="1007">
        <f t="shared" si="28"/>
        <v>0</v>
      </c>
      <c r="P83" s="89"/>
      <c r="Q83" s="89"/>
      <c r="R83" s="89"/>
      <c r="S83" s="89"/>
      <c r="T83" s="89"/>
      <c r="U83" s="89"/>
      <c r="V83" s="89"/>
      <c r="W83" s="89"/>
      <c r="X83" s="89"/>
      <c r="Y83" s="89"/>
      <c r="Z83" s="89"/>
      <c r="AA83" s="89"/>
      <c r="AB83" s="89"/>
      <c r="AC83" s="89"/>
      <c r="AD83" s="89"/>
      <c r="AE83" s="89"/>
      <c r="AF83" s="89"/>
      <c r="AG83" s="89"/>
    </row>
    <row r="84" spans="1:33" s="71" customFormat="1">
      <c r="A84" s="1"/>
      <c r="B84" s="1008" t="s">
        <v>494</v>
      </c>
      <c r="C84" s="340">
        <v>0</v>
      </c>
      <c r="D84" s="340">
        <v>0</v>
      </c>
      <c r="E84" s="340">
        <v>0</v>
      </c>
      <c r="F84" s="340">
        <v>0</v>
      </c>
      <c r="G84" s="340">
        <v>0</v>
      </c>
      <c r="H84" s="340">
        <v>174.28794468000001</v>
      </c>
      <c r="I84" s="340">
        <v>0</v>
      </c>
      <c r="J84" s="340">
        <v>0</v>
      </c>
      <c r="K84" s="340">
        <v>0</v>
      </c>
      <c r="L84" s="80">
        <v>0</v>
      </c>
      <c r="M84" s="340">
        <v>0</v>
      </c>
      <c r="N84" s="340">
        <v>174.28794468000001</v>
      </c>
      <c r="O84" s="1007">
        <f t="shared" si="28"/>
        <v>348.57588936000002</v>
      </c>
      <c r="P84" s="89"/>
      <c r="Q84" s="89"/>
      <c r="R84" s="89"/>
      <c r="S84" s="89"/>
      <c r="T84" s="89"/>
      <c r="U84" s="89"/>
      <c r="V84" s="89"/>
      <c r="W84" s="89"/>
      <c r="X84" s="89"/>
      <c r="Y84" s="89"/>
      <c r="Z84" s="89"/>
      <c r="AA84" s="89"/>
      <c r="AB84" s="89"/>
      <c r="AC84" s="89"/>
      <c r="AD84" s="89"/>
      <c r="AE84" s="89"/>
      <c r="AF84" s="89"/>
      <c r="AG84" s="89"/>
    </row>
    <row r="85" spans="1:33" s="71" customFormat="1">
      <c r="A85" s="1"/>
      <c r="B85" s="1010" t="s">
        <v>495</v>
      </c>
      <c r="C85" s="340">
        <v>0</v>
      </c>
      <c r="D85" s="340">
        <v>0</v>
      </c>
      <c r="E85" s="340">
        <v>0</v>
      </c>
      <c r="F85" s="340">
        <v>0</v>
      </c>
      <c r="G85" s="340">
        <v>0</v>
      </c>
      <c r="H85" s="340">
        <v>177.59946388999998</v>
      </c>
      <c r="I85" s="340">
        <v>0</v>
      </c>
      <c r="J85" s="340">
        <v>0</v>
      </c>
      <c r="K85" s="340">
        <v>0</v>
      </c>
      <c r="L85" s="80">
        <v>0</v>
      </c>
      <c r="M85" s="340">
        <v>0</v>
      </c>
      <c r="N85" s="340">
        <v>177.59946388999998</v>
      </c>
      <c r="O85" s="1007">
        <f t="shared" si="28"/>
        <v>355.19892777999996</v>
      </c>
      <c r="P85" s="89"/>
      <c r="Q85" s="89"/>
      <c r="R85" s="89"/>
      <c r="S85" s="89"/>
      <c r="T85" s="89"/>
      <c r="U85" s="89"/>
      <c r="V85" s="89"/>
      <c r="W85" s="89"/>
      <c r="X85" s="89"/>
      <c r="Y85" s="89"/>
      <c r="Z85" s="89"/>
      <c r="AA85" s="89"/>
      <c r="AB85" s="89"/>
      <c r="AC85" s="89"/>
      <c r="AD85" s="89"/>
      <c r="AE85" s="89"/>
      <c r="AF85" s="89"/>
      <c r="AG85" s="89"/>
    </row>
    <row r="86" spans="1:33" s="71" customFormat="1">
      <c r="A86" s="1"/>
      <c r="B86" s="1008" t="s">
        <v>496</v>
      </c>
      <c r="C86" s="340">
        <v>0</v>
      </c>
      <c r="D86" s="340">
        <v>0</v>
      </c>
      <c r="E86" s="340">
        <v>0</v>
      </c>
      <c r="F86" s="340">
        <v>0</v>
      </c>
      <c r="G86" s="340">
        <v>0</v>
      </c>
      <c r="H86" s="340">
        <v>184.68842028999998</v>
      </c>
      <c r="I86" s="340">
        <v>0</v>
      </c>
      <c r="J86" s="340">
        <v>0</v>
      </c>
      <c r="K86" s="340">
        <v>0</v>
      </c>
      <c r="L86" s="80">
        <v>0</v>
      </c>
      <c r="M86" s="340">
        <v>0</v>
      </c>
      <c r="N86" s="340">
        <v>184.68842028999998</v>
      </c>
      <c r="O86" s="1007">
        <f t="shared" si="28"/>
        <v>369.37684057999996</v>
      </c>
      <c r="P86" s="89"/>
      <c r="Q86" s="89"/>
      <c r="R86" s="89"/>
      <c r="S86" s="89"/>
      <c r="T86" s="89"/>
      <c r="U86" s="89"/>
      <c r="V86" s="89"/>
      <c r="W86" s="89"/>
      <c r="X86" s="89"/>
      <c r="Y86" s="89"/>
      <c r="Z86" s="89"/>
      <c r="AA86" s="89"/>
      <c r="AB86" s="89"/>
      <c r="AC86" s="89"/>
      <c r="AD86" s="89"/>
      <c r="AE86" s="89"/>
      <c r="AF86" s="89"/>
      <c r="AG86" s="89"/>
    </row>
    <row r="87" spans="1:33" s="71" customFormat="1">
      <c r="A87" s="1"/>
      <c r="B87" s="1010" t="s">
        <v>540</v>
      </c>
      <c r="C87" s="340">
        <v>0</v>
      </c>
      <c r="D87" s="340">
        <v>0</v>
      </c>
      <c r="E87" s="340">
        <v>0</v>
      </c>
      <c r="F87" s="340">
        <v>44.154652329999998</v>
      </c>
      <c r="G87" s="340">
        <v>0</v>
      </c>
      <c r="H87" s="340">
        <v>0</v>
      </c>
      <c r="I87" s="340">
        <v>0</v>
      </c>
      <c r="J87" s="340">
        <v>0</v>
      </c>
      <c r="K87" s="340">
        <v>0</v>
      </c>
      <c r="L87" s="80">
        <v>44.154652329999998</v>
      </c>
      <c r="M87" s="340">
        <v>0</v>
      </c>
      <c r="N87" s="340">
        <v>0</v>
      </c>
      <c r="O87" s="1007">
        <f t="shared" si="28"/>
        <v>88.309304659999995</v>
      </c>
      <c r="P87" s="89"/>
      <c r="Q87" s="89"/>
      <c r="R87" s="89"/>
      <c r="S87" s="89"/>
      <c r="T87" s="89"/>
      <c r="U87" s="89"/>
      <c r="V87" s="89"/>
      <c r="W87" s="89"/>
      <c r="X87" s="89"/>
      <c r="Y87" s="89"/>
      <c r="Z87" s="89"/>
      <c r="AA87" s="89"/>
      <c r="AB87" s="89"/>
      <c r="AC87" s="89"/>
      <c r="AD87" s="89"/>
      <c r="AE87" s="89"/>
      <c r="AF87" s="89"/>
      <c r="AG87" s="89"/>
    </row>
    <row r="88" spans="1:33" s="120" customFormat="1">
      <c r="A88" s="1"/>
      <c r="B88" s="1010" t="s">
        <v>541</v>
      </c>
      <c r="C88" s="340">
        <v>0</v>
      </c>
      <c r="D88" s="340">
        <v>0</v>
      </c>
      <c r="E88" s="340">
        <v>0</v>
      </c>
      <c r="F88" s="340">
        <v>103.72979526</v>
      </c>
      <c r="G88" s="340">
        <v>0</v>
      </c>
      <c r="H88" s="340">
        <v>0</v>
      </c>
      <c r="I88" s="340">
        <v>0</v>
      </c>
      <c r="J88" s="340">
        <v>0</v>
      </c>
      <c r="K88" s="340">
        <v>0</v>
      </c>
      <c r="L88" s="80">
        <v>103.72979526</v>
      </c>
      <c r="M88" s="340">
        <v>0</v>
      </c>
      <c r="N88" s="340">
        <v>0</v>
      </c>
      <c r="O88" s="1007">
        <f t="shared" si="28"/>
        <v>207.45959052000001</v>
      </c>
      <c r="P88" s="89"/>
      <c r="Q88" s="89"/>
      <c r="R88" s="89"/>
      <c r="S88" s="89"/>
      <c r="T88" s="89"/>
      <c r="U88" s="89"/>
      <c r="V88" s="89"/>
      <c r="W88" s="89"/>
      <c r="X88" s="89"/>
      <c r="Y88" s="89"/>
      <c r="Z88" s="89"/>
      <c r="AA88" s="89"/>
      <c r="AB88" s="89"/>
      <c r="AC88" s="89"/>
      <c r="AD88" s="89"/>
      <c r="AE88" s="89"/>
      <c r="AF88" s="89"/>
      <c r="AG88" s="89"/>
    </row>
    <row r="89" spans="1:33" s="120" customFormat="1">
      <c r="A89" s="1"/>
      <c r="B89" s="1010" t="s">
        <v>714</v>
      </c>
      <c r="C89" s="340">
        <v>0</v>
      </c>
      <c r="D89" s="340">
        <v>83.926609977800908</v>
      </c>
      <c r="E89" s="340">
        <v>0</v>
      </c>
      <c r="F89" s="340">
        <v>0</v>
      </c>
      <c r="G89" s="340">
        <v>0</v>
      </c>
      <c r="H89" s="340">
        <v>0</v>
      </c>
      <c r="I89" s="340">
        <v>0</v>
      </c>
      <c r="J89" s="340">
        <v>0</v>
      </c>
      <c r="K89" s="340">
        <v>0</v>
      </c>
      <c r="L89" s="80">
        <v>0</v>
      </c>
      <c r="M89" s="340">
        <v>0</v>
      </c>
      <c r="N89" s="340">
        <v>0</v>
      </c>
      <c r="O89" s="1007">
        <f t="shared" si="28"/>
        <v>83.926609977800908</v>
      </c>
      <c r="P89" s="89"/>
      <c r="Q89" s="89"/>
      <c r="R89" s="89"/>
      <c r="S89" s="89"/>
      <c r="T89" s="89"/>
      <c r="U89" s="89"/>
      <c r="V89" s="89"/>
      <c r="W89" s="89"/>
      <c r="X89" s="89"/>
      <c r="Y89" s="89"/>
      <c r="Z89" s="89"/>
      <c r="AA89" s="89"/>
      <c r="AB89" s="89"/>
      <c r="AC89" s="89"/>
      <c r="AD89" s="89"/>
      <c r="AE89" s="89"/>
      <c r="AF89" s="89"/>
      <c r="AG89" s="89"/>
    </row>
    <row r="90" spans="1:33" s="120" customFormat="1">
      <c r="A90" s="1"/>
      <c r="B90" s="1010" t="s">
        <v>419</v>
      </c>
      <c r="C90" s="340">
        <v>0</v>
      </c>
      <c r="D90" s="340">
        <v>0</v>
      </c>
      <c r="E90" s="340">
        <v>0</v>
      </c>
      <c r="F90" s="340">
        <v>154.6875</v>
      </c>
      <c r="G90" s="340">
        <v>0</v>
      </c>
      <c r="H90" s="340">
        <v>0</v>
      </c>
      <c r="I90" s="340">
        <v>0</v>
      </c>
      <c r="J90" s="340">
        <v>0</v>
      </c>
      <c r="K90" s="340">
        <v>0</v>
      </c>
      <c r="L90" s="80">
        <v>0</v>
      </c>
      <c r="M90" s="340">
        <v>0</v>
      </c>
      <c r="N90" s="340">
        <v>0</v>
      </c>
      <c r="O90" s="1007">
        <f t="shared" si="28"/>
        <v>154.6875</v>
      </c>
      <c r="P90" s="89"/>
      <c r="Q90" s="89"/>
      <c r="R90" s="89"/>
      <c r="S90" s="89"/>
      <c r="T90" s="89"/>
      <c r="U90" s="89"/>
      <c r="V90" s="89"/>
      <c r="W90" s="89"/>
      <c r="X90" s="89"/>
      <c r="Y90" s="89"/>
      <c r="Z90" s="89"/>
      <c r="AA90" s="89"/>
      <c r="AB90" s="89"/>
      <c r="AC90" s="89"/>
      <c r="AD90" s="89"/>
      <c r="AE90" s="89"/>
      <c r="AF90" s="89"/>
      <c r="AG90" s="89"/>
    </row>
    <row r="91" spans="1:33" s="993" customFormat="1">
      <c r="A91" s="1"/>
      <c r="B91" s="1010" t="s">
        <v>420</v>
      </c>
      <c r="C91" s="1011">
        <v>0</v>
      </c>
      <c r="D91" s="1011">
        <v>0</v>
      </c>
      <c r="E91" s="1011">
        <v>0</v>
      </c>
      <c r="F91" s="1011">
        <v>243.75</v>
      </c>
      <c r="G91" s="1011">
        <v>0</v>
      </c>
      <c r="H91" s="1011">
        <v>0</v>
      </c>
      <c r="I91" s="1011">
        <v>0</v>
      </c>
      <c r="J91" s="1011">
        <v>0</v>
      </c>
      <c r="K91" s="1011">
        <v>0</v>
      </c>
      <c r="L91" s="1007">
        <v>243.75</v>
      </c>
      <c r="M91" s="1011">
        <v>0</v>
      </c>
      <c r="N91" s="1011">
        <v>0</v>
      </c>
      <c r="O91" s="1007">
        <f>SUM(C91:N91)</f>
        <v>487.5</v>
      </c>
      <c r="P91" s="89"/>
      <c r="Q91" s="89"/>
      <c r="R91" s="89"/>
      <c r="S91" s="89"/>
      <c r="T91" s="89"/>
      <c r="U91" s="89"/>
      <c r="V91" s="89"/>
      <c r="W91" s="89"/>
      <c r="X91" s="89"/>
      <c r="Y91" s="89"/>
      <c r="Z91" s="89"/>
      <c r="AA91" s="89"/>
      <c r="AB91" s="89"/>
      <c r="AC91" s="89"/>
      <c r="AD91" s="89"/>
      <c r="AE91" s="89"/>
      <c r="AF91" s="89"/>
      <c r="AG91" s="89"/>
    </row>
    <row r="92" spans="1:33" s="71" customFormat="1">
      <c r="A92" s="1"/>
      <c r="B92" s="1008" t="s">
        <v>421</v>
      </c>
      <c r="C92" s="340">
        <v>0</v>
      </c>
      <c r="D92" s="340">
        <v>0</v>
      </c>
      <c r="E92" s="340">
        <v>0</v>
      </c>
      <c r="F92" s="340">
        <v>104.84375</v>
      </c>
      <c r="G92" s="340">
        <v>0</v>
      </c>
      <c r="H92" s="340">
        <v>0</v>
      </c>
      <c r="I92" s="340">
        <v>0</v>
      </c>
      <c r="J92" s="340">
        <v>0</v>
      </c>
      <c r="K92" s="340">
        <v>0</v>
      </c>
      <c r="L92" s="80">
        <v>104.84375</v>
      </c>
      <c r="M92" s="340">
        <v>0</v>
      </c>
      <c r="N92" s="340">
        <v>0</v>
      </c>
      <c r="O92" s="1007">
        <f t="shared" si="28"/>
        <v>209.6875</v>
      </c>
      <c r="P92" s="89"/>
      <c r="Q92" s="89"/>
      <c r="R92" s="89"/>
      <c r="S92" s="89"/>
      <c r="T92" s="89"/>
      <c r="U92" s="89"/>
      <c r="V92" s="89"/>
      <c r="W92" s="89"/>
      <c r="X92" s="89"/>
      <c r="Y92" s="89"/>
      <c r="Z92" s="89"/>
      <c r="AA92" s="89"/>
      <c r="AB92" s="89"/>
      <c r="AC92" s="89"/>
      <c r="AD92" s="89"/>
      <c r="AE92" s="89"/>
      <c r="AF92" s="89"/>
      <c r="AG92" s="89"/>
    </row>
    <row r="93" spans="1:33" s="71" customFormat="1">
      <c r="A93" s="1"/>
      <c r="B93" s="339" t="s">
        <v>426</v>
      </c>
      <c r="C93" s="340">
        <v>33.125</v>
      </c>
      <c r="D93" s="340">
        <v>0</v>
      </c>
      <c r="E93" s="340">
        <v>0</v>
      </c>
      <c r="F93" s="340">
        <v>0</v>
      </c>
      <c r="G93" s="340">
        <v>0</v>
      </c>
      <c r="H93" s="340">
        <v>0</v>
      </c>
      <c r="I93" s="340">
        <v>33.125</v>
      </c>
      <c r="J93" s="340">
        <v>0</v>
      </c>
      <c r="K93" s="340">
        <v>0</v>
      </c>
      <c r="L93" s="80">
        <v>0</v>
      </c>
      <c r="M93" s="340">
        <v>0</v>
      </c>
      <c r="N93" s="340">
        <v>0</v>
      </c>
      <c r="O93" s="1007">
        <f t="shared" si="28"/>
        <v>66.25</v>
      </c>
      <c r="P93" s="89"/>
      <c r="Q93" s="89"/>
      <c r="R93" s="89"/>
      <c r="S93" s="89"/>
      <c r="T93" s="89"/>
      <c r="U93" s="89"/>
      <c r="V93" s="89"/>
      <c r="W93" s="89"/>
      <c r="X93" s="89"/>
      <c r="Y93" s="89"/>
      <c r="Z93" s="89"/>
      <c r="AA93" s="89"/>
      <c r="AB93" s="89"/>
      <c r="AC93" s="89"/>
      <c r="AD93" s="89"/>
      <c r="AE93" s="89"/>
      <c r="AF93" s="89"/>
      <c r="AG93" s="89"/>
    </row>
    <row r="94" spans="1:33" s="71" customFormat="1">
      <c r="A94" s="1"/>
      <c r="B94" s="364" t="s">
        <v>621</v>
      </c>
      <c r="C94" s="340">
        <v>40.46875</v>
      </c>
      <c r="D94" s="340">
        <v>0</v>
      </c>
      <c r="E94" s="340">
        <v>0</v>
      </c>
      <c r="F94" s="340">
        <v>0</v>
      </c>
      <c r="G94" s="340">
        <v>0</v>
      </c>
      <c r="H94" s="340">
        <v>0</v>
      </c>
      <c r="I94" s="340">
        <v>40.46875</v>
      </c>
      <c r="J94" s="340">
        <v>0</v>
      </c>
      <c r="K94" s="340">
        <v>0</v>
      </c>
      <c r="L94" s="80">
        <v>0</v>
      </c>
      <c r="M94" s="340">
        <v>0</v>
      </c>
      <c r="N94" s="340">
        <v>0</v>
      </c>
      <c r="O94" s="1007">
        <f t="shared" si="28"/>
        <v>80.9375</v>
      </c>
      <c r="P94" s="89"/>
      <c r="Q94" s="89"/>
      <c r="R94" s="89"/>
      <c r="S94" s="89"/>
      <c r="T94" s="89"/>
      <c r="U94" s="89"/>
      <c r="V94" s="89"/>
      <c r="W94" s="89"/>
      <c r="X94" s="89"/>
      <c r="Y94" s="89"/>
      <c r="Z94" s="89"/>
      <c r="AA94" s="89"/>
      <c r="AB94" s="89"/>
      <c r="AC94" s="89"/>
      <c r="AD94" s="89"/>
      <c r="AE94" s="89"/>
      <c r="AF94" s="89"/>
      <c r="AG94" s="89"/>
    </row>
    <row r="95" spans="1:33" s="71" customFormat="1">
      <c r="A95" s="1"/>
      <c r="B95" s="339" t="s">
        <v>427</v>
      </c>
      <c r="C95" s="340">
        <v>62.34375</v>
      </c>
      <c r="D95" s="340">
        <v>0</v>
      </c>
      <c r="E95" s="340">
        <v>0</v>
      </c>
      <c r="F95" s="340">
        <v>0</v>
      </c>
      <c r="G95" s="340">
        <v>0</v>
      </c>
      <c r="H95" s="340">
        <v>0</v>
      </c>
      <c r="I95" s="340">
        <v>62.34375</v>
      </c>
      <c r="J95" s="340">
        <v>0</v>
      </c>
      <c r="K95" s="340">
        <v>0</v>
      </c>
      <c r="L95" s="80">
        <v>0</v>
      </c>
      <c r="M95" s="340">
        <v>0</v>
      </c>
      <c r="N95" s="340">
        <v>0</v>
      </c>
      <c r="O95" s="1007">
        <f t="shared" si="28"/>
        <v>124.6875</v>
      </c>
      <c r="P95" s="89"/>
      <c r="Q95" s="89"/>
      <c r="R95" s="89"/>
      <c r="S95" s="89"/>
      <c r="T95" s="89"/>
      <c r="U95" s="89"/>
      <c r="V95" s="89"/>
      <c r="W95" s="89"/>
      <c r="X95" s="89"/>
      <c r="Y95" s="89"/>
      <c r="Z95" s="89"/>
      <c r="AA95" s="89"/>
      <c r="AB95" s="89"/>
      <c r="AC95" s="89"/>
      <c r="AD95" s="89"/>
      <c r="AE95" s="89"/>
      <c r="AF95" s="89"/>
      <c r="AG95" s="89"/>
    </row>
    <row r="96" spans="1:33" s="71" customFormat="1">
      <c r="A96" s="1"/>
      <c r="B96" s="339" t="s">
        <v>538</v>
      </c>
      <c r="C96" s="340">
        <v>0</v>
      </c>
      <c r="D96" s="340">
        <v>0</v>
      </c>
      <c r="E96" s="340">
        <v>0</v>
      </c>
      <c r="F96" s="340">
        <v>0</v>
      </c>
      <c r="G96" s="340">
        <v>0</v>
      </c>
      <c r="H96" s="340">
        <v>97.96875</v>
      </c>
      <c r="I96" s="340">
        <v>0</v>
      </c>
      <c r="J96" s="340">
        <v>0</v>
      </c>
      <c r="K96" s="340">
        <v>0</v>
      </c>
      <c r="L96" s="80">
        <v>0</v>
      </c>
      <c r="M96" s="340">
        <v>0</v>
      </c>
      <c r="N96" s="340">
        <v>97.96875</v>
      </c>
      <c r="O96" s="1007">
        <f t="shared" si="28"/>
        <v>195.9375</v>
      </c>
      <c r="P96" s="89"/>
      <c r="Q96" s="89"/>
      <c r="R96" s="89"/>
      <c r="S96" s="89"/>
      <c r="T96" s="89"/>
      <c r="U96" s="89"/>
      <c r="V96" s="89"/>
      <c r="W96" s="89"/>
      <c r="X96" s="89"/>
      <c r="Y96" s="89"/>
      <c r="Z96" s="89"/>
      <c r="AA96" s="89"/>
      <c r="AB96" s="89"/>
      <c r="AC96" s="89"/>
      <c r="AD96" s="89"/>
      <c r="AE96" s="89"/>
      <c r="AF96" s="89"/>
      <c r="AG96" s="89"/>
    </row>
    <row r="97" spans="1:33" s="71" customFormat="1">
      <c r="A97" s="1"/>
      <c r="B97" s="364" t="s">
        <v>539</v>
      </c>
      <c r="C97" s="340">
        <v>0</v>
      </c>
      <c r="D97" s="340">
        <v>0</v>
      </c>
      <c r="E97" s="340">
        <v>0</v>
      </c>
      <c r="F97" s="340">
        <v>0</v>
      </c>
      <c r="G97" s="340">
        <v>0</v>
      </c>
      <c r="H97" s="340">
        <v>0</v>
      </c>
      <c r="I97" s="340">
        <v>0</v>
      </c>
      <c r="J97" s="340">
        <v>0</v>
      </c>
      <c r="K97" s="340">
        <v>0</v>
      </c>
      <c r="L97" s="80">
        <v>0</v>
      </c>
      <c r="M97" s="340">
        <v>0</v>
      </c>
      <c r="N97" s="340">
        <v>0</v>
      </c>
      <c r="O97" s="1007">
        <f t="shared" si="28"/>
        <v>0</v>
      </c>
      <c r="P97" s="89"/>
      <c r="Q97" s="89"/>
      <c r="R97" s="89"/>
      <c r="S97" s="89"/>
      <c r="T97" s="89"/>
      <c r="U97" s="89"/>
      <c r="V97" s="89"/>
      <c r="W97" s="89"/>
      <c r="X97" s="89"/>
      <c r="Y97" s="89"/>
      <c r="Z97" s="89"/>
      <c r="AA97" s="89"/>
      <c r="AB97" s="89"/>
      <c r="AC97" s="89"/>
      <c r="AD97" s="89"/>
      <c r="AE97" s="89"/>
      <c r="AF97" s="89"/>
      <c r="AG97" s="89"/>
    </row>
    <row r="98" spans="1:33" s="71" customFormat="1">
      <c r="A98" s="1"/>
      <c r="B98" s="364" t="s">
        <v>425</v>
      </c>
      <c r="C98" s="340">
        <v>0</v>
      </c>
      <c r="D98" s="340">
        <v>3.4734359700000002</v>
      </c>
      <c r="E98" s="340">
        <v>0</v>
      </c>
      <c r="F98" s="340">
        <v>0</v>
      </c>
      <c r="G98" s="340">
        <v>0</v>
      </c>
      <c r="H98" s="340">
        <v>0</v>
      </c>
      <c r="I98" s="340">
        <v>0</v>
      </c>
      <c r="J98" s="340">
        <v>3.4734359700000002</v>
      </c>
      <c r="K98" s="340">
        <v>0</v>
      </c>
      <c r="L98" s="80">
        <v>0</v>
      </c>
      <c r="M98" s="340">
        <v>0</v>
      </c>
      <c r="N98" s="340">
        <v>0</v>
      </c>
      <c r="O98" s="1007">
        <f t="shared" si="28"/>
        <v>6.9468719400000003</v>
      </c>
      <c r="P98" s="89"/>
      <c r="Q98" s="89"/>
      <c r="R98" s="89"/>
      <c r="S98" s="89"/>
      <c r="T98" s="89"/>
      <c r="U98" s="89"/>
      <c r="V98" s="89"/>
      <c r="W98" s="89"/>
      <c r="X98" s="89"/>
      <c r="Y98" s="89"/>
      <c r="Z98" s="89"/>
      <c r="AA98" s="89"/>
      <c r="AB98" s="89"/>
      <c r="AC98" s="89"/>
      <c r="AD98" s="89"/>
      <c r="AE98" s="89"/>
      <c r="AF98" s="89"/>
      <c r="AG98" s="89"/>
    </row>
    <row r="99" spans="1:33" s="71" customFormat="1">
      <c r="A99" s="1"/>
      <c r="B99" s="364" t="s">
        <v>704</v>
      </c>
      <c r="C99" s="340">
        <v>0</v>
      </c>
      <c r="D99" s="340">
        <v>0</v>
      </c>
      <c r="E99" s="340">
        <v>0</v>
      </c>
      <c r="F99" s="340">
        <v>0</v>
      </c>
      <c r="G99" s="340">
        <v>0</v>
      </c>
      <c r="H99" s="340">
        <v>0</v>
      </c>
      <c r="I99" s="340">
        <v>0</v>
      </c>
      <c r="J99" s="340">
        <v>0</v>
      </c>
      <c r="K99" s="340">
        <v>0</v>
      </c>
      <c r="L99" s="80">
        <v>0</v>
      </c>
      <c r="M99" s="340">
        <v>0</v>
      </c>
      <c r="N99" s="340">
        <v>0</v>
      </c>
      <c r="O99" s="1007">
        <f t="shared" si="28"/>
        <v>0</v>
      </c>
      <c r="P99" s="89"/>
      <c r="Q99" s="89"/>
      <c r="R99" s="89"/>
      <c r="S99" s="89"/>
      <c r="T99" s="89"/>
      <c r="U99" s="89"/>
      <c r="V99" s="89"/>
      <c r="W99" s="89"/>
      <c r="X99" s="89"/>
      <c r="Y99" s="89"/>
      <c r="Z99" s="89"/>
      <c r="AA99" s="89"/>
      <c r="AB99" s="89"/>
      <c r="AC99" s="89"/>
      <c r="AD99" s="89"/>
      <c r="AE99" s="89"/>
      <c r="AF99" s="89"/>
      <c r="AG99" s="89"/>
    </row>
    <row r="100" spans="1:33" s="71" customFormat="1">
      <c r="A100" s="1"/>
      <c r="B100" s="339" t="s">
        <v>702</v>
      </c>
      <c r="C100" s="340">
        <v>0</v>
      </c>
      <c r="D100" s="340">
        <v>0</v>
      </c>
      <c r="E100" s="340">
        <v>0</v>
      </c>
      <c r="F100" s="340">
        <v>0</v>
      </c>
      <c r="G100" s="340">
        <v>0</v>
      </c>
      <c r="H100" s="340">
        <v>0</v>
      </c>
      <c r="I100" s="340">
        <v>0</v>
      </c>
      <c r="J100" s="340">
        <v>0</v>
      </c>
      <c r="K100" s="340">
        <v>0</v>
      </c>
      <c r="L100" s="80">
        <v>0</v>
      </c>
      <c r="M100" s="340">
        <v>0</v>
      </c>
      <c r="N100" s="340">
        <v>0</v>
      </c>
      <c r="O100" s="1007">
        <f t="shared" si="28"/>
        <v>0</v>
      </c>
      <c r="P100" s="89"/>
      <c r="Q100" s="89"/>
      <c r="R100" s="89"/>
      <c r="S100" s="89"/>
      <c r="T100" s="89"/>
      <c r="U100" s="89"/>
      <c r="V100" s="89"/>
      <c r="W100" s="89"/>
      <c r="X100" s="89"/>
      <c r="Y100" s="89"/>
      <c r="Z100" s="89"/>
      <c r="AA100" s="89"/>
      <c r="AB100" s="89"/>
      <c r="AC100" s="89"/>
      <c r="AD100" s="89"/>
      <c r="AE100" s="89"/>
      <c r="AF100" s="89"/>
      <c r="AG100" s="89"/>
    </row>
    <row r="101" spans="1:33" s="71" customFormat="1">
      <c r="A101" s="1"/>
      <c r="B101" s="339" t="s">
        <v>569</v>
      </c>
      <c r="C101" s="340">
        <v>0</v>
      </c>
      <c r="D101" s="340">
        <v>0</v>
      </c>
      <c r="E101" s="340">
        <v>0</v>
      </c>
      <c r="F101" s="340">
        <v>0</v>
      </c>
      <c r="G101" s="340">
        <v>0</v>
      </c>
      <c r="H101" s="340">
        <v>0</v>
      </c>
      <c r="I101" s="340">
        <v>0</v>
      </c>
      <c r="J101" s="340">
        <v>0</v>
      </c>
      <c r="K101" s="340">
        <v>0</v>
      </c>
      <c r="L101" s="80">
        <v>0</v>
      </c>
      <c r="M101" s="340">
        <v>0</v>
      </c>
      <c r="N101" s="340">
        <v>0</v>
      </c>
      <c r="O101" s="1007">
        <f t="shared" si="28"/>
        <v>0</v>
      </c>
      <c r="P101" s="89"/>
      <c r="Q101" s="89"/>
      <c r="R101" s="89"/>
      <c r="S101" s="89"/>
      <c r="T101" s="89"/>
      <c r="U101" s="89"/>
      <c r="V101" s="89"/>
      <c r="W101" s="89"/>
      <c r="X101" s="89"/>
      <c r="Y101" s="89"/>
      <c r="Z101" s="89"/>
      <c r="AA101" s="89"/>
      <c r="AB101" s="89"/>
      <c r="AC101" s="89"/>
      <c r="AD101" s="89"/>
      <c r="AE101" s="89"/>
      <c r="AF101" s="89"/>
      <c r="AG101" s="89"/>
    </row>
    <row r="102" spans="1:33" s="71" customFormat="1">
      <c r="A102" s="1"/>
      <c r="B102" s="339" t="s">
        <v>622</v>
      </c>
      <c r="C102" s="340">
        <v>124.84375</v>
      </c>
      <c r="D102" s="340">
        <v>0</v>
      </c>
      <c r="E102" s="340">
        <v>0</v>
      </c>
      <c r="F102" s="340">
        <v>0</v>
      </c>
      <c r="G102" s="340">
        <v>0</v>
      </c>
      <c r="H102" s="340">
        <v>0</v>
      </c>
      <c r="I102" s="340">
        <v>124.84375</v>
      </c>
      <c r="J102" s="340">
        <v>0</v>
      </c>
      <c r="K102" s="340">
        <v>0</v>
      </c>
      <c r="L102" s="80">
        <v>0</v>
      </c>
      <c r="M102" s="340">
        <v>0</v>
      </c>
      <c r="N102" s="340">
        <v>0</v>
      </c>
      <c r="O102" s="1007">
        <f t="shared" si="28"/>
        <v>249.6875</v>
      </c>
      <c r="P102" s="89"/>
      <c r="Q102" s="89"/>
      <c r="R102" s="89"/>
      <c r="S102" s="89"/>
      <c r="T102" s="89"/>
      <c r="U102" s="89"/>
      <c r="V102" s="89"/>
      <c r="W102" s="89"/>
      <c r="X102" s="89"/>
      <c r="Y102" s="89"/>
      <c r="Z102" s="89"/>
      <c r="AA102" s="89"/>
      <c r="AB102" s="89"/>
      <c r="AC102" s="89"/>
      <c r="AD102" s="89"/>
      <c r="AE102" s="89"/>
      <c r="AF102" s="89"/>
      <c r="AG102" s="89"/>
    </row>
    <row r="103" spans="1:33" s="71" customFormat="1">
      <c r="A103" s="1"/>
      <c r="B103" s="339" t="s">
        <v>517</v>
      </c>
      <c r="C103" s="340">
        <v>91.40625</v>
      </c>
      <c r="D103" s="340">
        <v>0</v>
      </c>
      <c r="E103" s="340">
        <v>0</v>
      </c>
      <c r="F103" s="340">
        <v>0</v>
      </c>
      <c r="G103" s="340">
        <v>0</v>
      </c>
      <c r="H103" s="340">
        <v>0</v>
      </c>
      <c r="I103" s="340">
        <v>91.40625</v>
      </c>
      <c r="J103" s="340">
        <v>0</v>
      </c>
      <c r="K103" s="340">
        <v>0</v>
      </c>
      <c r="L103" s="80">
        <v>0</v>
      </c>
      <c r="M103" s="340">
        <v>0</v>
      </c>
      <c r="N103" s="340">
        <v>0</v>
      </c>
      <c r="O103" s="1007">
        <f t="shared" si="28"/>
        <v>182.8125</v>
      </c>
      <c r="P103" s="89"/>
      <c r="Q103" s="89"/>
      <c r="R103" s="89"/>
      <c r="S103" s="89"/>
      <c r="T103" s="89"/>
      <c r="U103" s="89"/>
      <c r="V103" s="89"/>
      <c r="W103" s="89"/>
      <c r="X103" s="89"/>
      <c r="Y103" s="89"/>
      <c r="Z103" s="89"/>
      <c r="AA103" s="89"/>
      <c r="AB103" s="89"/>
      <c r="AC103" s="89"/>
      <c r="AD103" s="89"/>
      <c r="AE103" s="89"/>
      <c r="AF103" s="89"/>
      <c r="AG103" s="89"/>
    </row>
    <row r="104" spans="1:33" s="71" customFormat="1">
      <c r="A104" s="1"/>
      <c r="B104" s="339" t="s">
        <v>623</v>
      </c>
      <c r="C104" s="340">
        <v>103.125</v>
      </c>
      <c r="D104" s="340">
        <v>0</v>
      </c>
      <c r="E104" s="340">
        <v>0</v>
      </c>
      <c r="F104" s="340">
        <v>0</v>
      </c>
      <c r="G104" s="340">
        <v>0</v>
      </c>
      <c r="H104" s="340">
        <v>0</v>
      </c>
      <c r="I104" s="340">
        <v>103.125</v>
      </c>
      <c r="J104" s="340">
        <v>0</v>
      </c>
      <c r="K104" s="340">
        <v>0</v>
      </c>
      <c r="L104" s="80">
        <v>0</v>
      </c>
      <c r="M104" s="340">
        <v>0</v>
      </c>
      <c r="N104" s="340">
        <v>0</v>
      </c>
      <c r="O104" s="1007">
        <f t="shared" si="28"/>
        <v>206.25</v>
      </c>
      <c r="P104" s="89"/>
      <c r="Q104" s="89"/>
      <c r="R104" s="89"/>
      <c r="S104" s="89"/>
      <c r="T104" s="89"/>
      <c r="U104" s="89"/>
      <c r="V104" s="89"/>
      <c r="W104" s="89"/>
      <c r="X104" s="89"/>
      <c r="Y104" s="89"/>
      <c r="Z104" s="89"/>
      <c r="AA104" s="89"/>
      <c r="AB104" s="89"/>
      <c r="AC104" s="89"/>
      <c r="AD104" s="89"/>
      <c r="AE104" s="89"/>
      <c r="AF104" s="89"/>
      <c r="AG104" s="89"/>
    </row>
    <row r="105" spans="1:33" s="71" customFormat="1">
      <c r="A105" s="1"/>
      <c r="B105" s="364" t="s">
        <v>518</v>
      </c>
      <c r="C105" s="340">
        <v>128.90625</v>
      </c>
      <c r="D105" s="340">
        <v>0</v>
      </c>
      <c r="E105" s="340">
        <v>0</v>
      </c>
      <c r="F105" s="340">
        <v>0</v>
      </c>
      <c r="G105" s="340">
        <v>0</v>
      </c>
      <c r="H105" s="340">
        <v>0</v>
      </c>
      <c r="I105" s="340">
        <v>128.90625</v>
      </c>
      <c r="J105" s="340">
        <v>0</v>
      </c>
      <c r="K105" s="340">
        <v>0</v>
      </c>
      <c r="L105" s="80">
        <v>0</v>
      </c>
      <c r="M105" s="340">
        <v>0</v>
      </c>
      <c r="N105" s="340">
        <v>0</v>
      </c>
      <c r="O105" s="1007">
        <f t="shared" si="28"/>
        <v>257.8125</v>
      </c>
      <c r="P105" s="89"/>
      <c r="Q105" s="89"/>
      <c r="R105" s="89"/>
      <c r="S105" s="89"/>
      <c r="T105" s="89"/>
      <c r="U105" s="89"/>
      <c r="V105" s="89"/>
      <c r="W105" s="89"/>
      <c r="X105" s="89"/>
      <c r="Y105" s="89"/>
      <c r="Z105" s="89"/>
      <c r="AA105" s="89"/>
      <c r="AB105" s="89"/>
      <c r="AC105" s="89"/>
      <c r="AD105" s="89"/>
      <c r="AE105" s="89"/>
      <c r="AF105" s="89"/>
      <c r="AG105" s="89"/>
    </row>
    <row r="106" spans="1:33" s="71" customFormat="1">
      <c r="A106" s="1"/>
      <c r="B106" s="364" t="s">
        <v>428</v>
      </c>
      <c r="C106" s="340">
        <v>35.757719676644101</v>
      </c>
      <c r="D106" s="340">
        <v>0</v>
      </c>
      <c r="E106" s="340">
        <v>0</v>
      </c>
      <c r="F106" s="340">
        <v>0</v>
      </c>
      <c r="G106" s="340">
        <v>0</v>
      </c>
      <c r="H106" s="340">
        <v>0</v>
      </c>
      <c r="I106" s="340">
        <v>35.757719676644101</v>
      </c>
      <c r="J106" s="340">
        <v>0</v>
      </c>
      <c r="K106" s="340">
        <v>0</v>
      </c>
      <c r="L106" s="80">
        <v>0</v>
      </c>
      <c r="M106" s="340">
        <v>0</v>
      </c>
      <c r="N106" s="340">
        <v>0</v>
      </c>
      <c r="O106" s="1007">
        <f t="shared" si="28"/>
        <v>71.515439353288201</v>
      </c>
      <c r="P106" s="89"/>
      <c r="Q106" s="89"/>
      <c r="R106" s="89"/>
      <c r="S106" s="89"/>
      <c r="T106" s="89"/>
      <c r="U106" s="89"/>
      <c r="V106" s="89"/>
      <c r="W106" s="89"/>
      <c r="X106" s="89"/>
      <c r="Y106" s="89"/>
      <c r="Z106" s="89"/>
      <c r="AA106" s="89"/>
      <c r="AB106" s="89"/>
      <c r="AC106" s="89"/>
      <c r="AD106" s="89"/>
      <c r="AE106" s="89"/>
      <c r="AF106" s="89"/>
      <c r="AG106" s="89"/>
    </row>
    <row r="107" spans="1:33" s="71" customFormat="1">
      <c r="A107" s="1"/>
      <c r="B107" s="339" t="s">
        <v>510</v>
      </c>
      <c r="C107" s="340">
        <v>0</v>
      </c>
      <c r="D107" s="340">
        <v>0</v>
      </c>
      <c r="E107" s="340">
        <v>0</v>
      </c>
      <c r="F107" s="340">
        <v>0</v>
      </c>
      <c r="G107" s="340">
        <v>0</v>
      </c>
      <c r="H107" s="340">
        <v>0</v>
      </c>
      <c r="I107" s="340">
        <v>0</v>
      </c>
      <c r="J107" s="340">
        <v>0</v>
      </c>
      <c r="K107" s="340">
        <v>0</v>
      </c>
      <c r="L107" s="80">
        <v>0</v>
      </c>
      <c r="M107" s="340">
        <v>0</v>
      </c>
      <c r="N107" s="340">
        <v>0</v>
      </c>
      <c r="O107" s="1007">
        <f t="shared" si="28"/>
        <v>0</v>
      </c>
      <c r="P107" s="89"/>
      <c r="Q107" s="89"/>
      <c r="R107" s="89"/>
      <c r="S107" s="89"/>
      <c r="T107" s="89"/>
      <c r="U107" s="89"/>
      <c r="V107" s="89"/>
      <c r="W107" s="89"/>
      <c r="X107" s="89"/>
      <c r="Y107" s="89"/>
      <c r="Z107" s="89"/>
      <c r="AA107" s="89"/>
      <c r="AB107" s="89"/>
      <c r="AC107" s="89"/>
      <c r="AD107" s="89"/>
      <c r="AE107" s="89"/>
      <c r="AF107" s="89"/>
      <c r="AG107" s="89"/>
    </row>
    <row r="108" spans="1:33" s="71" customFormat="1">
      <c r="A108" s="1"/>
      <c r="B108" s="364" t="s">
        <v>624</v>
      </c>
      <c r="C108" s="340">
        <v>0</v>
      </c>
      <c r="D108" s="340">
        <v>0</v>
      </c>
      <c r="E108" s="340">
        <v>20.0497258668778</v>
      </c>
      <c r="F108" s="340">
        <v>0</v>
      </c>
      <c r="G108" s="340">
        <v>0</v>
      </c>
      <c r="H108" s="340">
        <v>0</v>
      </c>
      <c r="I108" s="340">
        <v>0</v>
      </c>
      <c r="J108" s="340">
        <v>0</v>
      </c>
      <c r="K108" s="340">
        <v>20.0497258668778</v>
      </c>
      <c r="L108" s="80">
        <v>0</v>
      </c>
      <c r="M108" s="340">
        <v>0</v>
      </c>
      <c r="N108" s="340">
        <v>0</v>
      </c>
      <c r="O108" s="1007">
        <f t="shared" si="28"/>
        <v>40.0994517337556</v>
      </c>
      <c r="P108" s="89"/>
      <c r="Q108" s="89"/>
      <c r="R108" s="89"/>
      <c r="S108" s="89"/>
      <c r="T108" s="89"/>
      <c r="U108" s="89"/>
      <c r="V108" s="89"/>
      <c r="W108" s="89"/>
      <c r="X108" s="89"/>
      <c r="Y108" s="89"/>
      <c r="Z108" s="89"/>
      <c r="AA108" s="89"/>
      <c r="AB108" s="89"/>
      <c r="AC108" s="89"/>
      <c r="AD108" s="89"/>
      <c r="AE108" s="89"/>
      <c r="AF108" s="89"/>
      <c r="AG108" s="89"/>
    </row>
    <row r="109" spans="1:33" s="71" customFormat="1">
      <c r="A109" s="1"/>
      <c r="B109" s="339" t="s">
        <v>668</v>
      </c>
      <c r="C109" s="340">
        <v>0</v>
      </c>
      <c r="D109" s="340">
        <v>0</v>
      </c>
      <c r="E109" s="340">
        <v>0</v>
      </c>
      <c r="F109" s="340">
        <v>19.838952768323299</v>
      </c>
      <c r="G109" s="340">
        <v>0</v>
      </c>
      <c r="H109" s="340">
        <v>0</v>
      </c>
      <c r="I109" s="340">
        <v>0</v>
      </c>
      <c r="J109" s="340">
        <v>0</v>
      </c>
      <c r="K109" s="340">
        <v>0</v>
      </c>
      <c r="L109" s="80">
        <v>19.838952768323299</v>
      </c>
      <c r="M109" s="340">
        <v>0</v>
      </c>
      <c r="N109" s="340">
        <v>0</v>
      </c>
      <c r="O109" s="1007">
        <f t="shared" si="28"/>
        <v>39.677905536646598</v>
      </c>
      <c r="P109" s="89"/>
      <c r="Q109" s="89"/>
      <c r="R109" s="89"/>
      <c r="S109" s="89"/>
      <c r="T109" s="89"/>
      <c r="U109" s="89"/>
      <c r="V109" s="89"/>
      <c r="W109" s="89"/>
      <c r="X109" s="89"/>
      <c r="Y109" s="89"/>
      <c r="Z109" s="89"/>
      <c r="AA109" s="89"/>
      <c r="AB109" s="89"/>
      <c r="AC109" s="89"/>
      <c r="AD109" s="89"/>
      <c r="AE109" s="89"/>
      <c r="AF109" s="89"/>
      <c r="AG109" s="89"/>
    </row>
    <row r="110" spans="1:33" s="71" customFormat="1">
      <c r="A110" s="1"/>
      <c r="B110" s="339" t="s">
        <v>703</v>
      </c>
      <c r="C110" s="340">
        <v>0</v>
      </c>
      <c r="D110" s="340">
        <v>0</v>
      </c>
      <c r="E110" s="340">
        <v>0</v>
      </c>
      <c r="F110" s="340">
        <v>0</v>
      </c>
      <c r="G110" s="340">
        <v>38.181585434810401</v>
      </c>
      <c r="H110" s="340">
        <v>0</v>
      </c>
      <c r="I110" s="340">
        <v>0</v>
      </c>
      <c r="J110" s="340">
        <v>0</v>
      </c>
      <c r="K110" s="340">
        <v>0</v>
      </c>
      <c r="L110" s="80">
        <v>0</v>
      </c>
      <c r="M110" s="340">
        <v>38.181585434810401</v>
      </c>
      <c r="N110" s="340">
        <v>0</v>
      </c>
      <c r="O110" s="1007">
        <f t="shared" si="28"/>
        <v>76.363170869620802</v>
      </c>
      <c r="P110" s="89"/>
      <c r="Q110" s="89"/>
      <c r="R110" s="89"/>
      <c r="S110" s="89"/>
      <c r="T110" s="89"/>
      <c r="U110" s="89"/>
      <c r="V110" s="89"/>
      <c r="W110" s="89"/>
      <c r="X110" s="89"/>
      <c r="Y110" s="89"/>
      <c r="Z110" s="89"/>
      <c r="AA110" s="89"/>
      <c r="AB110" s="89"/>
      <c r="AC110" s="89"/>
      <c r="AD110" s="89"/>
      <c r="AE110" s="89"/>
      <c r="AF110" s="89"/>
      <c r="AG110" s="89"/>
    </row>
    <row r="111" spans="1:33" s="71" customFormat="1">
      <c r="A111" s="1"/>
      <c r="B111" s="339" t="s">
        <v>573</v>
      </c>
      <c r="C111" s="340">
        <v>37.935731140006702</v>
      </c>
      <c r="D111" s="340">
        <v>0</v>
      </c>
      <c r="E111" s="340">
        <v>0</v>
      </c>
      <c r="F111" s="340">
        <v>0</v>
      </c>
      <c r="G111" s="340">
        <v>0</v>
      </c>
      <c r="H111" s="340">
        <v>0</v>
      </c>
      <c r="I111" s="340">
        <v>0</v>
      </c>
      <c r="J111" s="340">
        <v>0</v>
      </c>
      <c r="K111" s="340">
        <v>0</v>
      </c>
      <c r="L111" s="80">
        <v>0</v>
      </c>
      <c r="M111" s="340">
        <v>0</v>
      </c>
      <c r="N111" s="340">
        <v>0</v>
      </c>
      <c r="O111" s="1007">
        <f t="shared" si="28"/>
        <v>37.935731140006702</v>
      </c>
      <c r="P111" s="89"/>
      <c r="Q111" s="89"/>
      <c r="R111" s="89"/>
      <c r="S111" s="89"/>
      <c r="T111" s="89"/>
      <c r="U111" s="89"/>
      <c r="V111" s="89"/>
      <c r="W111" s="89"/>
      <c r="X111" s="89"/>
      <c r="Y111" s="89"/>
      <c r="Z111" s="89"/>
      <c r="AA111" s="89"/>
      <c r="AB111" s="89"/>
      <c r="AC111" s="89"/>
      <c r="AD111" s="89"/>
      <c r="AE111" s="89"/>
      <c r="AF111" s="89"/>
      <c r="AG111" s="89"/>
    </row>
    <row r="112" spans="1:33" s="71" customFormat="1">
      <c r="A112" s="1"/>
      <c r="B112" s="364" t="s">
        <v>511</v>
      </c>
      <c r="C112" s="340">
        <v>54.444799327429699</v>
      </c>
      <c r="D112" s="340">
        <v>0</v>
      </c>
      <c r="E112" s="340">
        <v>0</v>
      </c>
      <c r="F112" s="340">
        <v>0</v>
      </c>
      <c r="G112" s="340">
        <v>0</v>
      </c>
      <c r="H112" s="340">
        <v>0</v>
      </c>
      <c r="I112" s="340">
        <v>0</v>
      </c>
      <c r="J112" s="340">
        <v>0</v>
      </c>
      <c r="K112" s="340">
        <v>0</v>
      </c>
      <c r="L112" s="80">
        <v>0</v>
      </c>
      <c r="M112" s="340">
        <v>0</v>
      </c>
      <c r="N112" s="340">
        <v>0</v>
      </c>
      <c r="O112" s="1007">
        <f t="shared" si="28"/>
        <v>54.444799327429699</v>
      </c>
      <c r="P112" s="89"/>
      <c r="Q112" s="89"/>
      <c r="R112" s="89"/>
      <c r="S112" s="89"/>
      <c r="T112" s="89"/>
      <c r="U112" s="89"/>
      <c r="V112" s="89"/>
      <c r="W112" s="89"/>
      <c r="X112" s="89"/>
      <c r="Y112" s="89"/>
      <c r="Z112" s="89"/>
      <c r="AA112" s="89"/>
      <c r="AB112" s="89"/>
      <c r="AC112" s="89"/>
      <c r="AD112" s="89"/>
      <c r="AE112" s="89"/>
      <c r="AF112" s="89"/>
      <c r="AG112" s="89"/>
    </row>
    <row r="113" spans="1:33" s="71" customFormat="1">
      <c r="A113" s="1"/>
      <c r="B113" s="339" t="s">
        <v>512</v>
      </c>
      <c r="C113" s="340">
        <v>70.251353973769795</v>
      </c>
      <c r="D113" s="340">
        <v>0</v>
      </c>
      <c r="E113" s="340">
        <v>0</v>
      </c>
      <c r="F113" s="340">
        <v>0</v>
      </c>
      <c r="G113" s="340">
        <v>0</v>
      </c>
      <c r="H113" s="340">
        <v>0</v>
      </c>
      <c r="I113" s="340">
        <v>0</v>
      </c>
      <c r="J113" s="340">
        <v>0</v>
      </c>
      <c r="K113" s="340">
        <v>0</v>
      </c>
      <c r="L113" s="80">
        <v>0</v>
      </c>
      <c r="M113" s="340">
        <v>0</v>
      </c>
      <c r="N113" s="340">
        <v>0</v>
      </c>
      <c r="O113" s="1007">
        <f t="shared" si="28"/>
        <v>70.251353973769795</v>
      </c>
      <c r="P113" s="89"/>
      <c r="Q113" s="89"/>
      <c r="R113" s="89"/>
      <c r="S113" s="89"/>
      <c r="T113" s="89"/>
      <c r="U113" s="89"/>
      <c r="V113" s="89"/>
      <c r="W113" s="89"/>
      <c r="X113" s="89"/>
      <c r="Y113" s="89"/>
      <c r="Z113" s="89"/>
      <c r="AA113" s="89"/>
      <c r="AB113" s="89"/>
      <c r="AC113" s="89"/>
      <c r="AD113" s="89"/>
      <c r="AE113" s="89"/>
      <c r="AF113" s="89"/>
      <c r="AG113" s="89"/>
    </row>
    <row r="114" spans="1:33" s="71" customFormat="1">
      <c r="A114" s="1"/>
      <c r="B114" s="364" t="s">
        <v>574</v>
      </c>
      <c r="C114" s="340">
        <v>59.011137338863399</v>
      </c>
      <c r="D114" s="340">
        <v>0</v>
      </c>
      <c r="E114" s="340">
        <v>0</v>
      </c>
      <c r="F114" s="340">
        <v>0</v>
      </c>
      <c r="G114" s="340">
        <v>0</v>
      </c>
      <c r="H114" s="340">
        <v>0</v>
      </c>
      <c r="I114" s="340">
        <v>0</v>
      </c>
      <c r="J114" s="340">
        <v>0</v>
      </c>
      <c r="K114" s="340">
        <v>0</v>
      </c>
      <c r="L114" s="80">
        <v>0</v>
      </c>
      <c r="M114" s="340">
        <v>0</v>
      </c>
      <c r="N114" s="340">
        <v>0</v>
      </c>
      <c r="O114" s="1007">
        <f t="shared" si="28"/>
        <v>59.011137338863399</v>
      </c>
      <c r="P114" s="89"/>
      <c r="Q114" s="89"/>
      <c r="R114" s="89"/>
      <c r="S114" s="89"/>
      <c r="T114" s="89"/>
      <c r="U114" s="89"/>
      <c r="V114" s="89"/>
      <c r="W114" s="89"/>
      <c r="X114" s="89"/>
      <c r="Y114" s="89"/>
      <c r="Z114" s="89"/>
      <c r="AA114" s="89"/>
      <c r="AB114" s="89"/>
      <c r="AC114" s="89"/>
      <c r="AD114" s="89"/>
      <c r="AE114" s="89"/>
      <c r="AF114" s="89"/>
      <c r="AG114" s="89"/>
    </row>
    <row r="115" spans="1:33" s="71" customFormat="1">
      <c r="A115" s="1"/>
      <c r="B115" s="339" t="s">
        <v>575</v>
      </c>
      <c r="C115" s="356">
        <v>0</v>
      </c>
      <c r="D115" s="356">
        <v>0</v>
      </c>
      <c r="E115" s="356">
        <v>0</v>
      </c>
      <c r="F115" s="356">
        <v>0</v>
      </c>
      <c r="G115" s="356">
        <v>0</v>
      </c>
      <c r="H115" s="356">
        <v>0</v>
      </c>
      <c r="I115" s="356">
        <v>0</v>
      </c>
      <c r="J115" s="356">
        <v>0</v>
      </c>
      <c r="K115" s="356">
        <v>0</v>
      </c>
      <c r="L115" s="80">
        <v>0</v>
      </c>
      <c r="M115" s="356">
        <v>52.5445577850017</v>
      </c>
      <c r="N115" s="340">
        <v>0</v>
      </c>
      <c r="O115" s="1007">
        <f t="shared" si="28"/>
        <v>52.5445577850017</v>
      </c>
      <c r="P115" s="89"/>
      <c r="Q115" s="89"/>
      <c r="R115" s="89"/>
      <c r="S115" s="89"/>
      <c r="T115" s="89"/>
      <c r="U115" s="89"/>
      <c r="V115" s="89"/>
      <c r="W115" s="89"/>
      <c r="X115" s="89"/>
      <c r="Y115" s="89"/>
      <c r="Z115" s="89"/>
      <c r="AA115" s="89"/>
      <c r="AB115" s="89"/>
      <c r="AC115" s="89"/>
      <c r="AD115" s="89"/>
      <c r="AE115" s="89"/>
      <c r="AF115" s="89"/>
      <c r="AG115" s="89"/>
    </row>
    <row r="116" spans="1:33" s="71" customFormat="1">
      <c r="A116" s="1"/>
      <c r="B116" s="364" t="s">
        <v>810</v>
      </c>
      <c r="C116" s="356">
        <v>0</v>
      </c>
      <c r="D116" s="356">
        <v>0</v>
      </c>
      <c r="E116" s="356">
        <v>0</v>
      </c>
      <c r="F116" s="356">
        <v>0</v>
      </c>
      <c r="G116" s="356">
        <v>0</v>
      </c>
      <c r="H116" s="356">
        <v>0</v>
      </c>
      <c r="I116" s="356">
        <v>0</v>
      </c>
      <c r="J116" s="356">
        <v>0</v>
      </c>
      <c r="K116" s="356">
        <v>0</v>
      </c>
      <c r="L116" s="80">
        <v>0</v>
      </c>
      <c r="M116" s="356">
        <v>0</v>
      </c>
      <c r="N116" s="340">
        <v>0</v>
      </c>
      <c r="O116" s="1007">
        <f t="shared" si="28"/>
        <v>0</v>
      </c>
      <c r="P116" s="89"/>
      <c r="Q116" s="89"/>
      <c r="R116" s="89"/>
      <c r="S116" s="89"/>
      <c r="T116" s="89"/>
      <c r="U116" s="89"/>
      <c r="V116" s="89"/>
      <c r="W116" s="89"/>
      <c r="X116" s="89"/>
      <c r="Y116" s="89"/>
      <c r="Z116" s="89"/>
      <c r="AA116" s="89"/>
      <c r="AB116" s="89"/>
      <c r="AC116" s="89"/>
      <c r="AD116" s="89"/>
      <c r="AE116" s="89"/>
      <c r="AF116" s="89"/>
      <c r="AG116" s="89"/>
    </row>
    <row r="117" spans="1:33" s="71" customFormat="1">
      <c r="A117" s="1"/>
      <c r="B117" s="339" t="s">
        <v>619</v>
      </c>
      <c r="C117" s="356">
        <v>0</v>
      </c>
      <c r="D117" s="356">
        <v>0</v>
      </c>
      <c r="E117" s="356">
        <v>0</v>
      </c>
      <c r="F117" s="356">
        <v>0</v>
      </c>
      <c r="G117" s="356">
        <v>0</v>
      </c>
      <c r="H117" s="356">
        <v>0</v>
      </c>
      <c r="I117" s="356">
        <v>0</v>
      </c>
      <c r="J117" s="356">
        <v>0</v>
      </c>
      <c r="K117" s="356">
        <v>0</v>
      </c>
      <c r="L117" s="80">
        <v>0</v>
      </c>
      <c r="M117" s="356">
        <v>0</v>
      </c>
      <c r="N117" s="340">
        <v>0</v>
      </c>
      <c r="O117" s="1007">
        <f t="shared" si="28"/>
        <v>0</v>
      </c>
      <c r="P117" s="89"/>
      <c r="Q117" s="89"/>
      <c r="R117" s="89"/>
      <c r="S117" s="89"/>
      <c r="T117" s="89"/>
      <c r="U117" s="89"/>
      <c r="V117" s="89"/>
      <c r="W117" s="89"/>
      <c r="X117" s="89"/>
      <c r="Y117" s="89"/>
      <c r="Z117" s="89"/>
      <c r="AA117" s="89"/>
      <c r="AB117" s="89"/>
      <c r="AC117" s="89"/>
      <c r="AD117" s="89"/>
      <c r="AE117" s="89"/>
      <c r="AF117" s="89"/>
      <c r="AG117" s="89"/>
    </row>
    <row r="118" spans="1:33" s="71" customFormat="1">
      <c r="A118" s="1"/>
      <c r="B118" s="364" t="s">
        <v>79</v>
      </c>
      <c r="C118" s="340">
        <v>106.29099914999999</v>
      </c>
      <c r="D118" s="340">
        <v>39.496581230000004</v>
      </c>
      <c r="E118" s="340">
        <v>15.016357390000001</v>
      </c>
      <c r="F118" s="340">
        <v>40.568829129999997</v>
      </c>
      <c r="G118" s="340">
        <v>0</v>
      </c>
      <c r="H118" s="340">
        <v>76.086358149999995</v>
      </c>
      <c r="I118" s="340">
        <v>68.232779560000012</v>
      </c>
      <c r="J118" s="340">
        <v>38.852615230000005</v>
      </c>
      <c r="K118" s="340">
        <v>0</v>
      </c>
      <c r="L118" s="80">
        <v>40.791734780000006</v>
      </c>
      <c r="M118" s="340">
        <v>0</v>
      </c>
      <c r="N118" s="340">
        <v>76.578043490000013</v>
      </c>
      <c r="O118" s="1007">
        <f t="shared" si="28"/>
        <v>501.91429811000012</v>
      </c>
      <c r="P118" s="89"/>
      <c r="Q118" s="89"/>
      <c r="R118" s="89"/>
      <c r="S118" s="89"/>
      <c r="T118" s="89"/>
      <c r="U118" s="89"/>
      <c r="V118" s="89"/>
      <c r="W118" s="89"/>
      <c r="X118" s="89"/>
      <c r="Y118" s="89"/>
      <c r="Z118" s="89"/>
      <c r="AA118" s="89"/>
      <c r="AB118" s="89"/>
      <c r="AC118" s="89"/>
      <c r="AD118" s="89"/>
      <c r="AE118" s="89"/>
      <c r="AF118" s="89"/>
      <c r="AG118" s="89"/>
    </row>
    <row r="119" spans="1:33" s="71" customFormat="1">
      <c r="A119" s="1"/>
      <c r="B119" s="967" t="s">
        <v>220</v>
      </c>
      <c r="C119" s="973">
        <f>+C120+C121</f>
        <v>0</v>
      </c>
      <c r="D119" s="973">
        <f t="shared" ref="D119:N119" si="29">+D120+D121</f>
        <v>0</v>
      </c>
      <c r="E119" s="973">
        <f t="shared" si="29"/>
        <v>0</v>
      </c>
      <c r="F119" s="973">
        <f t="shared" si="29"/>
        <v>0</v>
      </c>
      <c r="G119" s="973">
        <f t="shared" si="29"/>
        <v>0</v>
      </c>
      <c r="H119" s="973">
        <f t="shared" si="29"/>
        <v>0</v>
      </c>
      <c r="I119" s="973">
        <f t="shared" si="29"/>
        <v>0</v>
      </c>
      <c r="J119" s="973">
        <f t="shared" si="29"/>
        <v>0</v>
      </c>
      <c r="K119" s="973">
        <f t="shared" si="29"/>
        <v>0</v>
      </c>
      <c r="L119" s="973">
        <f t="shared" si="29"/>
        <v>0</v>
      </c>
      <c r="M119" s="973">
        <f t="shared" si="29"/>
        <v>0</v>
      </c>
      <c r="N119" s="973">
        <f t="shared" si="29"/>
        <v>0</v>
      </c>
      <c r="O119" s="969">
        <f t="shared" si="28"/>
        <v>0</v>
      </c>
      <c r="P119" s="89"/>
      <c r="Q119" s="89"/>
      <c r="R119" s="89"/>
      <c r="S119" s="89"/>
      <c r="T119" s="89"/>
      <c r="U119" s="89"/>
      <c r="V119" s="89"/>
      <c r="W119" s="89"/>
      <c r="X119" s="89"/>
      <c r="Y119" s="89"/>
      <c r="Z119" s="89"/>
      <c r="AA119" s="89"/>
      <c r="AB119" s="89"/>
      <c r="AC119" s="89"/>
      <c r="AD119" s="89"/>
      <c r="AE119" s="89"/>
      <c r="AF119" s="89"/>
      <c r="AG119" s="89"/>
    </row>
    <row r="120" spans="1:33" s="71" customFormat="1">
      <c r="A120" s="1"/>
      <c r="B120" s="1010" t="s">
        <v>72</v>
      </c>
      <c r="C120" s="1011">
        <v>0</v>
      </c>
      <c r="D120" s="1011">
        <v>0</v>
      </c>
      <c r="E120" s="1011">
        <v>0</v>
      </c>
      <c r="F120" s="1011">
        <v>0</v>
      </c>
      <c r="G120" s="1011">
        <v>0</v>
      </c>
      <c r="H120" s="1011">
        <v>0</v>
      </c>
      <c r="I120" s="1011">
        <v>0</v>
      </c>
      <c r="J120" s="1011">
        <v>0</v>
      </c>
      <c r="K120" s="1011">
        <v>0</v>
      </c>
      <c r="L120" s="1007">
        <v>0</v>
      </c>
      <c r="M120" s="1011">
        <v>0</v>
      </c>
      <c r="N120" s="1011">
        <v>0</v>
      </c>
      <c r="O120" s="1007">
        <f t="shared" si="28"/>
        <v>0</v>
      </c>
      <c r="P120" s="89"/>
      <c r="Q120" s="89"/>
      <c r="R120" s="89"/>
      <c r="S120" s="89"/>
      <c r="T120" s="89"/>
      <c r="U120" s="89"/>
      <c r="V120" s="89"/>
      <c r="W120" s="89"/>
      <c r="X120" s="89"/>
      <c r="Y120" s="89"/>
      <c r="Z120" s="89"/>
      <c r="AA120" s="89"/>
      <c r="AB120" s="89"/>
      <c r="AC120" s="89"/>
      <c r="AD120" s="89"/>
      <c r="AE120" s="89"/>
      <c r="AF120" s="89"/>
      <c r="AG120" s="89"/>
    </row>
    <row r="121" spans="1:33" s="71" customFormat="1">
      <c r="A121" s="1"/>
      <c r="B121" s="1010" t="s">
        <v>70</v>
      </c>
      <c r="C121" s="1011">
        <v>0</v>
      </c>
      <c r="D121" s="1011">
        <v>0</v>
      </c>
      <c r="E121" s="1011">
        <v>0</v>
      </c>
      <c r="F121" s="1011">
        <v>0</v>
      </c>
      <c r="G121" s="1011">
        <v>0</v>
      </c>
      <c r="H121" s="1011">
        <v>0</v>
      </c>
      <c r="I121" s="1011">
        <v>0</v>
      </c>
      <c r="J121" s="1011">
        <v>0</v>
      </c>
      <c r="K121" s="1011">
        <v>0</v>
      </c>
      <c r="L121" s="1007">
        <v>0</v>
      </c>
      <c r="M121" s="1011">
        <v>0</v>
      </c>
      <c r="N121" s="1011">
        <v>0</v>
      </c>
      <c r="O121" s="1007">
        <f t="shared" si="28"/>
        <v>0</v>
      </c>
      <c r="P121" s="89"/>
      <c r="Q121" s="89"/>
      <c r="R121" s="89"/>
      <c r="S121" s="89"/>
      <c r="T121" s="89"/>
      <c r="U121" s="89"/>
      <c r="V121" s="89"/>
      <c r="W121" s="89"/>
      <c r="X121" s="89"/>
      <c r="Y121" s="89"/>
      <c r="Z121" s="89"/>
      <c r="AA121" s="89"/>
      <c r="AB121" s="89"/>
      <c r="AC121" s="89"/>
      <c r="AD121" s="89"/>
      <c r="AE121" s="89"/>
      <c r="AF121" s="89"/>
      <c r="AG121" s="89"/>
    </row>
    <row r="122" spans="1:33" s="71" customFormat="1">
      <c r="A122" s="1"/>
      <c r="B122" s="967" t="s">
        <v>344</v>
      </c>
      <c r="C122" s="973">
        <f t="shared" ref="C122:N122" si="30">+C123+C128</f>
        <v>12.092082575595295</v>
      </c>
      <c r="D122" s="973">
        <f t="shared" si="30"/>
        <v>0.26741150129558999</v>
      </c>
      <c r="E122" s="973">
        <f t="shared" si="30"/>
        <v>0.286592197454904</v>
      </c>
      <c r="F122" s="973">
        <f t="shared" si="30"/>
        <v>10.509074390673417</v>
      </c>
      <c r="G122" s="973">
        <f t="shared" si="30"/>
        <v>0.24656358977353202</v>
      </c>
      <c r="H122" s="973">
        <f t="shared" si="30"/>
        <v>0.239614289055126</v>
      </c>
      <c r="I122" s="973">
        <f t="shared" si="30"/>
        <v>9.2824210698917682</v>
      </c>
      <c r="J122" s="973">
        <f t="shared" si="30"/>
        <v>0.225715681373754</v>
      </c>
      <c r="K122" s="973">
        <f t="shared" si="30"/>
        <v>0.24489637753306698</v>
      </c>
      <c r="L122" s="973">
        <f t="shared" si="30"/>
        <v>8.0267621206335811</v>
      </c>
      <c r="M122" s="973">
        <f t="shared" si="30"/>
        <v>0.20486777297397499</v>
      </c>
      <c r="N122" s="973">
        <f t="shared" si="30"/>
        <v>0.197918469133289</v>
      </c>
      <c r="O122" s="969">
        <f t="shared" ref="O122:O129" si="31">SUM(C122:N122)</f>
        <v>41.823920035387303</v>
      </c>
      <c r="P122" s="89"/>
      <c r="Q122" s="89"/>
      <c r="R122" s="89"/>
      <c r="S122" s="89"/>
      <c r="T122" s="89"/>
      <c r="U122" s="89"/>
      <c r="V122" s="89"/>
      <c r="W122" s="89"/>
      <c r="X122" s="89"/>
      <c r="Y122" s="89"/>
      <c r="Z122" s="89"/>
      <c r="AA122" s="89"/>
      <c r="AB122" s="89"/>
      <c r="AC122" s="89"/>
      <c r="AD122" s="89"/>
      <c r="AE122" s="89"/>
      <c r="AF122" s="89"/>
      <c r="AG122" s="89"/>
    </row>
    <row r="123" spans="1:33" s="71" customFormat="1">
      <c r="A123" s="1"/>
      <c r="B123" s="346" t="s">
        <v>72</v>
      </c>
      <c r="C123" s="367">
        <f t="shared" ref="C123:N123" si="32">+C124+C126</f>
        <v>12.092082575595295</v>
      </c>
      <c r="D123" s="367">
        <f t="shared" si="32"/>
        <v>0.26741150129558999</v>
      </c>
      <c r="E123" s="367">
        <f t="shared" si="32"/>
        <v>0.26046219745490401</v>
      </c>
      <c r="F123" s="367">
        <f t="shared" si="32"/>
        <v>10.509074390673417</v>
      </c>
      <c r="G123" s="367">
        <f t="shared" si="32"/>
        <v>0.24656358977353202</v>
      </c>
      <c r="H123" s="367">
        <f t="shared" si="32"/>
        <v>0.239614289055126</v>
      </c>
      <c r="I123" s="367">
        <f t="shared" si="32"/>
        <v>9.2824210698917682</v>
      </c>
      <c r="J123" s="367">
        <f t="shared" si="32"/>
        <v>0.225715681373754</v>
      </c>
      <c r="K123" s="367">
        <f t="shared" si="32"/>
        <v>0.21876637753306699</v>
      </c>
      <c r="L123" s="367">
        <f t="shared" si="32"/>
        <v>8.0267621206335811</v>
      </c>
      <c r="M123" s="367">
        <f t="shared" si="32"/>
        <v>0.20486777297397499</v>
      </c>
      <c r="N123" s="367">
        <f t="shared" si="32"/>
        <v>0.197918469133289</v>
      </c>
      <c r="O123" s="94">
        <f t="shared" si="31"/>
        <v>41.771660035387313</v>
      </c>
      <c r="P123" s="89"/>
      <c r="Q123" s="89"/>
      <c r="R123" s="89"/>
      <c r="S123" s="89"/>
      <c r="T123" s="89"/>
      <c r="U123" s="89"/>
      <c r="V123" s="89"/>
      <c r="W123" s="89"/>
      <c r="X123" s="89"/>
      <c r="Y123" s="89"/>
      <c r="Z123" s="89"/>
      <c r="AA123" s="89"/>
      <c r="AB123" s="89"/>
      <c r="AC123" s="89"/>
      <c r="AD123" s="89"/>
      <c r="AE123" s="89"/>
      <c r="AF123" s="89"/>
      <c r="AG123" s="89"/>
    </row>
    <row r="124" spans="1:33">
      <c r="B124" s="1130" t="s">
        <v>674</v>
      </c>
      <c r="C124" s="368">
        <f>+C125</f>
        <v>0.27436080201399599</v>
      </c>
      <c r="D124" s="368">
        <f t="shared" ref="D124:N124" si="33">+D125</f>
        <v>0.26741150129558999</v>
      </c>
      <c r="E124" s="368">
        <f t="shared" si="33"/>
        <v>0.26046219745490401</v>
      </c>
      <c r="F124" s="368">
        <f t="shared" si="33"/>
        <v>0.25351289361421797</v>
      </c>
      <c r="G124" s="368">
        <f t="shared" si="33"/>
        <v>0.24656358977353202</v>
      </c>
      <c r="H124" s="368">
        <f t="shared" si="33"/>
        <v>0.239614289055126</v>
      </c>
      <c r="I124" s="368">
        <f t="shared" si="33"/>
        <v>0.23266498521444001</v>
      </c>
      <c r="J124" s="368">
        <f t="shared" si="33"/>
        <v>0.225715681373754</v>
      </c>
      <c r="K124" s="368">
        <f t="shared" si="33"/>
        <v>0.21876637753306699</v>
      </c>
      <c r="L124" s="368">
        <f t="shared" si="33"/>
        <v>0.211817076814662</v>
      </c>
      <c r="M124" s="368">
        <f t="shared" si="33"/>
        <v>0.20486777297397499</v>
      </c>
      <c r="N124" s="368">
        <f t="shared" si="33"/>
        <v>0.197918469133289</v>
      </c>
      <c r="O124" s="81">
        <f t="shared" si="31"/>
        <v>2.8336756362505535</v>
      </c>
      <c r="P124" s="89"/>
      <c r="Q124" s="89"/>
      <c r="R124" s="89"/>
      <c r="S124" s="89"/>
      <c r="T124" s="89"/>
      <c r="U124" s="89"/>
      <c r="V124" s="89"/>
      <c r="W124" s="89"/>
      <c r="X124" s="89"/>
      <c r="Y124" s="89"/>
      <c r="Z124" s="89"/>
      <c r="AA124" s="89"/>
      <c r="AB124" s="89"/>
      <c r="AC124" s="89"/>
      <c r="AD124" s="89"/>
      <c r="AE124" s="89"/>
      <c r="AF124" s="89"/>
      <c r="AG124" s="89"/>
    </row>
    <row r="125" spans="1:33" s="71" customFormat="1">
      <c r="A125" s="1"/>
      <c r="B125" s="784" t="s">
        <v>815</v>
      </c>
      <c r="C125" s="368">
        <v>0.27436080201399599</v>
      </c>
      <c r="D125" s="368">
        <v>0.26741150129558999</v>
      </c>
      <c r="E125" s="368">
        <v>0.26046219745490401</v>
      </c>
      <c r="F125" s="368">
        <v>0.25351289361421797</v>
      </c>
      <c r="G125" s="368">
        <v>0.24656358977353202</v>
      </c>
      <c r="H125" s="368">
        <v>0.239614289055126</v>
      </c>
      <c r="I125" s="368">
        <v>0.23266498521444001</v>
      </c>
      <c r="J125" s="368">
        <v>0.225715681373754</v>
      </c>
      <c r="K125" s="368">
        <v>0.21876637753306699</v>
      </c>
      <c r="L125" s="81">
        <v>0.211817076814662</v>
      </c>
      <c r="M125" s="368">
        <v>0.20486777297397499</v>
      </c>
      <c r="N125" s="368">
        <v>0.197918469133289</v>
      </c>
      <c r="O125" s="1009">
        <f t="shared" si="31"/>
        <v>2.8336756362505535</v>
      </c>
      <c r="P125" s="89"/>
      <c r="Q125" s="89"/>
      <c r="R125" s="89"/>
      <c r="S125" s="89"/>
      <c r="T125" s="89"/>
      <c r="U125" s="89"/>
      <c r="V125" s="89"/>
      <c r="W125" s="89"/>
      <c r="X125" s="89"/>
      <c r="Y125" s="89"/>
      <c r="Z125" s="89"/>
      <c r="AA125" s="89"/>
      <c r="AB125" s="89"/>
      <c r="AC125" s="89"/>
      <c r="AD125" s="89"/>
      <c r="AE125" s="89"/>
      <c r="AF125" s="89"/>
      <c r="AG125" s="89"/>
    </row>
    <row r="126" spans="1:33" s="71" customFormat="1">
      <c r="A126" s="1"/>
      <c r="B126" s="785" t="s">
        <v>675</v>
      </c>
      <c r="C126" s="368">
        <f>+C127</f>
        <v>11.817721773581299</v>
      </c>
      <c r="D126" s="368">
        <f t="shared" ref="D126:N126" si="34">+D127</f>
        <v>0</v>
      </c>
      <c r="E126" s="368">
        <f t="shared" si="34"/>
        <v>0</v>
      </c>
      <c r="F126" s="368">
        <f t="shared" si="34"/>
        <v>10.255561497059199</v>
      </c>
      <c r="G126" s="368">
        <f t="shared" si="34"/>
        <v>0</v>
      </c>
      <c r="H126" s="368">
        <f t="shared" si="34"/>
        <v>0</v>
      </c>
      <c r="I126" s="368">
        <f t="shared" si="34"/>
        <v>9.0497560846773286</v>
      </c>
      <c r="J126" s="368">
        <f t="shared" si="34"/>
        <v>0</v>
      </c>
      <c r="K126" s="368">
        <f t="shared" si="34"/>
        <v>0</v>
      </c>
      <c r="L126" s="368">
        <f t="shared" si="34"/>
        <v>7.8149450438189199</v>
      </c>
      <c r="M126" s="368">
        <f t="shared" si="34"/>
        <v>0</v>
      </c>
      <c r="N126" s="368">
        <f t="shared" si="34"/>
        <v>0</v>
      </c>
      <c r="O126" s="81">
        <f t="shared" si="31"/>
        <v>38.937984399136752</v>
      </c>
      <c r="P126" s="89"/>
      <c r="Q126" s="89"/>
      <c r="R126" s="89"/>
      <c r="S126" s="89"/>
      <c r="T126" s="89"/>
      <c r="U126" s="89"/>
      <c r="V126" s="89"/>
      <c r="W126" s="89"/>
      <c r="X126" s="89"/>
      <c r="Y126" s="89"/>
      <c r="Z126" s="89"/>
      <c r="AA126" s="89"/>
      <c r="AB126" s="89"/>
      <c r="AC126" s="89"/>
      <c r="AD126" s="89"/>
      <c r="AE126" s="89"/>
      <c r="AF126" s="89"/>
      <c r="AG126" s="89"/>
    </row>
    <row r="127" spans="1:33" s="71" customFormat="1">
      <c r="A127" s="1"/>
      <c r="B127" s="784" t="s">
        <v>815</v>
      </c>
      <c r="C127" s="368">
        <v>11.817721773581299</v>
      </c>
      <c r="D127" s="368">
        <v>0</v>
      </c>
      <c r="E127" s="368">
        <v>0</v>
      </c>
      <c r="F127" s="368">
        <v>10.255561497059199</v>
      </c>
      <c r="G127" s="368">
        <v>0</v>
      </c>
      <c r="H127" s="368">
        <v>0</v>
      </c>
      <c r="I127" s="368">
        <v>9.0497560846773286</v>
      </c>
      <c r="J127" s="368">
        <v>0</v>
      </c>
      <c r="K127" s="368">
        <v>0</v>
      </c>
      <c r="L127" s="81">
        <v>7.8149450438189199</v>
      </c>
      <c r="M127" s="368">
        <v>0</v>
      </c>
      <c r="N127" s="368">
        <v>0</v>
      </c>
      <c r="O127" s="81">
        <f t="shared" si="31"/>
        <v>38.937984399136752</v>
      </c>
      <c r="P127" s="89"/>
      <c r="Q127" s="89"/>
      <c r="R127" s="89"/>
      <c r="S127" s="89"/>
      <c r="T127" s="89"/>
      <c r="U127" s="89"/>
      <c r="V127" s="89"/>
      <c r="W127" s="89"/>
      <c r="X127" s="89"/>
      <c r="Y127" s="89"/>
      <c r="Z127" s="89"/>
      <c r="AA127" s="89"/>
      <c r="AB127" s="89"/>
      <c r="AC127" s="89"/>
      <c r="AD127" s="89"/>
      <c r="AE127" s="89"/>
      <c r="AF127" s="89"/>
      <c r="AG127" s="89"/>
    </row>
    <row r="128" spans="1:33" s="71" customFormat="1">
      <c r="A128" s="1"/>
      <c r="B128" s="347" t="s">
        <v>70</v>
      </c>
      <c r="C128" s="372">
        <f>+C129</f>
        <v>0</v>
      </c>
      <c r="D128" s="372">
        <f t="shared" ref="D128:N128" si="35">+D129</f>
        <v>0</v>
      </c>
      <c r="E128" s="372">
        <f t="shared" si="35"/>
        <v>2.613E-2</v>
      </c>
      <c r="F128" s="372">
        <f t="shared" si="35"/>
        <v>0</v>
      </c>
      <c r="G128" s="372">
        <f t="shared" si="35"/>
        <v>0</v>
      </c>
      <c r="H128" s="372">
        <f t="shared" si="35"/>
        <v>0</v>
      </c>
      <c r="I128" s="372">
        <f t="shared" si="35"/>
        <v>0</v>
      </c>
      <c r="J128" s="372">
        <f t="shared" si="35"/>
        <v>0</v>
      </c>
      <c r="K128" s="372">
        <f t="shared" si="35"/>
        <v>2.613E-2</v>
      </c>
      <c r="L128" s="372">
        <f t="shared" si="35"/>
        <v>0</v>
      </c>
      <c r="M128" s="372">
        <f t="shared" si="35"/>
        <v>0</v>
      </c>
      <c r="N128" s="372">
        <f t="shared" si="35"/>
        <v>0</v>
      </c>
      <c r="O128" s="1006">
        <f t="shared" si="31"/>
        <v>5.2260000000000001E-2</v>
      </c>
      <c r="P128" s="89"/>
      <c r="Q128" s="89"/>
      <c r="R128" s="89"/>
      <c r="S128" s="89"/>
      <c r="T128" s="89"/>
      <c r="U128" s="89"/>
      <c r="V128" s="89"/>
      <c r="W128" s="89"/>
      <c r="X128" s="89"/>
      <c r="Y128" s="89"/>
      <c r="Z128" s="89"/>
      <c r="AA128" s="89"/>
      <c r="AB128" s="89"/>
      <c r="AC128" s="89"/>
      <c r="AD128" s="89"/>
      <c r="AE128" s="89"/>
      <c r="AF128" s="89"/>
      <c r="AG128" s="89"/>
    </row>
    <row r="129" spans="1:33" s="71" customFormat="1">
      <c r="A129" s="1"/>
      <c r="B129" s="784" t="s">
        <v>676</v>
      </c>
      <c r="C129" s="368">
        <v>0</v>
      </c>
      <c r="D129" s="368">
        <v>0</v>
      </c>
      <c r="E129" s="368">
        <v>2.613E-2</v>
      </c>
      <c r="F129" s="368">
        <v>0</v>
      </c>
      <c r="G129" s="368">
        <v>0</v>
      </c>
      <c r="H129" s="368">
        <v>0</v>
      </c>
      <c r="I129" s="368">
        <v>0</v>
      </c>
      <c r="J129" s="368">
        <v>0</v>
      </c>
      <c r="K129" s="368">
        <v>2.613E-2</v>
      </c>
      <c r="L129" s="81">
        <v>0</v>
      </c>
      <c r="M129" s="368">
        <v>0</v>
      </c>
      <c r="N129" s="368">
        <v>0</v>
      </c>
      <c r="O129" s="1003">
        <f t="shared" si="31"/>
        <v>5.2260000000000001E-2</v>
      </c>
      <c r="P129" s="89"/>
      <c r="Q129" s="89"/>
      <c r="R129" s="89"/>
      <c r="S129" s="89"/>
      <c r="T129" s="89"/>
      <c r="U129" s="89"/>
      <c r="V129" s="89"/>
      <c r="W129" s="89"/>
      <c r="X129" s="89"/>
      <c r="Y129" s="89"/>
      <c r="Z129" s="89"/>
      <c r="AA129" s="89"/>
      <c r="AB129" s="89"/>
      <c r="AC129" s="89"/>
      <c r="AD129" s="89"/>
      <c r="AE129" s="89"/>
      <c r="AF129" s="89"/>
      <c r="AG129" s="89"/>
    </row>
    <row r="130" spans="1:33" s="71" customFormat="1">
      <c r="A130" s="1"/>
      <c r="B130" s="373"/>
      <c r="C130" s="86"/>
      <c r="D130" s="86"/>
      <c r="E130" s="86"/>
      <c r="F130" s="86"/>
      <c r="G130" s="86"/>
      <c r="H130" s="86"/>
      <c r="I130" s="86"/>
      <c r="J130" s="86"/>
      <c r="K130" s="86"/>
      <c r="L130" s="86"/>
      <c r="M130" s="86"/>
      <c r="N130" s="86"/>
      <c r="O130" s="86"/>
      <c r="P130" s="89"/>
      <c r="Q130" s="89"/>
      <c r="R130" s="89"/>
      <c r="S130" s="89"/>
      <c r="T130" s="89"/>
      <c r="U130" s="89"/>
      <c r="V130" s="89"/>
      <c r="W130" s="89"/>
      <c r="X130" s="89"/>
      <c r="Y130" s="89"/>
      <c r="Z130" s="89"/>
      <c r="AA130" s="89"/>
      <c r="AB130" s="89"/>
      <c r="AC130" s="89"/>
      <c r="AD130" s="89"/>
      <c r="AE130" s="89"/>
      <c r="AF130" s="89"/>
      <c r="AG130" s="89"/>
    </row>
    <row r="131" spans="1:33">
      <c r="B131" s="337" t="s">
        <v>105</v>
      </c>
      <c r="C131" s="123">
        <f>+C132+C133</f>
        <v>167.14441562111418</v>
      </c>
      <c r="D131" s="123">
        <f t="shared" ref="D131:N131" si="36">+D132+D133</f>
        <v>90.693514379656548</v>
      </c>
      <c r="E131" s="123">
        <f t="shared" si="36"/>
        <v>34.980688134740589</v>
      </c>
      <c r="F131" s="123">
        <f t="shared" si="36"/>
        <v>452.66795669872499</v>
      </c>
      <c r="G131" s="123">
        <f t="shared" si="36"/>
        <v>44.977153525115241</v>
      </c>
      <c r="H131" s="123">
        <f t="shared" si="36"/>
        <v>206.06907270976774</v>
      </c>
      <c r="I131" s="123">
        <f t="shared" si="36"/>
        <v>162.79497675364306</v>
      </c>
      <c r="J131" s="123">
        <f t="shared" si="36"/>
        <v>6.7098514227385406</v>
      </c>
      <c r="K131" s="123">
        <f t="shared" si="36"/>
        <v>34.875262993726537</v>
      </c>
      <c r="L131" s="123">
        <f t="shared" si="36"/>
        <v>452.30811462330962</v>
      </c>
      <c r="M131" s="123">
        <f t="shared" si="36"/>
        <v>44.737723961420642</v>
      </c>
      <c r="N131" s="123">
        <f t="shared" si="36"/>
        <v>205.69873774200849</v>
      </c>
      <c r="O131" s="123">
        <f>SUM(C131:N131)</f>
        <v>1903.6574685659659</v>
      </c>
      <c r="P131" s="89"/>
      <c r="Q131" s="89"/>
      <c r="R131" s="89"/>
      <c r="S131" s="89"/>
      <c r="T131" s="89"/>
      <c r="U131" s="89"/>
      <c r="V131" s="89"/>
      <c r="W131" s="89"/>
      <c r="X131" s="89"/>
      <c r="Y131" s="89"/>
      <c r="Z131" s="89"/>
      <c r="AA131" s="89"/>
      <c r="AB131" s="89"/>
      <c r="AC131" s="89"/>
      <c r="AD131" s="89"/>
      <c r="AE131" s="89"/>
      <c r="AF131" s="89"/>
      <c r="AG131" s="89"/>
    </row>
    <row r="132" spans="1:33">
      <c r="B132" s="339" t="s">
        <v>106</v>
      </c>
      <c r="C132" s="368">
        <v>38.694217776580189</v>
      </c>
      <c r="D132" s="368">
        <v>2.9295487992176854</v>
      </c>
      <c r="E132" s="368">
        <v>30.946276330583313</v>
      </c>
      <c r="F132" s="368">
        <v>22.754602959859611</v>
      </c>
      <c r="G132" s="368">
        <v>41.02611139922827</v>
      </c>
      <c r="H132" s="368">
        <v>202.16063909026695</v>
      </c>
      <c r="I132" s="368">
        <v>38.588347036502874</v>
      </c>
      <c r="J132" s="368">
        <v>2.8878529792958494</v>
      </c>
      <c r="K132" s="368">
        <v>31.097105286739314</v>
      </c>
      <c r="L132" s="368">
        <v>22.648732219782296</v>
      </c>
      <c r="M132" s="368">
        <v>41.048590505706471</v>
      </c>
      <c r="N132" s="368">
        <v>202.05476834706735</v>
      </c>
      <c r="O132" s="80">
        <f>SUM(C132:N132)</f>
        <v>676.8367927308301</v>
      </c>
      <c r="P132" s="89"/>
      <c r="Q132" s="89"/>
      <c r="R132" s="89"/>
      <c r="S132" s="89"/>
      <c r="T132" s="89"/>
      <c r="U132" s="89"/>
      <c r="V132" s="89"/>
      <c r="W132" s="89"/>
      <c r="X132" s="89"/>
      <c r="Y132" s="89"/>
      <c r="Z132" s="89"/>
      <c r="AA132" s="89"/>
      <c r="AB132" s="89"/>
      <c r="AC132" s="89"/>
      <c r="AD132" s="89"/>
      <c r="AE132" s="89"/>
      <c r="AF132" s="89"/>
      <c r="AG132" s="89"/>
    </row>
    <row r="133" spans="1:33">
      <c r="B133" s="339" t="s">
        <v>542</v>
      </c>
      <c r="C133" s="80">
        <v>128.45019784453399</v>
      </c>
      <c r="D133" s="80">
        <v>87.763965580438864</v>
      </c>
      <c r="E133" s="80">
        <v>4.034411804157279</v>
      </c>
      <c r="F133" s="80">
        <v>429.9133537388654</v>
      </c>
      <c r="G133" s="80">
        <v>3.9510421258869721</v>
      </c>
      <c r="H133" s="80">
        <v>3.908433619500796</v>
      </c>
      <c r="I133" s="80">
        <v>124.20662971714019</v>
      </c>
      <c r="J133" s="80">
        <v>3.8219984434426912</v>
      </c>
      <c r="K133" s="80">
        <v>3.7781577069872232</v>
      </c>
      <c r="L133" s="80">
        <v>429.65938240352733</v>
      </c>
      <c r="M133" s="80">
        <v>3.6891334557141677</v>
      </c>
      <c r="N133" s="80">
        <v>3.6439693949411449</v>
      </c>
      <c r="O133" s="1007">
        <f>SUM(C133:N133)</f>
        <v>1226.8206758351362</v>
      </c>
      <c r="P133" s="89"/>
      <c r="Q133" s="89"/>
      <c r="R133" s="89"/>
      <c r="S133" s="89"/>
      <c r="T133" s="89"/>
      <c r="U133" s="89"/>
      <c r="V133" s="89"/>
      <c r="W133" s="89"/>
      <c r="X133" s="89"/>
      <c r="Y133" s="89"/>
      <c r="Z133" s="89"/>
      <c r="AA133" s="89"/>
      <c r="AB133" s="89"/>
      <c r="AC133" s="89"/>
      <c r="AD133" s="89"/>
      <c r="AE133" s="89"/>
      <c r="AF133" s="89"/>
      <c r="AG133" s="89"/>
    </row>
    <row r="134" spans="1:33">
      <c r="B134" s="337" t="s">
        <v>107</v>
      </c>
      <c r="C134" s="123">
        <v>996.26971916933326</v>
      </c>
      <c r="D134" s="123">
        <v>478.28415061676213</v>
      </c>
      <c r="E134" s="123">
        <v>373.64537360779877</v>
      </c>
      <c r="F134" s="123">
        <v>738.84312751443849</v>
      </c>
      <c r="G134" s="123">
        <v>706.68890031118065</v>
      </c>
      <c r="H134" s="123">
        <v>1580.904401064786</v>
      </c>
      <c r="I134" s="123">
        <v>731.02930840264901</v>
      </c>
      <c r="J134" s="123">
        <v>516.96439264181095</v>
      </c>
      <c r="K134" s="123">
        <v>354.89062337497745</v>
      </c>
      <c r="L134" s="123">
        <v>582.64706267247675</v>
      </c>
      <c r="M134" s="123">
        <v>759.07898604885349</v>
      </c>
      <c r="N134" s="123">
        <v>1577.0559389749099</v>
      </c>
      <c r="O134" s="123">
        <f>SUM(C134:N134)</f>
        <v>9396.3019843999773</v>
      </c>
      <c r="P134" s="89"/>
      <c r="Q134" s="89"/>
      <c r="R134" s="89"/>
      <c r="S134" s="89"/>
      <c r="T134" s="89"/>
      <c r="U134" s="89"/>
      <c r="V134" s="89"/>
      <c r="W134" s="89"/>
      <c r="X134" s="89"/>
      <c r="Y134" s="89"/>
      <c r="Z134" s="89"/>
      <c r="AA134" s="89"/>
      <c r="AB134" s="89"/>
      <c r="AC134" s="89"/>
      <c r="AD134" s="89"/>
      <c r="AE134" s="89"/>
      <c r="AF134" s="89"/>
      <c r="AG134" s="89"/>
    </row>
    <row r="135" spans="1:33">
      <c r="B135" s="974"/>
      <c r="C135" s="1310"/>
      <c r="D135" s="454"/>
      <c r="E135" s="454"/>
      <c r="F135" s="454"/>
      <c r="G135" s="454"/>
      <c r="H135" s="454"/>
      <c r="I135" s="454"/>
      <c r="J135" s="454"/>
      <c r="K135" s="454"/>
      <c r="L135" s="454"/>
      <c r="M135" s="454"/>
      <c r="N135" s="454"/>
      <c r="O135" s="454"/>
    </row>
    <row r="136" spans="1:33">
      <c r="B136" s="98" t="s">
        <v>345</v>
      </c>
      <c r="C136" s="1312"/>
      <c r="D136" s="975"/>
      <c r="E136" s="975"/>
      <c r="F136" s="975"/>
      <c r="G136" s="975"/>
      <c r="H136" s="975"/>
      <c r="I136" s="975"/>
      <c r="J136" s="975"/>
      <c r="K136" s="975"/>
      <c r="L136" s="975"/>
      <c r="M136" s="975"/>
      <c r="N136" s="975"/>
      <c r="O136" s="976"/>
    </row>
    <row r="137" spans="1:33">
      <c r="C137" s="1312"/>
      <c r="D137" s="1312"/>
      <c r="E137" s="1312"/>
      <c r="F137" s="1312"/>
      <c r="G137" s="1312"/>
      <c r="H137" s="1312"/>
      <c r="I137" s="1312"/>
      <c r="J137" s="1312"/>
      <c r="K137" s="1312"/>
      <c r="L137" s="1312"/>
      <c r="M137" s="1312"/>
      <c r="N137" s="1312"/>
      <c r="O137" s="1312"/>
    </row>
    <row r="138" spans="1:33">
      <c r="C138" s="1312"/>
      <c r="D138" s="1312"/>
      <c r="E138" s="1312"/>
      <c r="F138" s="1312"/>
      <c r="G138" s="1312"/>
      <c r="H138" s="1312"/>
      <c r="I138" s="1312"/>
      <c r="J138" s="1312"/>
      <c r="K138" s="1312"/>
      <c r="L138" s="1312"/>
      <c r="M138" s="1312"/>
      <c r="N138" s="1312"/>
      <c r="O138" s="1312"/>
    </row>
    <row r="139" spans="1:33">
      <c r="C139" s="1311"/>
      <c r="D139" s="1311"/>
      <c r="E139" s="1311"/>
      <c r="F139" s="1311"/>
      <c r="G139" s="1311"/>
      <c r="H139" s="1311"/>
      <c r="I139" s="1311"/>
      <c r="J139" s="1311"/>
      <c r="K139" s="1311"/>
      <c r="L139" s="1311"/>
      <c r="M139" s="1311"/>
      <c r="N139" s="1311"/>
      <c r="O139" s="1311"/>
    </row>
    <row r="140" spans="1:33">
      <c r="C140" s="1311"/>
      <c r="D140" s="1311"/>
      <c r="E140" s="1311"/>
      <c r="F140" s="1311"/>
      <c r="G140" s="1311"/>
      <c r="H140" s="1311"/>
      <c r="I140" s="1311"/>
      <c r="J140" s="1311"/>
      <c r="K140" s="1311"/>
      <c r="L140" s="1311"/>
      <c r="M140" s="1311"/>
      <c r="N140" s="1311"/>
      <c r="O140" s="1311"/>
    </row>
    <row r="141" spans="1:33">
      <c r="C141" s="1313"/>
      <c r="D141" s="1313"/>
      <c r="E141" s="1313"/>
      <c r="F141" s="1313"/>
      <c r="G141" s="1313"/>
      <c r="H141" s="1313"/>
      <c r="I141" s="1313"/>
      <c r="J141" s="1313"/>
      <c r="K141" s="1313"/>
      <c r="L141" s="1313"/>
      <c r="M141" s="1313"/>
      <c r="N141" s="1313"/>
      <c r="O141" s="1313"/>
    </row>
    <row r="142" spans="1:33">
      <c r="C142" s="1313"/>
    </row>
    <row r="143" spans="1:33">
      <c r="C143" s="131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sheetPr>
    <tabColor theme="3" tint="0.79998168889431442"/>
    <pageSetUpPr fitToPage="1"/>
  </sheetPr>
  <dimension ref="A1:P447"/>
  <sheetViews>
    <sheetView showGridLines="0" showRuler="0" zoomScaleNormal="100" zoomScaleSheetLayoutView="80" workbookViewId="0"/>
  </sheetViews>
  <sheetFormatPr baseColWidth="10" defaultColWidth="11.453125" defaultRowHeight="13"/>
  <cols>
    <col min="1" max="1" width="6.81640625" style="1" customWidth="1"/>
    <col min="2" max="2" width="40" style="99" customWidth="1"/>
    <col min="3" max="9" width="17.1796875" style="99" bestFit="1" customWidth="1"/>
    <col min="10" max="12" width="17.1796875" style="99" customWidth="1"/>
    <col min="13" max="13" width="17.1796875" style="99" bestFit="1" customWidth="1"/>
    <col min="14" max="14" width="22.1796875" style="99" bestFit="1" customWidth="1"/>
    <col min="15" max="15" width="22.1796875" style="100" bestFit="1" customWidth="1"/>
    <col min="16" max="16384" width="11.453125" style="100"/>
  </cols>
  <sheetData>
    <row r="1" spans="1:15" ht="14.5">
      <c r="A1" s="738" t="s">
        <v>219</v>
      </c>
      <c r="B1" s="190"/>
    </row>
    <row r="2" spans="1:15" ht="15" customHeight="1">
      <c r="A2" s="190"/>
      <c r="B2" s="386" t="str">
        <f>+INDICE!B2</f>
        <v>MINISTERIO DE ECONOMÍA</v>
      </c>
      <c r="C2" s="101"/>
      <c r="D2" s="101"/>
      <c r="E2" s="101"/>
      <c r="F2" s="101"/>
      <c r="G2" s="101"/>
      <c r="H2" s="101"/>
      <c r="I2" s="101"/>
      <c r="J2" s="101"/>
      <c r="K2" s="101"/>
      <c r="L2" s="101"/>
      <c r="M2" s="101"/>
      <c r="N2" s="101"/>
    </row>
    <row r="3" spans="1:15" ht="15" customHeight="1">
      <c r="A3" s="190"/>
      <c r="B3" s="386" t="str">
        <f>+A.3.5!B3</f>
        <v>SECRETARÍA DE FINANZAS</v>
      </c>
      <c r="C3" s="101"/>
      <c r="D3" s="101"/>
      <c r="E3" s="101"/>
      <c r="F3" s="101"/>
      <c r="G3" s="101"/>
      <c r="H3" s="101"/>
      <c r="I3" s="101"/>
      <c r="J3" s="101"/>
      <c r="K3" s="101"/>
      <c r="L3" s="101"/>
      <c r="M3" s="101"/>
      <c r="N3" s="101"/>
    </row>
    <row r="4" spans="1:15" ht="10.5">
      <c r="A4" s="99"/>
      <c r="B4" s="102"/>
      <c r="C4" s="101"/>
      <c r="D4" s="101"/>
      <c r="E4" s="101"/>
      <c r="F4" s="101"/>
      <c r="G4" s="101"/>
      <c r="H4" s="101"/>
      <c r="I4" s="101"/>
      <c r="J4" s="101"/>
      <c r="K4" s="101"/>
      <c r="L4" s="101"/>
      <c r="M4" s="101"/>
      <c r="N4" s="101"/>
    </row>
    <row r="5" spans="1:15" ht="10.5">
      <c r="A5" s="99"/>
      <c r="B5" s="102"/>
      <c r="C5" s="101"/>
      <c r="D5" s="101"/>
      <c r="E5" s="101"/>
      <c r="F5" s="101"/>
      <c r="G5" s="101"/>
      <c r="H5" s="101"/>
      <c r="I5" s="101"/>
      <c r="J5" s="101"/>
      <c r="K5" s="101"/>
      <c r="L5" s="101"/>
      <c r="M5" s="101"/>
      <c r="N5" s="101"/>
    </row>
    <row r="6" spans="1:15" ht="17">
      <c r="A6" s="99"/>
      <c r="B6" s="1490" t="s">
        <v>785</v>
      </c>
      <c r="C6" s="1490"/>
      <c r="D6" s="1490"/>
      <c r="E6" s="1490"/>
      <c r="F6" s="1490"/>
      <c r="G6" s="1490"/>
      <c r="H6" s="1490"/>
      <c r="I6" s="1490"/>
      <c r="J6" s="1490"/>
      <c r="K6" s="1490"/>
      <c r="L6" s="1490"/>
      <c r="M6" s="1490"/>
      <c r="N6" s="1490"/>
    </row>
    <row r="7" spans="1:15" ht="17">
      <c r="A7" s="99"/>
      <c r="B7" s="1490" t="s">
        <v>343</v>
      </c>
      <c r="C7" s="1490"/>
      <c r="D7" s="1490"/>
      <c r="E7" s="1490"/>
      <c r="F7" s="1490"/>
      <c r="G7" s="1490"/>
      <c r="H7" s="1490"/>
      <c r="I7" s="1490"/>
      <c r="J7" s="1490"/>
      <c r="K7" s="1490"/>
      <c r="L7" s="1490"/>
      <c r="M7" s="1490"/>
      <c r="N7" s="1490"/>
    </row>
    <row r="8" spans="1:15" ht="10.5">
      <c r="A8" s="99"/>
      <c r="B8" s="103"/>
      <c r="C8" s="104"/>
      <c r="D8" s="105"/>
      <c r="E8" s="104"/>
      <c r="F8" s="104"/>
      <c r="G8" s="104"/>
      <c r="H8" s="104"/>
      <c r="I8" s="104"/>
      <c r="J8" s="104"/>
      <c r="K8" s="104"/>
      <c r="L8" s="104"/>
      <c r="M8" s="104"/>
      <c r="N8" s="104"/>
    </row>
    <row r="9" spans="1:15" ht="13.5" customHeight="1" thickBot="1">
      <c r="A9" s="99"/>
      <c r="B9" s="690" t="s">
        <v>911</v>
      </c>
      <c r="C9" s="104"/>
      <c r="D9" s="105"/>
      <c r="E9" s="104"/>
      <c r="F9" s="104"/>
      <c r="G9" s="104"/>
      <c r="H9" s="104"/>
      <c r="I9" s="104"/>
      <c r="J9" s="104"/>
      <c r="K9" s="104"/>
      <c r="L9" s="104"/>
      <c r="M9" s="104"/>
      <c r="N9" s="104"/>
    </row>
    <row r="10" spans="1:15" ht="12" customHeight="1" thickTop="1">
      <c r="A10" s="99"/>
      <c r="B10" s="1491" t="s">
        <v>300</v>
      </c>
      <c r="C10" s="1493">
        <v>2020</v>
      </c>
      <c r="D10" s="1493">
        <v>2021</v>
      </c>
      <c r="E10" s="1493">
        <v>2022</v>
      </c>
      <c r="F10" s="1493">
        <v>2023</v>
      </c>
      <c r="G10" s="1493">
        <v>2024</v>
      </c>
      <c r="H10" s="1493">
        <v>2025</v>
      </c>
      <c r="I10" s="1493">
        <v>2026</v>
      </c>
      <c r="J10" s="1493">
        <v>2027</v>
      </c>
      <c r="K10" s="1493">
        <v>2028</v>
      </c>
      <c r="L10" s="1493">
        <v>2029</v>
      </c>
      <c r="M10" s="1493" t="s">
        <v>917</v>
      </c>
      <c r="N10" s="1493" t="s">
        <v>280</v>
      </c>
    </row>
    <row r="11" spans="1:15" ht="12" customHeight="1" thickBot="1">
      <c r="A11" s="99"/>
      <c r="B11" s="1492"/>
      <c r="C11" s="1494"/>
      <c r="D11" s="1494"/>
      <c r="E11" s="1494"/>
      <c r="F11" s="1494"/>
      <c r="G11" s="1494"/>
      <c r="H11" s="1494"/>
      <c r="I11" s="1494"/>
      <c r="J11" s="1494"/>
      <c r="K11" s="1494"/>
      <c r="L11" s="1494"/>
      <c r="M11" s="1494"/>
      <c r="N11" s="1494"/>
    </row>
    <row r="12" spans="1:15" s="110" customFormat="1" ht="9.75" customHeight="1" thickTop="1" thickBot="1">
      <c r="A12" s="106"/>
      <c r="B12" s="107"/>
      <c r="C12" s="109"/>
      <c r="D12" s="109"/>
      <c r="E12" s="109"/>
      <c r="F12" s="109"/>
      <c r="G12" s="109"/>
      <c r="H12" s="109"/>
      <c r="I12" s="109"/>
      <c r="J12" s="109"/>
      <c r="K12" s="109"/>
      <c r="L12" s="109"/>
      <c r="M12" s="109"/>
      <c r="N12" s="108"/>
    </row>
    <row r="13" spans="1:15" s="110" customFormat="1" ht="15" thickTop="1">
      <c r="A13" s="106"/>
      <c r="B13" s="541" t="s">
        <v>237</v>
      </c>
      <c r="C13" s="731">
        <f t="shared" ref="C13:M13" si="0">+C15+C16</f>
        <v>32445397.256267332</v>
      </c>
      <c r="D13" s="731">
        <f t="shared" si="0"/>
        <v>31093226.259920359</v>
      </c>
      <c r="E13" s="731">
        <f t="shared" si="0"/>
        <v>27844027.848214809</v>
      </c>
      <c r="F13" s="731">
        <f t="shared" si="0"/>
        <v>23576025.284986053</v>
      </c>
      <c r="G13" s="731">
        <f t="shared" si="0"/>
        <v>21077395.398184657</v>
      </c>
      <c r="H13" s="731">
        <f t="shared" si="0"/>
        <v>24452500.194166116</v>
      </c>
      <c r="I13" s="731">
        <f t="shared" si="0"/>
        <v>15484563.345563632</v>
      </c>
      <c r="J13" s="731">
        <f t="shared" ref="J13:L13" si="1">+J15+J16</f>
        <v>16039292.177117191</v>
      </c>
      <c r="K13" s="731">
        <f t="shared" si="1"/>
        <v>11701044.51465565</v>
      </c>
      <c r="L13" s="731">
        <f t="shared" si="1"/>
        <v>6966166.0133185294</v>
      </c>
      <c r="M13" s="731">
        <f t="shared" si="0"/>
        <v>78816990.989387602</v>
      </c>
      <c r="N13" s="731">
        <f>+N15+N16</f>
        <v>289496629.28178191</v>
      </c>
    </row>
    <row r="14" spans="1:15" s="110" customFormat="1" ht="14.5">
      <c r="A14" s="106"/>
      <c r="B14" s="538" t="s">
        <v>364</v>
      </c>
      <c r="C14" s="862">
        <f t="shared" ref="C14:N14" si="2">+C13/$N$70</f>
        <v>7.5337464651997671E-2</v>
      </c>
      <c r="D14" s="862">
        <f t="shared" si="2"/>
        <v>7.21977547622977E-2</v>
      </c>
      <c r="E14" s="862">
        <f t="shared" si="2"/>
        <v>6.4653190935392818E-2</v>
      </c>
      <c r="F14" s="862">
        <f t="shared" si="2"/>
        <v>5.4742987349281028E-2</v>
      </c>
      <c r="G14" s="862">
        <f t="shared" si="2"/>
        <v>4.8941226338666079E-2</v>
      </c>
      <c r="H14" s="862">
        <f t="shared" si="2"/>
        <v>5.6778141888064217E-2</v>
      </c>
      <c r="I14" s="862">
        <f t="shared" si="2"/>
        <v>3.5954799211856722E-2</v>
      </c>
      <c r="J14" s="862">
        <f t="shared" ref="J14:L14" si="3">+J13/$N$70</f>
        <v>3.7242866773752194E-2</v>
      </c>
      <c r="K14" s="862">
        <f t="shared" si="3"/>
        <v>2.716955568617797E-2</v>
      </c>
      <c r="L14" s="862">
        <f t="shared" si="3"/>
        <v>1.6175276931983208E-2</v>
      </c>
      <c r="M14" s="862">
        <f t="shared" si="2"/>
        <v>0.18301123656277055</v>
      </c>
      <c r="N14" s="548">
        <f t="shared" si="2"/>
        <v>0.67220450109224006</v>
      </c>
    </row>
    <row r="15" spans="1:15" s="110" customFormat="1" ht="14.5">
      <c r="A15" s="106"/>
      <c r="B15" s="542" t="s">
        <v>276</v>
      </c>
      <c r="C15" s="554">
        <v>20913021.263833996</v>
      </c>
      <c r="D15" s="554">
        <v>22387876.664549015</v>
      </c>
      <c r="E15" s="554">
        <v>20198000.907231115</v>
      </c>
      <c r="F15" s="549">
        <v>17019595.44628245</v>
      </c>
      <c r="G15" s="549">
        <v>15093856.562624956</v>
      </c>
      <c r="H15" s="549">
        <v>18895924.929605149</v>
      </c>
      <c r="I15" s="549">
        <v>10803130.611528305</v>
      </c>
      <c r="J15" s="549">
        <v>12162848.80782697</v>
      </c>
      <c r="K15" s="549">
        <v>8698091.2342800144</v>
      </c>
      <c r="L15" s="549">
        <v>4289070.3604643969</v>
      </c>
      <c r="M15" s="549">
        <v>43691393.163676806</v>
      </c>
      <c r="N15" s="549">
        <f>SUM(C15:M15)</f>
        <v>194152809.95190316</v>
      </c>
    </row>
    <row r="16" spans="1:15" ht="14.5">
      <c r="A16" s="106"/>
      <c r="B16" s="542" t="s">
        <v>306</v>
      </c>
      <c r="C16" s="554">
        <v>11532375.992433334</v>
      </c>
      <c r="D16" s="554">
        <v>8705349.5953713432</v>
      </c>
      <c r="E16" s="554">
        <v>7646026.940983694</v>
      </c>
      <c r="F16" s="549">
        <v>6556429.8387036035</v>
      </c>
      <c r="G16" s="549">
        <v>5983538.8355597006</v>
      </c>
      <c r="H16" s="549">
        <v>5556575.2645609668</v>
      </c>
      <c r="I16" s="549">
        <v>4681432.7340353271</v>
      </c>
      <c r="J16" s="549">
        <v>3876443.3692902224</v>
      </c>
      <c r="K16" s="549">
        <v>3002953.2803756343</v>
      </c>
      <c r="L16" s="549">
        <v>2677095.6528541325</v>
      </c>
      <c r="M16" s="549">
        <v>35125597.825710788</v>
      </c>
      <c r="N16" s="549">
        <f>SUM(C16:M16)</f>
        <v>95343819.329878747</v>
      </c>
      <c r="O16" s="110"/>
    </row>
    <row r="17" spans="1:14" ht="9.75" customHeight="1">
      <c r="A17" s="99"/>
      <c r="B17" s="532"/>
      <c r="C17" s="550"/>
      <c r="D17" s="550"/>
      <c r="E17" s="550"/>
      <c r="F17" s="550"/>
      <c r="G17" s="550"/>
      <c r="H17" s="550"/>
      <c r="I17" s="550"/>
      <c r="J17" s="550"/>
      <c r="K17" s="550"/>
      <c r="L17" s="550"/>
      <c r="M17" s="550"/>
      <c r="N17" s="550"/>
    </row>
    <row r="18" spans="1:14" ht="14.5">
      <c r="A18" s="99"/>
      <c r="B18" s="538" t="s">
        <v>238</v>
      </c>
      <c r="C18" s="552">
        <f t="shared" ref="C18:H18" si="4">+C20+C21</f>
        <v>23771586.515540618</v>
      </c>
      <c r="D18" s="552">
        <f t="shared" si="4"/>
        <v>232981.39300000001</v>
      </c>
      <c r="E18" s="846">
        <f t="shared" si="4"/>
        <v>211223.484</v>
      </c>
      <c r="F18" s="846">
        <f t="shared" si="4"/>
        <v>448025.78200000001</v>
      </c>
      <c r="G18" s="846">
        <f t="shared" si="4"/>
        <v>45310.326999999997</v>
      </c>
      <c r="H18" s="846">
        <f t="shared" si="4"/>
        <v>0</v>
      </c>
      <c r="I18" s="846">
        <f>+I20+I21</f>
        <v>0</v>
      </c>
      <c r="J18" s="846">
        <f t="shared" ref="J18:L18" si="5">+J20+J21</f>
        <v>0</v>
      </c>
      <c r="K18" s="846">
        <f t="shared" si="5"/>
        <v>0</v>
      </c>
      <c r="L18" s="846">
        <f t="shared" si="5"/>
        <v>0</v>
      </c>
      <c r="M18" s="846">
        <f>+M20+M21</f>
        <v>0</v>
      </c>
      <c r="N18" s="552">
        <f>+N20+N21</f>
        <v>24709127.50154062</v>
      </c>
    </row>
    <row r="19" spans="1:14" ht="14.5">
      <c r="A19" s="99"/>
      <c r="B19" s="538" t="s">
        <v>364</v>
      </c>
      <c r="C19" s="862">
        <f t="shared" ref="C19:N19" si="6">+C18/$N$70</f>
        <v>5.5197076019480928E-2</v>
      </c>
      <c r="D19" s="862">
        <f t="shared" si="6"/>
        <v>5.40977424966501E-4</v>
      </c>
      <c r="E19" s="862">
        <f t="shared" si="6"/>
        <v>4.9045606172838413E-4</v>
      </c>
      <c r="F19" s="862">
        <f t="shared" si="6"/>
        <v>1.0403055400435473E-3</v>
      </c>
      <c r="G19" s="862">
        <f t="shared" si="6"/>
        <v>1.0520953501574318E-4</v>
      </c>
      <c r="H19" s="862">
        <f t="shared" si="6"/>
        <v>0</v>
      </c>
      <c r="I19" s="862">
        <f t="shared" si="6"/>
        <v>0</v>
      </c>
      <c r="J19" s="862">
        <f t="shared" ref="J19:L19" si="7">+J18/$N$70</f>
        <v>0</v>
      </c>
      <c r="K19" s="862">
        <f t="shared" si="7"/>
        <v>0</v>
      </c>
      <c r="L19" s="862">
        <f t="shared" si="7"/>
        <v>0</v>
      </c>
      <c r="M19" s="862">
        <f t="shared" si="6"/>
        <v>0</v>
      </c>
      <c r="N19" s="548">
        <f t="shared" si="6"/>
        <v>5.7374024581235104E-2</v>
      </c>
    </row>
    <row r="20" spans="1:14" ht="14.5">
      <c r="A20" s="99"/>
      <c r="B20" s="542" t="s">
        <v>276</v>
      </c>
      <c r="C20" s="733">
        <v>22985734.128645327</v>
      </c>
      <c r="D20" s="733">
        <v>232981.39300000001</v>
      </c>
      <c r="E20" s="733">
        <v>211223.484</v>
      </c>
      <c r="F20" s="733">
        <v>448025.78200000001</v>
      </c>
      <c r="G20" s="733">
        <v>45310.326999999997</v>
      </c>
      <c r="H20" s="733">
        <v>0</v>
      </c>
      <c r="I20" s="733">
        <v>0</v>
      </c>
      <c r="J20" s="733">
        <v>0</v>
      </c>
      <c r="K20" s="733">
        <v>0</v>
      </c>
      <c r="L20" s="733">
        <v>0</v>
      </c>
      <c r="M20" s="733">
        <v>0</v>
      </c>
      <c r="N20" s="554">
        <f>SUM(C20:M20)</f>
        <v>23923275.114645328</v>
      </c>
    </row>
    <row r="21" spans="1:14" ht="14.5">
      <c r="A21" s="99"/>
      <c r="B21" s="542" t="s">
        <v>306</v>
      </c>
      <c r="C21" s="733">
        <v>785852.38689529011</v>
      </c>
      <c r="D21" s="733">
        <v>0</v>
      </c>
      <c r="E21" s="733">
        <v>0</v>
      </c>
      <c r="F21" s="733">
        <v>0</v>
      </c>
      <c r="G21" s="733">
        <v>0</v>
      </c>
      <c r="H21" s="733">
        <v>0</v>
      </c>
      <c r="I21" s="733">
        <v>0</v>
      </c>
      <c r="J21" s="733">
        <v>0</v>
      </c>
      <c r="K21" s="733">
        <v>0</v>
      </c>
      <c r="L21" s="733">
        <v>0</v>
      </c>
      <c r="M21" s="733">
        <v>0</v>
      </c>
      <c r="N21" s="554">
        <f>SUM(C21:M21)</f>
        <v>785852.38689529011</v>
      </c>
    </row>
    <row r="22" spans="1:14" ht="9.75" customHeight="1">
      <c r="A22" s="99"/>
      <c r="B22" s="532"/>
      <c r="C22" s="555"/>
      <c r="D22" s="555"/>
      <c r="E22" s="555"/>
      <c r="F22" s="555"/>
      <c r="G22" s="555"/>
      <c r="H22" s="555"/>
      <c r="I22" s="555"/>
      <c r="J22" s="555"/>
      <c r="K22" s="555"/>
      <c r="L22" s="555"/>
      <c r="M22" s="555"/>
      <c r="N22" s="555"/>
    </row>
    <row r="23" spans="1:14" ht="14.5">
      <c r="A23" s="99"/>
      <c r="B23" s="861" t="s">
        <v>705</v>
      </c>
      <c r="C23" s="552">
        <f t="shared" ref="C23:N23" si="8">+C25+C26</f>
        <v>243892.625</v>
      </c>
      <c r="D23" s="552">
        <f t="shared" si="8"/>
        <v>359393.27500000002</v>
      </c>
      <c r="E23" s="552">
        <f t="shared" si="8"/>
        <v>365231.27500000002</v>
      </c>
      <c r="F23" s="552">
        <f t="shared" si="8"/>
        <v>370856.27500000002</v>
      </c>
      <c r="G23" s="552">
        <f t="shared" si="8"/>
        <v>370856.27500000002</v>
      </c>
      <c r="H23" s="552">
        <f t="shared" si="8"/>
        <v>370856.27500000002</v>
      </c>
      <c r="I23" s="552">
        <f t="shared" si="8"/>
        <v>370856.27500000002</v>
      </c>
      <c r="J23" s="552">
        <f t="shared" ref="J23:L23" si="9">+J25+J26</f>
        <v>370856.27500000002</v>
      </c>
      <c r="K23" s="552">
        <f t="shared" si="9"/>
        <v>370856.27500000002</v>
      </c>
      <c r="L23" s="552">
        <f t="shared" si="9"/>
        <v>370856.27500000002</v>
      </c>
      <c r="M23" s="552">
        <f t="shared" si="8"/>
        <v>3803928.3499999996</v>
      </c>
      <c r="N23" s="552">
        <f t="shared" si="8"/>
        <v>7368439.4499999993</v>
      </c>
    </row>
    <row r="24" spans="1:14" ht="14.5">
      <c r="A24" s="99"/>
      <c r="B24" s="538" t="s">
        <v>364</v>
      </c>
      <c r="C24" s="862">
        <f t="shared" ref="C24:N24" si="10">+C23/$N$70</f>
        <v>5.6631305419665187E-4</v>
      </c>
      <c r="D24" s="862">
        <f t="shared" si="10"/>
        <v>8.3450290152474774E-4</v>
      </c>
      <c r="E24" s="862">
        <f t="shared" si="10"/>
        <v>8.4805860297492515E-4</v>
      </c>
      <c r="F24" s="862">
        <f t="shared" si="10"/>
        <v>8.6111972333416582E-4</v>
      </c>
      <c r="G24" s="862">
        <f t="shared" si="10"/>
        <v>8.6111972333416582E-4</v>
      </c>
      <c r="H24" s="862">
        <f t="shared" si="10"/>
        <v>8.6111972333416582E-4</v>
      </c>
      <c r="I24" s="862">
        <f t="shared" si="10"/>
        <v>8.6111972333416582E-4</v>
      </c>
      <c r="J24" s="862">
        <f t="shared" ref="J24:L24" si="11">+J23/$N$70</f>
        <v>8.6111972333416582E-4</v>
      </c>
      <c r="K24" s="862">
        <f t="shared" si="11"/>
        <v>8.6111972333416582E-4</v>
      </c>
      <c r="L24" s="862">
        <f t="shared" si="11"/>
        <v>8.6111972333416582E-4</v>
      </c>
      <c r="M24" s="862">
        <f t="shared" si="10"/>
        <v>8.8326339586272049E-3</v>
      </c>
      <c r="N24" s="548">
        <f t="shared" si="10"/>
        <v>1.7109346580662689E-2</v>
      </c>
    </row>
    <row r="25" spans="1:14" ht="14.5">
      <c r="A25" s="99"/>
      <c r="B25" s="543" t="s">
        <v>276</v>
      </c>
      <c r="C25" s="553">
        <v>243892.625</v>
      </c>
      <c r="D25" s="553">
        <v>359393.27500000002</v>
      </c>
      <c r="E25" s="553">
        <v>365231.27500000002</v>
      </c>
      <c r="F25" s="553">
        <v>370856.27500000002</v>
      </c>
      <c r="G25" s="553">
        <v>370856.27500000002</v>
      </c>
      <c r="H25" s="553">
        <v>370856.27500000002</v>
      </c>
      <c r="I25" s="553">
        <v>370856.27500000002</v>
      </c>
      <c r="J25" s="553">
        <v>370856.27500000002</v>
      </c>
      <c r="K25" s="553">
        <v>370856.27500000002</v>
      </c>
      <c r="L25" s="553">
        <v>370856.27500000002</v>
      </c>
      <c r="M25" s="553">
        <v>3803928.3499999996</v>
      </c>
      <c r="N25" s="554">
        <f>SUM(C25:M25)</f>
        <v>7368439.4499999993</v>
      </c>
    </row>
    <row r="26" spans="1:14" ht="14.5">
      <c r="A26" s="99"/>
      <c r="B26" s="543" t="s">
        <v>306</v>
      </c>
      <c r="C26" s="845">
        <v>0</v>
      </c>
      <c r="D26" s="845">
        <v>0</v>
      </c>
      <c r="E26" s="845">
        <v>0</v>
      </c>
      <c r="F26" s="845">
        <v>0</v>
      </c>
      <c r="G26" s="845">
        <v>0</v>
      </c>
      <c r="H26" s="845">
        <v>0</v>
      </c>
      <c r="I26" s="845">
        <v>0</v>
      </c>
      <c r="J26" s="845">
        <v>0</v>
      </c>
      <c r="K26" s="845">
        <v>0</v>
      </c>
      <c r="L26" s="845">
        <v>0</v>
      </c>
      <c r="M26" s="845">
        <v>0</v>
      </c>
      <c r="N26" s="847">
        <f>SUM(C26:M26)</f>
        <v>0</v>
      </c>
    </row>
    <row r="27" spans="1:14" ht="9.75" customHeight="1">
      <c r="A27" s="99"/>
      <c r="B27" s="532"/>
      <c r="C27" s="555"/>
      <c r="D27" s="555"/>
      <c r="E27" s="555"/>
      <c r="F27" s="555"/>
      <c r="G27" s="555"/>
      <c r="H27" s="555"/>
      <c r="I27" s="555"/>
      <c r="J27" s="555"/>
      <c r="K27" s="555"/>
      <c r="L27" s="555"/>
      <c r="M27" s="555"/>
      <c r="N27" s="555"/>
    </row>
    <row r="28" spans="1:14" ht="14.5">
      <c r="A28" s="99"/>
      <c r="B28" s="538" t="s">
        <v>560</v>
      </c>
      <c r="C28" s="552">
        <f t="shared" ref="C28:N28" si="12">+C30+C31</f>
        <v>13006233.127149075</v>
      </c>
      <c r="D28" s="552">
        <f t="shared" si="12"/>
        <v>8581000.2287979256</v>
      </c>
      <c r="E28" s="552">
        <f t="shared" si="12"/>
        <v>21744006.034585223</v>
      </c>
      <c r="F28" s="552">
        <f t="shared" si="12"/>
        <v>21749086.066413254</v>
      </c>
      <c r="G28" s="552">
        <f t="shared" si="12"/>
        <v>7475556.5742482906</v>
      </c>
      <c r="H28" s="552">
        <f t="shared" si="12"/>
        <v>2520919.3167309631</v>
      </c>
      <c r="I28" s="552">
        <f t="shared" si="12"/>
        <v>2262242.613368439</v>
      </c>
      <c r="J28" s="552">
        <f t="shared" ref="J28:L28" si="13">+J30+J31</f>
        <v>2242473.7788440082</v>
      </c>
      <c r="K28" s="552">
        <f t="shared" si="13"/>
        <v>1966752.8840748817</v>
      </c>
      <c r="L28" s="552">
        <f t="shared" si="13"/>
        <v>1869520.9734687975</v>
      </c>
      <c r="M28" s="552">
        <f t="shared" si="12"/>
        <v>11438426.604331154</v>
      </c>
      <c r="N28" s="552">
        <f t="shared" si="12"/>
        <v>94856218.202012032</v>
      </c>
    </row>
    <row r="29" spans="1:14" ht="14.5">
      <c r="A29" s="99"/>
      <c r="B29" s="538" t="s">
        <v>364</v>
      </c>
      <c r="C29" s="862">
        <f t="shared" ref="C29:N29" si="14">+C28/$N$70</f>
        <v>3.0200173563384558E-2</v>
      </c>
      <c r="D29" s="862">
        <f t="shared" si="14"/>
        <v>1.9924884762844805E-2</v>
      </c>
      <c r="E29" s="862">
        <f t="shared" si="14"/>
        <v>5.0489080872848813E-2</v>
      </c>
      <c r="F29" s="862">
        <f t="shared" si="14"/>
        <v>5.0500876589672755E-2</v>
      </c>
      <c r="G29" s="862">
        <f t="shared" si="14"/>
        <v>1.73580700744125E-2</v>
      </c>
      <c r="H29" s="862">
        <f t="shared" si="14"/>
        <v>5.8535165532014287E-3</v>
      </c>
      <c r="I29" s="862">
        <f t="shared" si="14"/>
        <v>5.2528752097792883E-3</v>
      </c>
      <c r="J29" s="862">
        <f t="shared" ref="J29:L29" si="15">+J28/$N$70</f>
        <v>5.2069724316307544E-3</v>
      </c>
      <c r="K29" s="862">
        <f t="shared" si="15"/>
        <v>4.5667548685841561E-3</v>
      </c>
      <c r="L29" s="862">
        <f t="shared" si="15"/>
        <v>4.3409846130846004E-3</v>
      </c>
      <c r="M29" s="862">
        <f t="shared" si="14"/>
        <v>2.65597629510241E-2</v>
      </c>
      <c r="N29" s="548">
        <f t="shared" si="14"/>
        <v>0.22025395249046781</v>
      </c>
    </row>
    <row r="30" spans="1:14" ht="14.5">
      <c r="A30" s="99"/>
      <c r="B30" s="543" t="s">
        <v>276</v>
      </c>
      <c r="C30" s="553">
        <f>+C35+C40+C45+C50+C55+C60</f>
        <v>10076545.478093658</v>
      </c>
      <c r="D30" s="553">
        <f t="shared" ref="D30:I30" si="16">+D35+D40+D45+D50+D55+D60</f>
        <v>5986390.3712033285</v>
      </c>
      <c r="E30" s="553">
        <f t="shared" si="16"/>
        <v>19460072.445020147</v>
      </c>
      <c r="F30" s="553">
        <f t="shared" si="16"/>
        <v>20364461.688827313</v>
      </c>
      <c r="G30" s="553">
        <f t="shared" si="16"/>
        <v>6716596.4118179195</v>
      </c>
      <c r="H30" s="553">
        <f t="shared" si="16"/>
        <v>1907798.3863943797</v>
      </c>
      <c r="I30" s="553">
        <f t="shared" si="16"/>
        <v>1718727.0031801062</v>
      </c>
      <c r="J30" s="553">
        <f t="shared" ref="J30:L30" si="17">+J35+J40+J45+J50+J55+J60</f>
        <v>1764014.0996834734</v>
      </c>
      <c r="K30" s="553">
        <f t="shared" si="17"/>
        <v>1553102.4227688415</v>
      </c>
      <c r="L30" s="553">
        <f t="shared" si="17"/>
        <v>1514607.52504694</v>
      </c>
      <c r="M30" s="553">
        <f>+M35+M40+M45+M50+M55+M60</f>
        <v>9781531.5995676797</v>
      </c>
      <c r="N30" s="553">
        <f>SUM(C30:M30)</f>
        <v>80843847.431603804</v>
      </c>
    </row>
    <row r="31" spans="1:14" ht="14.5">
      <c r="A31" s="99"/>
      <c r="B31" s="543" t="s">
        <v>306</v>
      </c>
      <c r="C31" s="553">
        <f>+C36+C41+C46+C51+C56+C61</f>
        <v>2929687.6490554172</v>
      </c>
      <c r="D31" s="553">
        <f t="shared" ref="D31:I31" si="18">+D36+D41+D46+D51+D56+D61</f>
        <v>2594609.8575945967</v>
      </c>
      <c r="E31" s="553">
        <f t="shared" si="18"/>
        <v>2283933.5895650769</v>
      </c>
      <c r="F31" s="553">
        <f t="shared" si="18"/>
        <v>1384624.3775859389</v>
      </c>
      <c r="G31" s="553">
        <f t="shared" si="18"/>
        <v>758960.16243037081</v>
      </c>
      <c r="H31" s="553">
        <f t="shared" si="18"/>
        <v>613120.93033658364</v>
      </c>
      <c r="I31" s="553">
        <f t="shared" si="18"/>
        <v>543515.61018833274</v>
      </c>
      <c r="J31" s="553">
        <f t="shared" ref="J31:L31" si="19">+J36+J41+J46+J51+J56+J61</f>
        <v>478459.67916053504</v>
      </c>
      <c r="K31" s="553">
        <f t="shared" si="19"/>
        <v>413650.46130604023</v>
      </c>
      <c r="L31" s="553">
        <f t="shared" si="19"/>
        <v>354913.44842185749</v>
      </c>
      <c r="M31" s="553">
        <f>+M36+M41+M46+M51+M56+M61</f>
        <v>1656895.0047634742</v>
      </c>
      <c r="N31" s="553">
        <f>SUM(C31:M31)</f>
        <v>14012370.770408226</v>
      </c>
    </row>
    <row r="32" spans="1:14" ht="9.75" customHeight="1">
      <c r="A32" s="99"/>
      <c r="B32" s="535"/>
      <c r="C32" s="556"/>
      <c r="D32" s="556"/>
      <c r="E32" s="556"/>
      <c r="F32" s="556"/>
      <c r="G32" s="556"/>
      <c r="H32" s="556"/>
      <c r="I32" s="556"/>
      <c r="J32" s="556"/>
      <c r="K32" s="556"/>
      <c r="L32" s="556"/>
      <c r="M32" s="556"/>
      <c r="N32" s="556"/>
    </row>
    <row r="33" spans="1:14" ht="6.75" customHeight="1">
      <c r="A33" s="99"/>
      <c r="B33" s="544"/>
      <c r="C33" s="557"/>
      <c r="D33" s="557"/>
      <c r="E33" s="557"/>
      <c r="F33" s="557"/>
      <c r="G33" s="557"/>
      <c r="H33" s="557"/>
      <c r="I33" s="557"/>
      <c r="J33" s="557"/>
      <c r="K33" s="557"/>
      <c r="L33" s="557"/>
      <c r="M33" s="557"/>
      <c r="N33" s="557"/>
    </row>
    <row r="34" spans="1:14" ht="14.5">
      <c r="A34" s="99"/>
      <c r="B34" s="532" t="s">
        <v>161</v>
      </c>
      <c r="C34" s="558">
        <f t="shared" ref="C34:N34" si="20">+C35+C36</f>
        <v>4192466.961743345</v>
      </c>
      <c r="D34" s="558">
        <f t="shared" si="20"/>
        <v>7855810.5182951838</v>
      </c>
      <c r="E34" s="558">
        <f t="shared" si="20"/>
        <v>21083759.285624735</v>
      </c>
      <c r="F34" s="558">
        <f t="shared" si="20"/>
        <v>21172459.474832892</v>
      </c>
      <c r="G34" s="558">
        <f t="shared" si="20"/>
        <v>6969177.9183808658</v>
      </c>
      <c r="H34" s="558">
        <f t="shared" si="20"/>
        <v>2035840.274756636</v>
      </c>
      <c r="I34" s="558">
        <f t="shared" si="20"/>
        <v>1804372.8245178659</v>
      </c>
      <c r="J34" s="558">
        <f t="shared" ref="J34:L34" si="21">+J35+J36</f>
        <v>1678923.9848597958</v>
      </c>
      <c r="K34" s="558">
        <f t="shared" si="21"/>
        <v>1581871.8659852198</v>
      </c>
      <c r="L34" s="558">
        <f t="shared" si="21"/>
        <v>1485255.1821707576</v>
      </c>
      <c r="M34" s="558">
        <f t="shared" si="20"/>
        <v>10334396.880598327</v>
      </c>
      <c r="N34" s="558">
        <f t="shared" si="20"/>
        <v>80194335.171765625</v>
      </c>
    </row>
    <row r="35" spans="1:14" ht="14.5">
      <c r="A35" s="99"/>
      <c r="B35" s="532" t="s">
        <v>276</v>
      </c>
      <c r="C35" s="558">
        <v>1853550.2335175658</v>
      </c>
      <c r="D35" s="558">
        <v>5477792.4461185653</v>
      </c>
      <c r="E35" s="558">
        <v>18987874.724904105</v>
      </c>
      <c r="F35" s="558">
        <v>19950087.779754214</v>
      </c>
      <c r="G35" s="558">
        <v>6352899.143137672</v>
      </c>
      <c r="H35" s="558">
        <v>1547273.6614371287</v>
      </c>
      <c r="I35" s="558">
        <v>1367701.2858151288</v>
      </c>
      <c r="J35" s="558">
        <v>1288091.5393382038</v>
      </c>
      <c r="K35" s="558">
        <v>1233722.7448469547</v>
      </c>
      <c r="L35" s="558">
        <v>1179511.6817041244</v>
      </c>
      <c r="M35" s="558">
        <v>8762283.22251199</v>
      </c>
      <c r="N35" s="558">
        <f>SUM(C35:M35)</f>
        <v>68000788.463085651</v>
      </c>
    </row>
    <row r="36" spans="1:14" ht="14.5">
      <c r="A36" s="99"/>
      <c r="B36" s="532" t="s">
        <v>306</v>
      </c>
      <c r="C36" s="558">
        <v>2338916.7282257793</v>
      </c>
      <c r="D36" s="558">
        <v>2378018.072176619</v>
      </c>
      <c r="E36" s="558">
        <v>2095884.5607206291</v>
      </c>
      <c r="F36" s="558">
        <v>1222371.6950786789</v>
      </c>
      <c r="G36" s="558">
        <v>616278.77524319361</v>
      </c>
      <c r="H36" s="558">
        <v>488566.61331950739</v>
      </c>
      <c r="I36" s="558">
        <v>436671.53870273702</v>
      </c>
      <c r="J36" s="558">
        <v>390832.44552159181</v>
      </c>
      <c r="K36" s="558">
        <v>348149.12113826524</v>
      </c>
      <c r="L36" s="558">
        <v>305743.50046663301</v>
      </c>
      <c r="M36" s="558">
        <v>1572113.6580863378</v>
      </c>
      <c r="N36" s="558">
        <f>SUM(C36:M36)</f>
        <v>12193546.70867997</v>
      </c>
    </row>
    <row r="37" spans="1:14" ht="6.75" customHeight="1">
      <c r="A37" s="99"/>
      <c r="B37" s="535"/>
      <c r="C37" s="556"/>
      <c r="D37" s="556"/>
      <c r="E37" s="556"/>
      <c r="F37" s="556"/>
      <c r="G37" s="556"/>
      <c r="H37" s="556"/>
      <c r="I37" s="556"/>
      <c r="J37" s="556"/>
      <c r="K37" s="556"/>
      <c r="L37" s="556"/>
      <c r="M37" s="556"/>
      <c r="N37" s="556"/>
    </row>
    <row r="38" spans="1:14" ht="6.75" customHeight="1">
      <c r="A38" s="99"/>
      <c r="B38" s="532"/>
      <c r="C38" s="550"/>
      <c r="D38" s="550"/>
      <c r="E38" s="550"/>
      <c r="F38" s="550"/>
      <c r="G38" s="550"/>
      <c r="H38" s="550"/>
      <c r="I38" s="550"/>
      <c r="J38" s="550"/>
      <c r="K38" s="550"/>
      <c r="L38" s="550"/>
      <c r="M38" s="550"/>
      <c r="N38" s="550"/>
    </row>
    <row r="39" spans="1:14" ht="14.5">
      <c r="A39" s="99"/>
      <c r="B39" s="532" t="s">
        <v>163</v>
      </c>
      <c r="C39" s="558">
        <f t="shared" ref="C39:M39" si="22">+C40+C41</f>
        <v>2608600.8575897198</v>
      </c>
      <c r="D39" s="558">
        <f t="shared" si="22"/>
        <v>495405.12395406159</v>
      </c>
      <c r="E39" s="558">
        <f t="shared" si="22"/>
        <v>454911.52633660939</v>
      </c>
      <c r="F39" s="558">
        <f t="shared" si="22"/>
        <v>458949.46146572323</v>
      </c>
      <c r="G39" s="558">
        <f t="shared" si="22"/>
        <v>431258.87636394566</v>
      </c>
      <c r="H39" s="558">
        <f t="shared" si="22"/>
        <v>412420.47158899135</v>
      </c>
      <c r="I39" s="558">
        <f t="shared" si="22"/>
        <v>386522.80087891303</v>
      </c>
      <c r="J39" s="558">
        <f t="shared" ref="J39:L39" si="23">+J40+J41</f>
        <v>369171.03332276689</v>
      </c>
      <c r="K39" s="558">
        <f t="shared" si="23"/>
        <v>352003.13455777604</v>
      </c>
      <c r="L39" s="558">
        <f t="shared" si="23"/>
        <v>334654.83323076612</v>
      </c>
      <c r="M39" s="558">
        <f t="shared" si="22"/>
        <v>234035.17939992074</v>
      </c>
      <c r="N39" s="558">
        <f>+N40+N41</f>
        <v>6537933.298689194</v>
      </c>
    </row>
    <row r="40" spans="1:14" ht="14.5">
      <c r="A40" s="99"/>
      <c r="B40" s="532" t="s">
        <v>276</v>
      </c>
      <c r="C40" s="559">
        <v>2259827.7340088165</v>
      </c>
      <c r="D40" s="559">
        <v>338873.12381404539</v>
      </c>
      <c r="E40" s="559">
        <v>316380.31748912885</v>
      </c>
      <c r="F40" s="559">
        <v>337669.82428905059</v>
      </c>
      <c r="G40" s="559">
        <v>327260.49288889056</v>
      </c>
      <c r="H40" s="559">
        <v>326058.9946988906</v>
      </c>
      <c r="I40" s="559">
        <v>317483.92484889063</v>
      </c>
      <c r="J40" s="559">
        <v>317390.70504889061</v>
      </c>
      <c r="K40" s="559">
        <v>317390.70504889061</v>
      </c>
      <c r="L40" s="559">
        <v>317390.70504889061</v>
      </c>
      <c r="M40" s="559">
        <v>222345.77907632949</v>
      </c>
      <c r="N40" s="558">
        <f>SUM(C40:M40)</f>
        <v>5398072.3062607152</v>
      </c>
    </row>
    <row r="41" spans="1:14" ht="14.5">
      <c r="A41" s="99"/>
      <c r="B41" s="532" t="s">
        <v>306</v>
      </c>
      <c r="C41" s="559">
        <v>348773.12358090316</v>
      </c>
      <c r="D41" s="559">
        <v>156532.0001400162</v>
      </c>
      <c r="E41" s="559">
        <v>138531.20884748051</v>
      </c>
      <c r="F41" s="559">
        <v>121279.63717667264</v>
      </c>
      <c r="G41" s="559">
        <v>103998.38347505507</v>
      </c>
      <c r="H41" s="559">
        <v>86361.476890100763</v>
      </c>
      <c r="I41" s="559">
        <v>69038.876030022409</v>
      </c>
      <c r="J41" s="559">
        <v>51780.328273876286</v>
      </c>
      <c r="K41" s="559">
        <v>34612.429508885427</v>
      </c>
      <c r="L41" s="559">
        <v>17264.128181875534</v>
      </c>
      <c r="M41" s="559">
        <v>11689.400323591262</v>
      </c>
      <c r="N41" s="558">
        <f>SUM(C41:M41)</f>
        <v>1139860.992428479</v>
      </c>
    </row>
    <row r="42" spans="1:14" ht="6.75" customHeight="1">
      <c r="A42" s="99"/>
      <c r="B42" s="535"/>
      <c r="C42" s="556"/>
      <c r="D42" s="556"/>
      <c r="E42" s="556"/>
      <c r="F42" s="556"/>
      <c r="G42" s="556"/>
      <c r="H42" s="556"/>
      <c r="I42" s="556"/>
      <c r="J42" s="556"/>
      <c r="K42" s="556"/>
      <c r="L42" s="556"/>
      <c r="M42" s="556"/>
      <c r="N42" s="556"/>
    </row>
    <row r="43" spans="1:14" ht="6.75" customHeight="1">
      <c r="A43" s="99"/>
      <c r="B43" s="532"/>
      <c r="C43" s="550"/>
      <c r="D43" s="550"/>
      <c r="E43" s="550"/>
      <c r="F43" s="550"/>
      <c r="G43" s="550"/>
      <c r="H43" s="550"/>
      <c r="I43" s="550"/>
      <c r="J43" s="550"/>
      <c r="K43" s="550"/>
      <c r="L43" s="550"/>
      <c r="M43" s="550"/>
      <c r="N43" s="550"/>
    </row>
    <row r="44" spans="1:14" s="110" customFormat="1" ht="14.5">
      <c r="A44" s="99"/>
      <c r="B44" s="531" t="s">
        <v>550</v>
      </c>
      <c r="C44" s="558">
        <f t="shared" ref="C44:N44" si="24">+C45+C46</f>
        <v>48513.037189173076</v>
      </c>
      <c r="D44" s="558">
        <f t="shared" si="24"/>
        <v>31496.423105876216</v>
      </c>
      <c r="E44" s="558">
        <f t="shared" si="24"/>
        <v>31496.423105876216</v>
      </c>
      <c r="F44" s="558">
        <f t="shared" si="24"/>
        <v>31496.423105876216</v>
      </c>
      <c r="G44" s="558">
        <f t="shared" si="24"/>
        <v>31560.598032276306</v>
      </c>
      <c r="H44" s="558">
        <f t="shared" si="24"/>
        <v>31496.423105876216</v>
      </c>
      <c r="I44" s="558">
        <f t="shared" si="24"/>
        <v>31496.423105876216</v>
      </c>
      <c r="J44" s="558">
        <f t="shared" ref="J44:L44" si="25">+J45+J46</f>
        <v>156195.91114551172</v>
      </c>
      <c r="K44" s="558">
        <f t="shared" si="25"/>
        <v>25246.699905426143</v>
      </c>
      <c r="L44" s="558">
        <f t="shared" si="25"/>
        <v>25182.524979026104</v>
      </c>
      <c r="M44" s="558">
        <f t="shared" si="24"/>
        <v>533387.44939329405</v>
      </c>
      <c r="N44" s="558">
        <f t="shared" si="24"/>
        <v>977568.33617408853</v>
      </c>
    </row>
    <row r="45" spans="1:14" s="110" customFormat="1" ht="14.5">
      <c r="A45" s="106"/>
      <c r="B45" s="532" t="s">
        <v>276</v>
      </c>
      <c r="C45" s="1185">
        <v>16812.336352682811</v>
      </c>
      <c r="D45" s="559">
        <v>0</v>
      </c>
      <c r="E45" s="848">
        <v>0</v>
      </c>
      <c r="F45" s="848">
        <v>0</v>
      </c>
      <c r="G45" s="848">
        <v>0</v>
      </c>
      <c r="H45" s="848">
        <v>0</v>
      </c>
      <c r="I45" s="848">
        <v>0</v>
      </c>
      <c r="J45" s="848">
        <v>126277.96257134801</v>
      </c>
      <c r="K45" s="848">
        <v>0</v>
      </c>
      <c r="L45" s="848">
        <v>0</v>
      </c>
      <c r="M45" s="559">
        <v>497234.74808658834</v>
      </c>
      <c r="N45" s="558">
        <f>SUM(C45:M45)</f>
        <v>640325.04701061919</v>
      </c>
    </row>
    <row r="46" spans="1:14" ht="14.5">
      <c r="A46" s="106"/>
      <c r="B46" s="532" t="s">
        <v>306</v>
      </c>
      <c r="C46" s="559">
        <v>31700.700836490265</v>
      </c>
      <c r="D46" s="559">
        <v>31496.423105876216</v>
      </c>
      <c r="E46" s="559">
        <v>31496.423105876216</v>
      </c>
      <c r="F46" s="559">
        <v>31496.423105876216</v>
      </c>
      <c r="G46" s="559">
        <v>31560.598032276306</v>
      </c>
      <c r="H46" s="559">
        <v>31496.423105876216</v>
      </c>
      <c r="I46" s="559">
        <v>31496.423105876216</v>
      </c>
      <c r="J46" s="559">
        <v>29917.948574163729</v>
      </c>
      <c r="K46" s="559">
        <v>25246.699905426143</v>
      </c>
      <c r="L46" s="559">
        <v>25182.524979026104</v>
      </c>
      <c r="M46" s="559">
        <v>36152.701306705712</v>
      </c>
      <c r="N46" s="558">
        <f>SUM(C46:M46)</f>
        <v>337243.28916346934</v>
      </c>
    </row>
    <row r="47" spans="1:14" ht="6.75" customHeight="1">
      <c r="A47" s="99"/>
      <c r="B47" s="535"/>
      <c r="C47" s="556"/>
      <c r="D47" s="556"/>
      <c r="E47" s="556"/>
      <c r="F47" s="556"/>
      <c r="G47" s="556"/>
      <c r="H47" s="556"/>
      <c r="I47" s="556"/>
      <c r="J47" s="556"/>
      <c r="K47" s="556"/>
      <c r="L47" s="556"/>
      <c r="M47" s="556"/>
      <c r="N47" s="556"/>
    </row>
    <row r="48" spans="1:14" ht="6.75" customHeight="1">
      <c r="A48" s="99"/>
      <c r="B48" s="544"/>
      <c r="C48" s="557"/>
      <c r="D48" s="557"/>
      <c r="E48" s="557"/>
      <c r="F48" s="557"/>
      <c r="G48" s="557"/>
      <c r="H48" s="557"/>
      <c r="I48" s="557"/>
      <c r="J48" s="557"/>
      <c r="K48" s="557"/>
      <c r="L48" s="557"/>
      <c r="M48" s="557"/>
      <c r="N48" s="557"/>
    </row>
    <row r="49" spans="1:14" s="110" customFormat="1" ht="14.5">
      <c r="A49" s="99"/>
      <c r="B49" s="537" t="s">
        <v>164</v>
      </c>
      <c r="C49" s="558">
        <f t="shared" ref="C49:I49" si="26">+C50+C51</f>
        <v>2680721.2773077041</v>
      </c>
      <c r="D49" s="558">
        <f t="shared" si="26"/>
        <v>38277.191167686295</v>
      </c>
      <c r="E49" s="558">
        <f t="shared" si="26"/>
        <v>37847.189983667216</v>
      </c>
      <c r="F49" s="558">
        <f t="shared" si="26"/>
        <v>37309.188822067139</v>
      </c>
      <c r="G49" s="558">
        <f t="shared" si="26"/>
        <v>36847.713354130487</v>
      </c>
      <c r="H49" s="558">
        <f t="shared" si="26"/>
        <v>34450.679162386805</v>
      </c>
      <c r="I49" s="558">
        <f t="shared" si="26"/>
        <v>33808.731498710891</v>
      </c>
      <c r="J49" s="558">
        <f t="shared" ref="J49:L49" si="27">+J50+J51</f>
        <v>32619.326958861115</v>
      </c>
      <c r="K49" s="558">
        <f t="shared" si="27"/>
        <v>2067.6610693868402</v>
      </c>
      <c r="L49" s="558">
        <f t="shared" si="27"/>
        <v>2032.89736576617</v>
      </c>
      <c r="M49" s="849">
        <f>+M50+M51</f>
        <v>1070.1064230467439</v>
      </c>
      <c r="N49" s="558">
        <f>+N50+N51</f>
        <v>2937051.9631134132</v>
      </c>
    </row>
    <row r="50" spans="1:14" s="110" customFormat="1" ht="14.5">
      <c r="A50" s="106"/>
      <c r="B50" s="537" t="s">
        <v>276</v>
      </c>
      <c r="C50" s="560">
        <v>2539784.5927763726</v>
      </c>
      <c r="D50" s="560">
        <v>35408.595033122408</v>
      </c>
      <c r="E50" s="560">
        <v>35419.549081037178</v>
      </c>
      <c r="F50" s="560">
        <v>35321.815875171837</v>
      </c>
      <c r="G50" s="560">
        <v>35288.830231357548</v>
      </c>
      <c r="H50" s="560">
        <v>33317.784698360505</v>
      </c>
      <c r="I50" s="560">
        <v>33063.481706086743</v>
      </c>
      <c r="J50" s="560">
        <v>32253.892725030826</v>
      </c>
      <c r="K50" s="560">
        <v>1988.972872996301</v>
      </c>
      <c r="L50" s="560">
        <v>1988.972872996301</v>
      </c>
      <c r="M50" s="850">
        <v>1060.7068826364759</v>
      </c>
      <c r="N50" s="558">
        <f>SUM(C50:M50)</f>
        <v>2784897.1947551682</v>
      </c>
    </row>
    <row r="51" spans="1:14" s="110" customFormat="1" ht="14.5">
      <c r="A51" s="106"/>
      <c r="B51" s="534" t="s">
        <v>306</v>
      </c>
      <c r="C51" s="561">
        <v>140936.68453133135</v>
      </c>
      <c r="D51" s="561">
        <v>2868.5961345638857</v>
      </c>
      <c r="E51" s="561">
        <v>2427.6409026300403</v>
      </c>
      <c r="F51" s="561">
        <v>1987.3729468953018</v>
      </c>
      <c r="G51" s="561">
        <v>1558.8831227729383</v>
      </c>
      <c r="H51" s="561">
        <v>1132.8944640262978</v>
      </c>
      <c r="I51" s="561">
        <v>745.24979262414581</v>
      </c>
      <c r="J51" s="561">
        <v>365.43423383028812</v>
      </c>
      <c r="K51" s="561">
        <v>78.688196390539176</v>
      </c>
      <c r="L51" s="561">
        <v>43.924492769868849</v>
      </c>
      <c r="M51" s="851">
        <v>9.399540410267905</v>
      </c>
      <c r="N51" s="558">
        <f>SUM(C51:M51)</f>
        <v>152154.76835824494</v>
      </c>
    </row>
    <row r="52" spans="1:14" s="110" customFormat="1" ht="6.75" customHeight="1">
      <c r="A52" s="106"/>
      <c r="B52" s="535"/>
      <c r="C52" s="556"/>
      <c r="D52" s="556"/>
      <c r="E52" s="556"/>
      <c r="F52" s="556"/>
      <c r="G52" s="556"/>
      <c r="H52" s="556"/>
      <c r="I52" s="556"/>
      <c r="J52" s="556"/>
      <c r="K52" s="556"/>
      <c r="L52" s="556"/>
      <c r="M52" s="556"/>
      <c r="N52" s="556"/>
    </row>
    <row r="53" spans="1:14" ht="6.75" customHeight="1">
      <c r="A53" s="106"/>
      <c r="B53" s="532"/>
      <c r="C53" s="555"/>
      <c r="D53" s="555"/>
      <c r="E53" s="555"/>
      <c r="F53" s="555"/>
      <c r="G53" s="555"/>
      <c r="H53" s="555"/>
      <c r="I53" s="555"/>
      <c r="J53" s="555"/>
      <c r="K53" s="555"/>
      <c r="L53" s="555"/>
      <c r="M53" s="555"/>
      <c r="N53" s="555"/>
    </row>
    <row r="54" spans="1:14" ht="14.5">
      <c r="A54" s="99"/>
      <c r="B54" s="536" t="s">
        <v>823</v>
      </c>
      <c r="C54" s="558">
        <f t="shared" ref="C54:N54" si="28">+C55+C56</f>
        <v>2163086.1481077918</v>
      </c>
      <c r="D54" s="558">
        <f t="shared" si="28"/>
        <v>153266.25320804326</v>
      </c>
      <c r="E54" s="558">
        <f t="shared" si="28"/>
        <v>130428.08697726185</v>
      </c>
      <c r="F54" s="558">
        <f t="shared" si="28"/>
        <v>43307.995629620171</v>
      </c>
      <c r="G54" s="558">
        <f t="shared" si="28"/>
        <v>1147.9455600000001</v>
      </c>
      <c r="H54" s="558">
        <f t="shared" si="28"/>
        <v>1147.9455600000001</v>
      </c>
      <c r="I54" s="558">
        <f t="shared" si="28"/>
        <v>478.31081</v>
      </c>
      <c r="J54" s="849">
        <f t="shared" ref="J54:L54" si="29">+J55+J56</f>
        <v>0</v>
      </c>
      <c r="K54" s="849">
        <f t="shared" si="29"/>
        <v>0</v>
      </c>
      <c r="L54" s="849">
        <f t="shared" si="29"/>
        <v>0</v>
      </c>
      <c r="M54" s="849">
        <f t="shared" si="28"/>
        <v>0</v>
      </c>
      <c r="N54" s="558">
        <f t="shared" si="28"/>
        <v>2492862.6858527171</v>
      </c>
    </row>
    <row r="55" spans="1:14" ht="14.5">
      <c r="A55" s="99"/>
      <c r="B55" s="532" t="s">
        <v>276</v>
      </c>
      <c r="C55" s="558">
        <v>2099289.2587839519</v>
      </c>
      <c r="D55" s="558">
        <v>133135.00972759497</v>
      </c>
      <c r="E55" s="558">
        <v>120397.85354587359</v>
      </c>
      <c r="F55" s="558">
        <v>41382.268908877202</v>
      </c>
      <c r="G55" s="558">
        <v>1147.9455600000001</v>
      </c>
      <c r="H55" s="558">
        <v>1147.9455600000001</v>
      </c>
      <c r="I55" s="558">
        <v>478.31081</v>
      </c>
      <c r="J55" s="849">
        <v>0</v>
      </c>
      <c r="K55" s="849">
        <v>0</v>
      </c>
      <c r="L55" s="849">
        <v>0</v>
      </c>
      <c r="M55" s="849">
        <v>0</v>
      </c>
      <c r="N55" s="558">
        <f>SUM(C55:M55)</f>
        <v>2396978.5928962976</v>
      </c>
    </row>
    <row r="56" spans="1:14" ht="14.5">
      <c r="A56" s="99"/>
      <c r="B56" s="532" t="s">
        <v>306</v>
      </c>
      <c r="C56" s="558">
        <v>63796.889323840107</v>
      </c>
      <c r="D56" s="558">
        <v>20131.24348044828</v>
      </c>
      <c r="E56" s="558">
        <v>10030.23343138826</v>
      </c>
      <c r="F56" s="558">
        <v>1925.726720742967</v>
      </c>
      <c r="G56" s="558">
        <v>0</v>
      </c>
      <c r="H56" s="849">
        <v>0</v>
      </c>
      <c r="I56" s="849">
        <v>0</v>
      </c>
      <c r="J56" s="849">
        <v>0</v>
      </c>
      <c r="K56" s="849">
        <v>0</v>
      </c>
      <c r="L56" s="849">
        <v>0</v>
      </c>
      <c r="M56" s="849">
        <v>0</v>
      </c>
      <c r="N56" s="558">
        <f>SUM(C56:M56)</f>
        <v>95884.092956419612</v>
      </c>
    </row>
    <row r="57" spans="1:14" ht="6.75" customHeight="1">
      <c r="A57" s="99"/>
      <c r="B57" s="535"/>
      <c r="C57" s="558"/>
      <c r="D57" s="558"/>
      <c r="E57" s="558"/>
      <c r="F57" s="558"/>
      <c r="G57" s="558"/>
      <c r="H57" s="558"/>
      <c r="I57" s="558"/>
      <c r="J57" s="558"/>
      <c r="K57" s="558"/>
      <c r="L57" s="558"/>
      <c r="M57" s="558"/>
      <c r="N57" s="558"/>
    </row>
    <row r="58" spans="1:14" ht="6.75" customHeight="1">
      <c r="A58" s="99"/>
      <c r="B58" s="533"/>
      <c r="C58" s="562"/>
      <c r="D58" s="562"/>
      <c r="E58" s="562"/>
      <c r="F58" s="562"/>
      <c r="G58" s="562"/>
      <c r="H58" s="562"/>
      <c r="I58" s="562"/>
      <c r="J58" s="562"/>
      <c r="K58" s="562"/>
      <c r="L58" s="562"/>
      <c r="M58" s="562"/>
      <c r="N58" s="562"/>
    </row>
    <row r="59" spans="1:14" ht="14.5">
      <c r="A59" s="99"/>
      <c r="B59" s="536" t="s">
        <v>366</v>
      </c>
      <c r="C59" s="1185">
        <f t="shared" ref="C59:N59" si="30">+C60+C61</f>
        <v>1312844.845211341</v>
      </c>
      <c r="D59" s="558">
        <f t="shared" si="30"/>
        <v>6744.7190670729497</v>
      </c>
      <c r="E59" s="558">
        <f t="shared" si="30"/>
        <v>5563.5225570729499</v>
      </c>
      <c r="F59" s="558">
        <f t="shared" si="30"/>
        <v>5563.5225570729499</v>
      </c>
      <c r="G59" s="558">
        <f t="shared" si="30"/>
        <v>5563.5225570729499</v>
      </c>
      <c r="H59" s="558">
        <f t="shared" si="30"/>
        <v>5563.5225570729499</v>
      </c>
      <c r="I59" s="558">
        <f t="shared" si="30"/>
        <v>5563.5225570729499</v>
      </c>
      <c r="J59" s="558">
        <f t="shared" ref="J59:L59" si="31">+J60+J61</f>
        <v>5563.5225570729499</v>
      </c>
      <c r="K59" s="558">
        <f t="shared" si="31"/>
        <v>5563.5225570729499</v>
      </c>
      <c r="L59" s="558">
        <f t="shared" si="31"/>
        <v>22395.535722481702</v>
      </c>
      <c r="M59" s="558">
        <f t="shared" si="30"/>
        <v>335536.9885165639</v>
      </c>
      <c r="N59" s="558">
        <f t="shared" si="30"/>
        <v>1716466.7464169702</v>
      </c>
    </row>
    <row r="60" spans="1:14" ht="14.5">
      <c r="A60" s="99"/>
      <c r="B60" s="532" t="s">
        <v>276</v>
      </c>
      <c r="C60" s="1185">
        <v>1307281.322654268</v>
      </c>
      <c r="D60" s="558">
        <v>1181.19651</v>
      </c>
      <c r="E60" s="849">
        <v>0</v>
      </c>
      <c r="F60" s="849">
        <v>0</v>
      </c>
      <c r="G60" s="849">
        <v>0</v>
      </c>
      <c r="H60" s="849">
        <v>0</v>
      </c>
      <c r="I60" s="849">
        <v>0</v>
      </c>
      <c r="J60" s="849">
        <v>0</v>
      </c>
      <c r="K60" s="849">
        <v>0</v>
      </c>
      <c r="L60" s="558">
        <v>15716.16542092871</v>
      </c>
      <c r="M60" s="558">
        <v>298607.14301013463</v>
      </c>
      <c r="N60" s="558">
        <f>SUM(C60:M60)</f>
        <v>1622785.8275953312</v>
      </c>
    </row>
    <row r="61" spans="1:14" ht="14.5">
      <c r="A61" s="99"/>
      <c r="B61" s="532" t="s">
        <v>306</v>
      </c>
      <c r="C61" s="1185">
        <v>5563.5225570729499</v>
      </c>
      <c r="D61" s="558">
        <v>5563.5225570729499</v>
      </c>
      <c r="E61" s="558">
        <v>5563.5225570729499</v>
      </c>
      <c r="F61" s="558">
        <v>5563.5225570729499</v>
      </c>
      <c r="G61" s="558">
        <v>5563.5225570729499</v>
      </c>
      <c r="H61" s="558">
        <v>5563.5225570729499</v>
      </c>
      <c r="I61" s="558">
        <v>5563.5225570729499</v>
      </c>
      <c r="J61" s="558">
        <v>5563.5225570729499</v>
      </c>
      <c r="K61" s="558">
        <v>5563.5225570729499</v>
      </c>
      <c r="L61" s="558">
        <v>6679.3703015529918</v>
      </c>
      <c r="M61" s="558">
        <v>36929.845506429243</v>
      </c>
      <c r="N61" s="558">
        <f>SUM(C61:M61)</f>
        <v>93680.918821638799</v>
      </c>
    </row>
    <row r="62" spans="1:14" ht="6.75" customHeight="1">
      <c r="A62" s="99"/>
      <c r="B62" s="531"/>
      <c r="C62" s="559"/>
      <c r="D62" s="559"/>
      <c r="E62" s="559"/>
      <c r="F62" s="559"/>
      <c r="G62" s="559"/>
      <c r="H62" s="559"/>
      <c r="I62" s="559"/>
      <c r="J62" s="559"/>
      <c r="K62" s="559"/>
      <c r="L62" s="559"/>
      <c r="M62" s="559"/>
      <c r="N62" s="559"/>
    </row>
    <row r="63" spans="1:14" ht="6" customHeight="1">
      <c r="A63" s="99"/>
      <c r="B63" s="531"/>
      <c r="C63" s="559"/>
      <c r="D63" s="559"/>
      <c r="E63" s="559"/>
      <c r="F63" s="559"/>
      <c r="G63" s="559"/>
      <c r="H63" s="559"/>
      <c r="I63" s="559"/>
      <c r="J63" s="559"/>
      <c r="K63" s="559"/>
      <c r="L63" s="559"/>
      <c r="M63" s="559"/>
      <c r="N63" s="559"/>
    </row>
    <row r="64" spans="1:14" ht="14.5">
      <c r="B64" s="538" t="s">
        <v>162</v>
      </c>
      <c r="C64" s="552">
        <f>+C66+C67</f>
        <v>9395275.0646965504</v>
      </c>
      <c r="D64" s="552">
        <f>+D66+D67</f>
        <v>4841806.49469906</v>
      </c>
      <c r="E64" s="846">
        <f t="shared" ref="E64:M64" si="32">+E66+E67</f>
        <v>0</v>
      </c>
      <c r="F64" s="846">
        <f t="shared" si="32"/>
        <v>0</v>
      </c>
      <c r="G64" s="846">
        <f t="shared" si="32"/>
        <v>0</v>
      </c>
      <c r="H64" s="846">
        <f t="shared" si="32"/>
        <v>0</v>
      </c>
      <c r="I64" s="846">
        <f t="shared" si="32"/>
        <v>0</v>
      </c>
      <c r="J64" s="846">
        <f t="shared" si="32"/>
        <v>0</v>
      </c>
      <c r="K64" s="846">
        <f t="shared" si="32"/>
        <v>0</v>
      </c>
      <c r="L64" s="846">
        <f t="shared" si="32"/>
        <v>0</v>
      </c>
      <c r="M64" s="846">
        <f t="shared" si="32"/>
        <v>0</v>
      </c>
      <c r="N64" s="552">
        <f>+N66+N67</f>
        <v>14237081.559395611</v>
      </c>
    </row>
    <row r="65" spans="1:16" ht="14.5">
      <c r="B65" s="538" t="s">
        <v>364</v>
      </c>
      <c r="C65" s="862">
        <f t="shared" ref="C65:N65" si="33">+C64/$N$70</f>
        <v>2.1815612165008883E-2</v>
      </c>
      <c r="D65" s="862">
        <f t="shared" si="33"/>
        <v>1.124256309038541E-2</v>
      </c>
      <c r="E65" s="862">
        <f t="shared" si="33"/>
        <v>0</v>
      </c>
      <c r="F65" s="862">
        <f t="shared" si="33"/>
        <v>0</v>
      </c>
      <c r="G65" s="862">
        <f t="shared" si="33"/>
        <v>0</v>
      </c>
      <c r="H65" s="862">
        <f t="shared" si="33"/>
        <v>0</v>
      </c>
      <c r="I65" s="862">
        <f t="shared" si="33"/>
        <v>0</v>
      </c>
      <c r="J65" s="862">
        <f t="shared" ref="J65:L65" si="34">+J64/$N$70</f>
        <v>0</v>
      </c>
      <c r="K65" s="862">
        <f t="shared" si="34"/>
        <v>0</v>
      </c>
      <c r="L65" s="862">
        <f t="shared" si="34"/>
        <v>0</v>
      </c>
      <c r="M65" s="862">
        <f t="shared" si="33"/>
        <v>0</v>
      </c>
      <c r="N65" s="548">
        <f t="shared" si="33"/>
        <v>3.3058175255394298E-2</v>
      </c>
    </row>
    <row r="66" spans="1:16" ht="14.5">
      <c r="B66" s="543" t="s">
        <v>276</v>
      </c>
      <c r="C66" s="553">
        <v>9395275.0646965504</v>
      </c>
      <c r="D66" s="845">
        <v>4841806.49469906</v>
      </c>
      <c r="E66" s="845">
        <v>0</v>
      </c>
      <c r="F66" s="845">
        <v>0</v>
      </c>
      <c r="G66" s="845">
        <v>0</v>
      </c>
      <c r="H66" s="845">
        <v>0</v>
      </c>
      <c r="I66" s="845">
        <v>0</v>
      </c>
      <c r="J66" s="845">
        <v>0</v>
      </c>
      <c r="K66" s="845">
        <v>0</v>
      </c>
      <c r="L66" s="845">
        <v>0</v>
      </c>
      <c r="M66" s="845">
        <v>0</v>
      </c>
      <c r="N66" s="553">
        <f>SUM(C66:M66)</f>
        <v>14237081.559395611</v>
      </c>
    </row>
    <row r="67" spans="1:16" ht="14.5">
      <c r="B67" s="543" t="s">
        <v>306</v>
      </c>
      <c r="C67" s="845">
        <v>0</v>
      </c>
      <c r="D67" s="845">
        <v>0</v>
      </c>
      <c r="E67" s="845">
        <v>0</v>
      </c>
      <c r="F67" s="845">
        <v>0</v>
      </c>
      <c r="G67" s="845">
        <v>0</v>
      </c>
      <c r="H67" s="845">
        <v>0</v>
      </c>
      <c r="I67" s="845">
        <v>0</v>
      </c>
      <c r="J67" s="845">
        <v>0</v>
      </c>
      <c r="K67" s="845">
        <v>0</v>
      </c>
      <c r="L67" s="845">
        <v>0</v>
      </c>
      <c r="M67" s="845">
        <v>0</v>
      </c>
      <c r="N67" s="845">
        <f>SUM(C67:M67)</f>
        <v>0</v>
      </c>
    </row>
    <row r="68" spans="1:16" ht="9.75" customHeight="1" thickBot="1">
      <c r="B68" s="545"/>
      <c r="C68" s="553"/>
      <c r="D68" s="553"/>
      <c r="E68" s="553"/>
      <c r="F68" s="553"/>
      <c r="G68" s="553"/>
      <c r="H68" s="553"/>
      <c r="I68" s="553"/>
      <c r="J68" s="553"/>
      <c r="K68" s="553"/>
      <c r="L68" s="553"/>
      <c r="M68" s="553"/>
      <c r="N68" s="553"/>
    </row>
    <row r="69" spans="1:16" ht="9.75" customHeight="1" thickTop="1">
      <c r="B69" s="530"/>
      <c r="C69" s="563"/>
      <c r="D69" s="563"/>
      <c r="E69" s="563"/>
      <c r="F69" s="563"/>
      <c r="G69" s="563"/>
      <c r="H69" s="563"/>
      <c r="I69" s="563"/>
      <c r="J69" s="563"/>
      <c r="K69" s="563"/>
      <c r="L69" s="563"/>
      <c r="M69" s="563"/>
      <c r="N69" s="563"/>
    </row>
    <row r="70" spans="1:16" ht="14.5">
      <c r="B70" s="538" t="s">
        <v>748</v>
      </c>
      <c r="C70" s="552">
        <f>+C72+C73</f>
        <v>78862384.588653579</v>
      </c>
      <c r="D70" s="552">
        <f t="shared" ref="D70:M70" si="35">+D72+D73</f>
        <v>45108407.651417337</v>
      </c>
      <c r="E70" s="552">
        <f t="shared" si="35"/>
        <v>50164488.641800031</v>
      </c>
      <c r="F70" s="552">
        <f t="shared" si="35"/>
        <v>46143993.408399306</v>
      </c>
      <c r="G70" s="552">
        <f t="shared" si="35"/>
        <v>28969118.574432947</v>
      </c>
      <c r="H70" s="552">
        <f t="shared" si="35"/>
        <v>27344275.78589708</v>
      </c>
      <c r="I70" s="552">
        <f t="shared" si="35"/>
        <v>18117662.23393207</v>
      </c>
      <c r="J70" s="552">
        <f t="shared" ref="J70:L70" si="36">+J72+J73</f>
        <v>18652622.2309612</v>
      </c>
      <c r="K70" s="552">
        <f t="shared" si="36"/>
        <v>14038653.673730532</v>
      </c>
      <c r="L70" s="552">
        <f t="shared" si="36"/>
        <v>9206543.261787327</v>
      </c>
      <c r="M70" s="552">
        <f t="shared" si="35"/>
        <v>94059345.943718761</v>
      </c>
      <c r="N70" s="551">
        <f>+N72+N73</f>
        <v>430667495.99473017</v>
      </c>
    </row>
    <row r="71" spans="1:16" ht="14.5">
      <c r="B71" s="538" t="s">
        <v>364</v>
      </c>
      <c r="C71" s="862">
        <f t="shared" ref="C71:N71" si="37">+C70/$N$70</f>
        <v>0.1831166394540687</v>
      </c>
      <c r="D71" s="862">
        <f t="shared" si="37"/>
        <v>0.10474068294201916</v>
      </c>
      <c r="E71" s="862">
        <f t="shared" si="37"/>
        <v>0.11648078647294494</v>
      </c>
      <c r="F71" s="862">
        <f t="shared" si="37"/>
        <v>0.1071452892023315</v>
      </c>
      <c r="G71" s="862">
        <f t="shared" si="37"/>
        <v>6.7265625671428492E-2</v>
      </c>
      <c r="H71" s="862">
        <f t="shared" si="37"/>
        <v>6.3492778164599806E-2</v>
      </c>
      <c r="I71" s="862">
        <f t="shared" si="37"/>
        <v>4.2068794144970174E-2</v>
      </c>
      <c r="J71" s="862">
        <f t="shared" ref="J71:L71" si="38">+J70/$N$70</f>
        <v>4.3310958928717114E-2</v>
      </c>
      <c r="K71" s="862">
        <f t="shared" si="38"/>
        <v>3.2597430278096293E-2</v>
      </c>
      <c r="L71" s="862">
        <f t="shared" si="38"/>
        <v>2.1377381268401975E-2</v>
      </c>
      <c r="M71" s="862">
        <f t="shared" si="37"/>
        <v>0.21840363347242187</v>
      </c>
      <c r="N71" s="548">
        <f t="shared" si="37"/>
        <v>1</v>
      </c>
    </row>
    <row r="72" spans="1:16" ht="14.5">
      <c r="A72" s="100"/>
      <c r="B72" s="546" t="s">
        <v>276</v>
      </c>
      <c r="C72" s="553">
        <f>+C15+C20+C25+C30+C66</f>
        <v>63614468.560269535</v>
      </c>
      <c r="D72" s="553">
        <f t="shared" ref="D72:M72" si="39">+D15+D20+D25+D30+D66</f>
        <v>33808448.1984514</v>
      </c>
      <c r="E72" s="553">
        <f t="shared" si="39"/>
        <v>40234528.111251265</v>
      </c>
      <c r="F72" s="553">
        <f t="shared" si="39"/>
        <v>38202939.192109764</v>
      </c>
      <c r="G72" s="553">
        <f t="shared" si="39"/>
        <v>22226619.576442875</v>
      </c>
      <c r="H72" s="553">
        <f t="shared" si="39"/>
        <v>21174579.590999529</v>
      </c>
      <c r="I72" s="553">
        <f t="shared" si="39"/>
        <v>12892713.889708411</v>
      </c>
      <c r="J72" s="553">
        <f t="shared" ref="J72:L72" si="40">+J15+J20+J25+J30+J66</f>
        <v>14297719.182510443</v>
      </c>
      <c r="K72" s="553">
        <f t="shared" si="40"/>
        <v>10622049.932048857</v>
      </c>
      <c r="L72" s="553">
        <f t="shared" si="40"/>
        <v>6174534.1605113372</v>
      </c>
      <c r="M72" s="553">
        <f t="shared" si="39"/>
        <v>57276853.113244489</v>
      </c>
      <c r="N72" s="553">
        <f>SUM(C72:M72)</f>
        <v>320525453.50754791</v>
      </c>
    </row>
    <row r="73" spans="1:16" ht="14.5">
      <c r="A73" s="100"/>
      <c r="B73" s="546" t="s">
        <v>306</v>
      </c>
      <c r="C73" s="553">
        <f t="shared" ref="C73:M73" si="41">+C67+C31+C26+C21+C16</f>
        <v>15247916.028384041</v>
      </c>
      <c r="D73" s="553">
        <f t="shared" si="41"/>
        <v>11299959.452965939</v>
      </c>
      <c r="E73" s="553">
        <f t="shared" si="41"/>
        <v>9929960.53054877</v>
      </c>
      <c r="F73" s="553">
        <f t="shared" si="41"/>
        <v>7941054.2162895426</v>
      </c>
      <c r="G73" s="553">
        <f t="shared" si="41"/>
        <v>6742498.9979900718</v>
      </c>
      <c r="H73" s="553">
        <f t="shared" si="41"/>
        <v>6169696.1948975502</v>
      </c>
      <c r="I73" s="553">
        <f t="shared" si="41"/>
        <v>5224948.3442236595</v>
      </c>
      <c r="J73" s="553">
        <f t="shared" ref="J73:L73" si="42">+J67+J31+J26+J21+J16</f>
        <v>4354903.0484507577</v>
      </c>
      <c r="K73" s="553">
        <f t="shared" si="42"/>
        <v>3416603.7416816745</v>
      </c>
      <c r="L73" s="553">
        <f t="shared" si="42"/>
        <v>3032009.1012759898</v>
      </c>
      <c r="M73" s="553">
        <f t="shared" si="41"/>
        <v>36782492.830474265</v>
      </c>
      <c r="N73" s="553">
        <f>SUM(C73:M73)</f>
        <v>110142042.48718226</v>
      </c>
    </row>
    <row r="74" spans="1:16" ht="9.75" customHeight="1" thickBot="1">
      <c r="A74" s="100"/>
      <c r="B74" s="547"/>
      <c r="C74" s="564"/>
      <c r="D74" s="564"/>
      <c r="E74" s="564"/>
      <c r="F74" s="564"/>
      <c r="G74" s="564"/>
      <c r="H74" s="564"/>
      <c r="I74" s="564"/>
      <c r="J74" s="564"/>
      <c r="K74" s="564"/>
      <c r="L74" s="564"/>
      <c r="M74" s="564"/>
      <c r="N74" s="564"/>
    </row>
    <row r="75" spans="1:16" ht="13.5" thickTop="1">
      <c r="A75" s="100"/>
      <c r="B75" s="111"/>
      <c r="C75" s="111"/>
      <c r="D75" s="111"/>
      <c r="E75" s="111"/>
      <c r="F75" s="111"/>
      <c r="G75" s="111"/>
      <c r="H75" s="111"/>
      <c r="I75" s="111"/>
      <c r="J75" s="111"/>
      <c r="K75" s="111"/>
      <c r="L75" s="111"/>
      <c r="M75" s="111"/>
      <c r="N75" s="111"/>
    </row>
    <row r="76" spans="1:16" ht="14.5">
      <c r="A76" s="100"/>
      <c r="B76" s="457" t="s">
        <v>370</v>
      </c>
      <c r="C76" s="113"/>
      <c r="D76" s="113"/>
      <c r="E76" s="113"/>
      <c r="F76" s="113"/>
      <c r="G76" s="113"/>
      <c r="H76" s="113"/>
      <c r="I76" s="113"/>
      <c r="J76" s="113"/>
      <c r="K76" s="113"/>
      <c r="L76" s="113"/>
      <c r="M76" s="113"/>
      <c r="N76" s="114"/>
    </row>
    <row r="77" spans="1:16" ht="14.5">
      <c r="A77" s="100"/>
      <c r="B77" s="457" t="s">
        <v>912</v>
      </c>
      <c r="C77" s="113"/>
      <c r="D77" s="113"/>
      <c r="E77" s="113"/>
      <c r="F77" s="113"/>
      <c r="G77" s="113"/>
      <c r="H77" s="113"/>
      <c r="I77" s="113"/>
      <c r="J77" s="113"/>
      <c r="K77" s="113"/>
      <c r="L77" s="113"/>
      <c r="M77" s="113"/>
      <c r="N77" s="114"/>
    </row>
    <row r="78" spans="1:16" ht="14.5">
      <c r="A78" s="100"/>
      <c r="B78" s="457" t="s">
        <v>798</v>
      </c>
      <c r="C78" s="113"/>
      <c r="D78" s="113"/>
      <c r="E78" s="113"/>
      <c r="F78" s="113"/>
      <c r="G78" s="113"/>
      <c r="H78" s="113"/>
      <c r="I78" s="113"/>
      <c r="J78" s="113"/>
      <c r="K78" s="113"/>
      <c r="L78" s="113"/>
      <c r="M78" s="113"/>
      <c r="N78" s="113"/>
      <c r="O78" s="113"/>
      <c r="P78" s="113"/>
    </row>
    <row r="79" spans="1:16" ht="14.5">
      <c r="A79" s="100"/>
      <c r="B79" s="24"/>
      <c r="C79" s="113"/>
      <c r="D79" s="113"/>
      <c r="E79" s="113"/>
      <c r="F79" s="113"/>
      <c r="G79" s="113"/>
      <c r="H79" s="113"/>
      <c r="I79" s="113"/>
      <c r="J79" s="113"/>
      <c r="K79" s="113"/>
      <c r="L79" s="113"/>
      <c r="M79" s="113"/>
      <c r="N79" s="113"/>
      <c r="O79" s="113"/>
      <c r="P79" s="113"/>
    </row>
    <row r="80" spans="1:16" ht="14.5">
      <c r="C80" s="100"/>
      <c r="D80" s="979"/>
      <c r="M80" s="113"/>
      <c r="N80" s="113"/>
      <c r="O80" s="113"/>
      <c r="P80" s="113"/>
    </row>
    <row r="81" spans="1:16" ht="14.5">
      <c r="A81" s="100"/>
      <c r="C81" s="100"/>
      <c r="D81" s="115"/>
      <c r="E81" s="115"/>
      <c r="F81" s="115"/>
      <c r="G81" s="793"/>
      <c r="H81" s="793"/>
      <c r="I81" s="115"/>
      <c r="J81" s="115"/>
      <c r="K81" s="115"/>
      <c r="L81" s="115"/>
      <c r="M81" s="113"/>
      <c r="N81" s="113"/>
      <c r="O81" s="113"/>
      <c r="P81" s="113"/>
    </row>
    <row r="82" spans="1:16" ht="14.5">
      <c r="C82" s="1052"/>
      <c r="D82" s="1052"/>
      <c r="E82" s="1052"/>
      <c r="F82" s="1052"/>
      <c r="G82" s="1052"/>
      <c r="H82" s="1052"/>
      <c r="I82" s="1052"/>
      <c r="J82" s="1052"/>
      <c r="K82" s="1052"/>
      <c r="L82" s="1052"/>
      <c r="M82" s="113"/>
      <c r="N82" s="113"/>
      <c r="O82" s="113"/>
      <c r="P82" s="113"/>
    </row>
    <row r="83" spans="1:16" ht="14.5">
      <c r="C83" s="1052"/>
      <c r="D83" s="1052"/>
      <c r="E83" s="1052"/>
      <c r="F83" s="1052"/>
      <c r="G83" s="1052"/>
      <c r="H83" s="1052"/>
      <c r="I83" s="1052"/>
      <c r="J83" s="1052"/>
      <c r="K83" s="1052"/>
      <c r="L83" s="1052"/>
      <c r="M83" s="113"/>
      <c r="N83" s="113"/>
      <c r="O83" s="113"/>
      <c r="P83" s="113"/>
    </row>
    <row r="84" spans="1:16" ht="14.5">
      <c r="C84" s="979"/>
      <c r="M84" s="113"/>
      <c r="N84" s="113"/>
      <c r="O84" s="113"/>
      <c r="P84" s="113"/>
    </row>
    <row r="85" spans="1:16" ht="14.5">
      <c r="M85" s="113"/>
      <c r="N85" s="113"/>
      <c r="O85" s="113"/>
      <c r="P85" s="113"/>
    </row>
    <row r="86" spans="1:16" ht="14.5">
      <c r="M86" s="113"/>
      <c r="N86" s="113"/>
      <c r="O86" s="113"/>
      <c r="P86" s="113"/>
    </row>
    <row r="87" spans="1:16" ht="14.5">
      <c r="M87" s="113"/>
      <c r="N87" s="113"/>
      <c r="O87" s="113"/>
      <c r="P87" s="113"/>
    </row>
    <row r="88" spans="1:16" ht="14.5">
      <c r="M88" s="113"/>
      <c r="N88" s="113"/>
      <c r="O88" s="113"/>
      <c r="P88" s="113"/>
    </row>
    <row r="89" spans="1:16" ht="14.5">
      <c r="M89" s="113"/>
      <c r="N89" s="113"/>
      <c r="O89" s="113"/>
      <c r="P89" s="113"/>
    </row>
    <row r="90" spans="1:16" ht="14.5">
      <c r="M90" s="113"/>
      <c r="N90" s="113"/>
      <c r="O90" s="113"/>
      <c r="P90" s="113"/>
    </row>
    <row r="91" spans="1:16" ht="14.5">
      <c r="M91" s="113"/>
      <c r="N91" s="113"/>
      <c r="O91" s="113"/>
      <c r="P91" s="113"/>
    </row>
    <row r="92" spans="1:16" ht="14.5">
      <c r="M92" s="113"/>
      <c r="N92" s="113"/>
      <c r="O92" s="113"/>
      <c r="P92" s="113"/>
    </row>
    <row r="93" spans="1:16" ht="14.5">
      <c r="M93" s="113"/>
      <c r="N93" s="113"/>
      <c r="O93" s="113"/>
      <c r="P93" s="113"/>
    </row>
    <row r="94" spans="1:16" ht="14.5">
      <c r="M94" s="113"/>
      <c r="N94" s="113"/>
      <c r="O94" s="113"/>
      <c r="P94" s="113"/>
    </row>
    <row r="95" spans="1:16" ht="14.5">
      <c r="M95" s="113"/>
      <c r="N95" s="113"/>
      <c r="O95" s="113"/>
      <c r="P95" s="113"/>
    </row>
    <row r="96" spans="1:16" ht="14.5">
      <c r="M96" s="113"/>
      <c r="N96" s="113"/>
      <c r="O96" s="113"/>
      <c r="P96" s="113"/>
    </row>
    <row r="97" spans="13:16" ht="14.5">
      <c r="M97" s="113"/>
      <c r="N97" s="113"/>
      <c r="O97" s="113"/>
      <c r="P97" s="113"/>
    </row>
    <row r="98" spans="13:16" ht="14.5">
      <c r="M98" s="113"/>
      <c r="N98" s="113"/>
      <c r="O98" s="113"/>
      <c r="P98" s="113"/>
    </row>
    <row r="99" spans="13:16" ht="14.5">
      <c r="M99" s="113"/>
      <c r="N99" s="113"/>
      <c r="O99" s="113"/>
      <c r="P99" s="113"/>
    </row>
    <row r="100" spans="13:16" ht="14.5">
      <c r="M100" s="113"/>
      <c r="N100" s="113"/>
      <c r="O100" s="113"/>
      <c r="P100" s="113"/>
    </row>
    <row r="101" spans="13:16" ht="14.5">
      <c r="M101" s="113"/>
      <c r="N101" s="113"/>
      <c r="O101" s="113"/>
      <c r="P101" s="113"/>
    </row>
    <row r="102" spans="13:16" ht="14.5">
      <c r="M102" s="113"/>
      <c r="N102" s="113"/>
      <c r="O102" s="113"/>
      <c r="P102" s="113"/>
    </row>
    <row r="103" spans="13:16" ht="14.5">
      <c r="M103" s="113"/>
      <c r="N103" s="113"/>
      <c r="O103" s="113"/>
      <c r="P103" s="113"/>
    </row>
    <row r="104" spans="13:16" ht="14.5">
      <c r="M104" s="113"/>
      <c r="N104" s="113"/>
      <c r="O104" s="113"/>
      <c r="P104" s="113"/>
    </row>
    <row r="105" spans="13:16" ht="14.5">
      <c r="M105" s="113"/>
      <c r="N105" s="113"/>
      <c r="O105" s="113"/>
      <c r="P105" s="113"/>
    </row>
    <row r="106" spans="13:16" ht="14.5">
      <c r="M106" s="113"/>
      <c r="N106" s="113"/>
      <c r="O106" s="113"/>
      <c r="P106" s="113"/>
    </row>
    <row r="107" spans="13:16" ht="14.5">
      <c r="M107" s="113"/>
      <c r="N107" s="113"/>
      <c r="O107" s="113"/>
      <c r="P107" s="113"/>
    </row>
    <row r="108" spans="13:16" ht="14.5">
      <c r="M108" s="113"/>
      <c r="N108" s="113"/>
      <c r="O108" s="113"/>
      <c r="P108" s="113"/>
    </row>
    <row r="109" spans="13:16" ht="14.5">
      <c r="M109" s="113"/>
      <c r="N109" s="113"/>
      <c r="O109" s="113"/>
      <c r="P109" s="113"/>
    </row>
    <row r="110" spans="13:16" ht="14.5">
      <c r="M110" s="113"/>
      <c r="N110" s="113"/>
      <c r="O110" s="113"/>
      <c r="P110" s="113"/>
    </row>
    <row r="111" spans="13:16" ht="14.5">
      <c r="M111" s="113"/>
      <c r="N111" s="113"/>
      <c r="O111" s="113"/>
      <c r="P111" s="113"/>
    </row>
    <row r="112" spans="13:16" ht="14.5">
      <c r="M112" s="113"/>
      <c r="N112" s="113"/>
      <c r="O112" s="113"/>
      <c r="P112" s="113"/>
    </row>
    <row r="113" spans="13:16" ht="14.5">
      <c r="M113" s="113"/>
      <c r="N113" s="113"/>
      <c r="O113" s="113"/>
      <c r="P113" s="113"/>
    </row>
    <row r="114" spans="13:16" ht="14.5">
      <c r="M114" s="113"/>
      <c r="N114" s="113"/>
      <c r="O114" s="113"/>
      <c r="P114" s="113"/>
    </row>
    <row r="115" spans="13:16" ht="14.5">
      <c r="M115" s="113"/>
      <c r="N115" s="113"/>
      <c r="O115" s="113"/>
      <c r="P115" s="113"/>
    </row>
    <row r="116" spans="13:16" ht="14.5">
      <c r="M116" s="113"/>
      <c r="N116" s="113"/>
      <c r="O116" s="113"/>
      <c r="P116" s="113"/>
    </row>
    <row r="117" spans="13:16" ht="14.5">
      <c r="M117" s="113"/>
      <c r="N117" s="113"/>
      <c r="O117" s="113"/>
      <c r="P117" s="113"/>
    </row>
    <row r="118" spans="13:16" ht="14.5">
      <c r="M118" s="113"/>
      <c r="N118" s="113"/>
      <c r="O118" s="113"/>
      <c r="P118" s="113"/>
    </row>
    <row r="119" spans="13:16" ht="14.5">
      <c r="M119" s="113"/>
      <c r="N119" s="113"/>
      <c r="O119" s="113"/>
      <c r="P119" s="113"/>
    </row>
    <row r="120" spans="13:16" ht="14.5">
      <c r="M120" s="113"/>
      <c r="N120" s="113"/>
      <c r="O120" s="113"/>
      <c r="P120" s="113"/>
    </row>
    <row r="121" spans="13:16" ht="14.5">
      <c r="M121" s="113"/>
      <c r="N121" s="113"/>
      <c r="O121" s="113"/>
      <c r="P121" s="113"/>
    </row>
    <row r="122" spans="13:16" ht="14.5">
      <c r="M122" s="113"/>
      <c r="N122" s="113"/>
      <c r="O122" s="113"/>
      <c r="P122" s="113"/>
    </row>
    <row r="123" spans="13:16" ht="14.5">
      <c r="M123" s="113"/>
      <c r="N123" s="113"/>
      <c r="O123" s="113"/>
      <c r="P123" s="113"/>
    </row>
    <row r="124" spans="13:16" ht="14.5">
      <c r="M124" s="113"/>
      <c r="N124" s="113"/>
      <c r="O124" s="113"/>
      <c r="P124" s="113"/>
    </row>
    <row r="125" spans="13:16" ht="14.5">
      <c r="M125" s="113"/>
      <c r="N125" s="113"/>
      <c r="O125" s="113"/>
      <c r="P125" s="113"/>
    </row>
    <row r="126" spans="13:16" ht="14.5">
      <c r="M126" s="113"/>
      <c r="N126" s="113"/>
      <c r="O126" s="113"/>
      <c r="P126" s="113"/>
    </row>
    <row r="127" spans="13:16" ht="14.5">
      <c r="M127" s="113"/>
      <c r="N127" s="113"/>
      <c r="O127" s="113"/>
      <c r="P127" s="113"/>
    </row>
    <row r="128" spans="13:16" ht="14.5">
      <c r="M128" s="113"/>
      <c r="N128" s="113"/>
      <c r="O128" s="113"/>
      <c r="P128" s="113"/>
    </row>
    <row r="129" spans="13:16" ht="14.5">
      <c r="M129" s="113"/>
      <c r="N129" s="113"/>
      <c r="O129" s="113"/>
      <c r="P129" s="113"/>
    </row>
    <row r="130" spans="13:16" ht="14.5">
      <c r="M130" s="113"/>
      <c r="N130" s="113"/>
      <c r="O130" s="113"/>
      <c r="P130" s="113"/>
    </row>
    <row r="131" spans="13:16" ht="14.5">
      <c r="M131" s="113"/>
      <c r="N131" s="113"/>
      <c r="O131" s="113"/>
      <c r="P131" s="113"/>
    </row>
    <row r="132" spans="13:16" ht="14.5">
      <c r="M132" s="113"/>
      <c r="N132" s="113"/>
      <c r="O132" s="113"/>
      <c r="P132" s="113"/>
    </row>
    <row r="133" spans="13:16" ht="14.5">
      <c r="M133" s="113"/>
      <c r="N133" s="113"/>
      <c r="O133" s="113"/>
      <c r="P133" s="113"/>
    </row>
    <row r="134" spans="13:16" ht="14.5">
      <c r="M134" s="113"/>
      <c r="N134" s="113"/>
      <c r="O134" s="113"/>
      <c r="P134" s="113"/>
    </row>
    <row r="135" spans="13:16" ht="14.5">
      <c r="M135" s="113"/>
      <c r="N135" s="113"/>
      <c r="O135" s="113"/>
      <c r="P135" s="113"/>
    </row>
    <row r="136" spans="13:16" ht="14.5">
      <c r="M136" s="113"/>
      <c r="N136" s="113"/>
      <c r="O136" s="113"/>
      <c r="P136" s="113"/>
    </row>
    <row r="137" spans="13:16" ht="14.5">
      <c r="M137" s="113"/>
      <c r="N137" s="113"/>
      <c r="O137" s="113"/>
      <c r="P137" s="113"/>
    </row>
    <row r="138" spans="13:16" ht="14.5">
      <c r="M138" s="113"/>
      <c r="N138" s="113"/>
      <c r="O138" s="113"/>
      <c r="P138" s="113"/>
    </row>
    <row r="139" spans="13:16" ht="14.5">
      <c r="M139" s="113"/>
      <c r="N139" s="113"/>
      <c r="O139" s="113"/>
      <c r="P139" s="113"/>
    </row>
    <row r="140" spans="13:16" ht="14.5">
      <c r="M140" s="113"/>
      <c r="N140" s="113"/>
      <c r="O140" s="113"/>
      <c r="P140" s="113"/>
    </row>
    <row r="141" spans="13:16" ht="14.5">
      <c r="M141" s="113"/>
      <c r="N141" s="113"/>
      <c r="O141" s="113"/>
      <c r="P141" s="113"/>
    </row>
    <row r="142" spans="13:16" ht="14.5">
      <c r="M142" s="113"/>
      <c r="N142" s="113"/>
      <c r="O142" s="113"/>
      <c r="P142" s="113"/>
    </row>
    <row r="143" spans="13:16" ht="14.5">
      <c r="M143" s="113"/>
      <c r="N143" s="113"/>
      <c r="O143" s="113"/>
      <c r="P143" s="113"/>
    </row>
    <row r="144" spans="13:16" ht="14.5">
      <c r="M144" s="113"/>
      <c r="N144" s="113"/>
      <c r="O144" s="113"/>
      <c r="P144" s="113"/>
    </row>
    <row r="145" spans="13:16" ht="14.5">
      <c r="M145" s="113"/>
      <c r="N145" s="113"/>
      <c r="O145" s="113"/>
      <c r="P145" s="113"/>
    </row>
    <row r="146" spans="13:16" ht="14.5">
      <c r="M146" s="113"/>
      <c r="N146" s="113"/>
      <c r="O146" s="113"/>
      <c r="P146" s="113"/>
    </row>
    <row r="147" spans="13:16" ht="14.5">
      <c r="M147" s="113"/>
      <c r="N147" s="113"/>
      <c r="O147" s="113"/>
      <c r="P147" s="113"/>
    </row>
    <row r="148" spans="13:16" ht="14.5">
      <c r="M148" s="113"/>
      <c r="N148" s="113"/>
      <c r="O148" s="113"/>
      <c r="P148" s="113"/>
    </row>
    <row r="149" spans="13:16" ht="14.5">
      <c r="M149" s="113"/>
      <c r="N149" s="113"/>
      <c r="O149" s="113"/>
      <c r="P149" s="113"/>
    </row>
    <row r="150" spans="13:16" ht="14.5">
      <c r="M150" s="113"/>
      <c r="N150" s="113"/>
      <c r="O150" s="113"/>
      <c r="P150" s="113"/>
    </row>
    <row r="151" spans="13:16" ht="14.5">
      <c r="M151" s="113"/>
      <c r="N151" s="113"/>
      <c r="O151" s="113"/>
      <c r="P151" s="113"/>
    </row>
    <row r="152" spans="13:16" ht="14.5">
      <c r="M152" s="113"/>
      <c r="N152" s="113"/>
      <c r="O152" s="113"/>
      <c r="P152" s="113"/>
    </row>
    <row r="153" spans="13:16" ht="14.5">
      <c r="M153" s="113"/>
      <c r="N153" s="113"/>
      <c r="O153" s="113"/>
      <c r="P153" s="113"/>
    </row>
    <row r="154" spans="13:16" ht="14.5">
      <c r="M154" s="113"/>
      <c r="N154" s="113"/>
      <c r="O154" s="113"/>
      <c r="P154" s="113"/>
    </row>
    <row r="155" spans="13:16" ht="14.5">
      <c r="M155" s="113"/>
      <c r="N155" s="113"/>
      <c r="O155" s="113"/>
      <c r="P155" s="113"/>
    </row>
    <row r="156" spans="13:16" ht="14.5">
      <c r="M156" s="113"/>
      <c r="N156" s="113"/>
      <c r="O156" s="113"/>
      <c r="P156" s="113"/>
    </row>
    <row r="157" spans="13:16" ht="14.5">
      <c r="M157" s="113"/>
      <c r="N157" s="113"/>
      <c r="O157" s="113"/>
      <c r="P157" s="113"/>
    </row>
    <row r="158" spans="13:16" ht="14.5">
      <c r="M158" s="113"/>
      <c r="N158" s="113"/>
      <c r="O158" s="113"/>
      <c r="P158" s="113"/>
    </row>
    <row r="159" spans="13:16" ht="14.5">
      <c r="M159" s="113"/>
      <c r="N159" s="113"/>
      <c r="O159" s="113"/>
      <c r="P159" s="113"/>
    </row>
    <row r="160" spans="13:16" ht="14.5">
      <c r="M160" s="113"/>
      <c r="N160" s="113"/>
      <c r="O160" s="113"/>
      <c r="P160" s="113"/>
    </row>
    <row r="161" spans="13:16" ht="14.5">
      <c r="M161" s="113"/>
      <c r="N161" s="113"/>
      <c r="O161" s="113"/>
      <c r="P161" s="113"/>
    </row>
    <row r="162" spans="13:16" ht="14.5">
      <c r="M162" s="113"/>
      <c r="N162" s="113"/>
      <c r="O162" s="113"/>
      <c r="P162" s="113"/>
    </row>
    <row r="163" spans="13:16" ht="14.5">
      <c r="M163" s="113"/>
      <c r="N163" s="113"/>
      <c r="O163" s="113"/>
      <c r="P163" s="113"/>
    </row>
    <row r="164" spans="13:16" ht="14.5">
      <c r="M164" s="113"/>
      <c r="N164" s="113"/>
      <c r="O164" s="113"/>
      <c r="P164" s="113"/>
    </row>
    <row r="165" spans="13:16" ht="14.5">
      <c r="M165" s="113"/>
      <c r="N165" s="113"/>
      <c r="O165" s="113"/>
      <c r="P165" s="113"/>
    </row>
    <row r="166" spans="13:16" ht="14.5">
      <c r="M166" s="113"/>
      <c r="N166" s="113"/>
      <c r="O166" s="113"/>
      <c r="P166" s="113"/>
    </row>
    <row r="167" spans="13:16" ht="14.5">
      <c r="M167" s="113"/>
      <c r="N167" s="113"/>
      <c r="O167" s="113"/>
      <c r="P167" s="113"/>
    </row>
    <row r="168" spans="13:16" ht="14.5">
      <c r="M168" s="113"/>
      <c r="N168" s="113"/>
      <c r="O168" s="113"/>
      <c r="P168" s="113"/>
    </row>
    <row r="169" spans="13:16" ht="14.5">
      <c r="M169" s="113"/>
      <c r="N169" s="113"/>
      <c r="O169" s="113"/>
      <c r="P169" s="113"/>
    </row>
    <row r="170" spans="13:16" ht="14.5">
      <c r="M170" s="113"/>
      <c r="N170" s="113"/>
      <c r="O170" s="113"/>
      <c r="P170" s="113"/>
    </row>
    <row r="171" spans="13:16" ht="14.5">
      <c r="M171" s="113"/>
      <c r="N171" s="113"/>
      <c r="O171" s="113"/>
      <c r="P171" s="113"/>
    </row>
    <row r="172" spans="13:16" ht="14.5">
      <c r="M172" s="113"/>
      <c r="N172" s="113"/>
      <c r="O172" s="113"/>
      <c r="P172" s="113"/>
    </row>
    <row r="173" spans="13:16" ht="14.5">
      <c r="M173" s="113"/>
      <c r="N173" s="113"/>
      <c r="O173" s="113"/>
      <c r="P173" s="113"/>
    </row>
    <row r="174" spans="13:16" ht="14.5">
      <c r="M174" s="113"/>
      <c r="N174" s="113"/>
      <c r="O174" s="113"/>
      <c r="P174" s="113"/>
    </row>
    <row r="175" spans="13:16" ht="14.5">
      <c r="M175" s="113"/>
      <c r="N175" s="113"/>
      <c r="O175" s="113"/>
      <c r="P175" s="113"/>
    </row>
    <row r="176" spans="13:16" ht="14.5">
      <c r="M176" s="113"/>
      <c r="N176" s="113"/>
      <c r="O176" s="113"/>
      <c r="P176" s="113"/>
    </row>
    <row r="177" spans="13:16" ht="14.5">
      <c r="M177" s="113"/>
      <c r="N177" s="113"/>
      <c r="O177" s="113"/>
      <c r="P177" s="113"/>
    </row>
    <row r="178" spans="13:16" ht="14.5">
      <c r="M178" s="113"/>
      <c r="N178" s="113"/>
      <c r="O178" s="113"/>
      <c r="P178" s="113"/>
    </row>
    <row r="179" spans="13:16" ht="14.5">
      <c r="M179" s="113"/>
      <c r="N179" s="113"/>
      <c r="O179" s="113"/>
      <c r="P179" s="113"/>
    </row>
    <row r="180" spans="13:16" ht="14.5">
      <c r="M180" s="113"/>
      <c r="N180" s="113"/>
      <c r="O180" s="113"/>
      <c r="P180" s="113"/>
    </row>
    <row r="181" spans="13:16" ht="14.5">
      <c r="M181" s="113"/>
      <c r="N181" s="113"/>
      <c r="O181" s="113"/>
      <c r="P181" s="113"/>
    </row>
    <row r="182" spans="13:16" ht="14.5">
      <c r="M182" s="113"/>
      <c r="N182" s="113"/>
      <c r="O182" s="113"/>
      <c r="P182" s="113"/>
    </row>
    <row r="183" spans="13:16" ht="14.5">
      <c r="M183" s="113"/>
      <c r="N183" s="113"/>
      <c r="O183" s="113"/>
      <c r="P183" s="113"/>
    </row>
    <row r="184" spans="13:16" ht="14.5">
      <c r="M184" s="113"/>
      <c r="N184" s="113"/>
      <c r="O184" s="113"/>
      <c r="P184" s="113"/>
    </row>
    <row r="185" spans="13:16" ht="14.5">
      <c r="M185" s="113"/>
      <c r="N185" s="113"/>
      <c r="O185" s="113"/>
      <c r="P185" s="113"/>
    </row>
    <row r="186" spans="13:16" ht="14.5">
      <c r="M186" s="113"/>
      <c r="N186" s="113"/>
      <c r="O186" s="113"/>
      <c r="P186" s="113"/>
    </row>
    <row r="187" spans="13:16" ht="14.5">
      <c r="M187" s="113"/>
      <c r="N187" s="113"/>
      <c r="O187" s="113"/>
      <c r="P187" s="113"/>
    </row>
    <row r="188" spans="13:16" ht="14.5">
      <c r="M188" s="113"/>
      <c r="N188" s="113"/>
      <c r="O188" s="113"/>
      <c r="P188" s="113"/>
    </row>
    <row r="189" spans="13:16" ht="14.5">
      <c r="M189" s="113"/>
      <c r="N189" s="113"/>
      <c r="O189" s="113"/>
      <c r="P189" s="113"/>
    </row>
    <row r="190" spans="13:16" ht="14.5">
      <c r="M190" s="113"/>
      <c r="N190" s="113"/>
      <c r="O190" s="113"/>
      <c r="P190" s="113"/>
    </row>
    <row r="191" spans="13:16" ht="14.5">
      <c r="M191" s="113"/>
      <c r="N191" s="113"/>
      <c r="O191" s="113"/>
      <c r="P191" s="113"/>
    </row>
    <row r="192" spans="13:16" ht="14.5">
      <c r="M192" s="113"/>
      <c r="N192" s="113"/>
      <c r="O192" s="113"/>
      <c r="P192" s="113"/>
    </row>
    <row r="193" spans="13:16" ht="14.5">
      <c r="M193" s="113"/>
      <c r="N193" s="113"/>
      <c r="O193" s="113"/>
      <c r="P193" s="113"/>
    </row>
    <row r="194" spans="13:16" ht="14.5">
      <c r="M194" s="113"/>
      <c r="N194" s="113"/>
      <c r="O194" s="113"/>
      <c r="P194" s="113"/>
    </row>
    <row r="195" spans="13:16" ht="14.5">
      <c r="M195" s="113"/>
      <c r="N195" s="113"/>
      <c r="O195" s="113"/>
      <c r="P195" s="113"/>
    </row>
    <row r="196" spans="13:16" ht="14.5">
      <c r="M196" s="113"/>
      <c r="N196" s="113"/>
      <c r="O196" s="113"/>
      <c r="P196" s="113"/>
    </row>
    <row r="197" spans="13:16" ht="14.5">
      <c r="M197" s="113"/>
      <c r="N197" s="113"/>
      <c r="O197" s="113"/>
      <c r="P197" s="113"/>
    </row>
    <row r="198" spans="13:16" ht="14.5">
      <c r="M198" s="113"/>
      <c r="N198" s="113"/>
      <c r="O198" s="113"/>
      <c r="P198" s="113"/>
    </row>
    <row r="199" spans="13:16" ht="14.5">
      <c r="M199" s="113"/>
      <c r="N199" s="113"/>
      <c r="O199" s="113"/>
      <c r="P199" s="113"/>
    </row>
    <row r="200" spans="13:16" ht="14.5">
      <c r="M200" s="113"/>
      <c r="N200" s="113"/>
      <c r="O200" s="113"/>
      <c r="P200" s="113"/>
    </row>
    <row r="201" spans="13:16" ht="14.5">
      <c r="M201" s="113"/>
      <c r="N201" s="113"/>
      <c r="O201" s="113"/>
      <c r="P201" s="113"/>
    </row>
    <row r="202" spans="13:16" ht="14.5">
      <c r="M202" s="113"/>
      <c r="N202" s="113"/>
      <c r="O202" s="113"/>
      <c r="P202" s="113"/>
    </row>
    <row r="203" spans="13:16" ht="14.5">
      <c r="M203" s="113"/>
      <c r="N203" s="113"/>
      <c r="O203" s="113"/>
      <c r="P203" s="113"/>
    </row>
    <row r="204" spans="13:16" ht="14.5">
      <c r="M204" s="113"/>
      <c r="N204" s="113"/>
      <c r="O204" s="113"/>
      <c r="P204" s="113"/>
    </row>
    <row r="205" spans="13:16" ht="14.5">
      <c r="M205" s="113"/>
      <c r="N205" s="113"/>
      <c r="O205" s="113"/>
      <c r="P205" s="113"/>
    </row>
    <row r="206" spans="13:16" ht="14.5">
      <c r="M206" s="113"/>
      <c r="N206" s="113"/>
      <c r="O206" s="113"/>
      <c r="P206" s="113"/>
    </row>
    <row r="207" spans="13:16" ht="14.5">
      <c r="M207" s="113"/>
      <c r="N207" s="113"/>
      <c r="O207" s="113"/>
      <c r="P207" s="113"/>
    </row>
    <row r="208" spans="13:16" ht="14.5">
      <c r="M208" s="113"/>
      <c r="N208" s="113"/>
      <c r="O208" s="113"/>
      <c r="P208" s="113"/>
    </row>
    <row r="209" spans="13:16" ht="14.5">
      <c r="M209" s="113"/>
      <c r="N209" s="113"/>
      <c r="O209" s="113"/>
      <c r="P209" s="113"/>
    </row>
    <row r="210" spans="13:16" ht="14.5">
      <c r="M210" s="113"/>
      <c r="N210" s="113"/>
      <c r="O210" s="113"/>
      <c r="P210" s="113"/>
    </row>
    <row r="211" spans="13:16" ht="14.5">
      <c r="M211" s="113"/>
      <c r="N211" s="113"/>
      <c r="O211" s="113"/>
      <c r="P211" s="113"/>
    </row>
    <row r="212" spans="13:16" ht="14.5">
      <c r="M212" s="113"/>
      <c r="N212" s="113"/>
      <c r="O212" s="113"/>
      <c r="P212" s="113"/>
    </row>
    <row r="213" spans="13:16" ht="14.5">
      <c r="M213" s="113"/>
      <c r="N213" s="113"/>
      <c r="O213" s="113"/>
      <c r="P213" s="113"/>
    </row>
    <row r="214" spans="13:16" ht="14.5">
      <c r="M214" s="113"/>
      <c r="N214" s="113"/>
      <c r="O214" s="113"/>
      <c r="P214" s="113"/>
    </row>
    <row r="215" spans="13:16" ht="14.5">
      <c r="M215" s="113"/>
      <c r="N215" s="113"/>
      <c r="O215" s="113"/>
      <c r="P215" s="113"/>
    </row>
    <row r="216" spans="13:16" ht="14.5">
      <c r="M216" s="113"/>
      <c r="N216" s="113"/>
      <c r="O216" s="113"/>
      <c r="P216" s="113"/>
    </row>
    <row r="217" spans="13:16" ht="14.5">
      <c r="M217" s="113"/>
      <c r="N217" s="113"/>
      <c r="O217" s="113"/>
      <c r="P217" s="113"/>
    </row>
    <row r="218" spans="13:16" ht="14.5">
      <c r="M218" s="113"/>
      <c r="N218" s="113"/>
      <c r="O218" s="113"/>
      <c r="P218" s="113"/>
    </row>
    <row r="219" spans="13:16" ht="14.5">
      <c r="M219" s="113"/>
      <c r="N219" s="113"/>
      <c r="O219" s="113"/>
      <c r="P219" s="113"/>
    </row>
    <row r="220" spans="13:16" ht="14.5">
      <c r="M220" s="113"/>
      <c r="N220" s="113"/>
      <c r="O220" s="113"/>
      <c r="P220" s="113"/>
    </row>
    <row r="221" spans="13:16" ht="14.5">
      <c r="M221" s="113"/>
      <c r="N221" s="113"/>
      <c r="O221" s="113"/>
      <c r="P221" s="113"/>
    </row>
    <row r="222" spans="13:16" ht="14.5">
      <c r="M222" s="113"/>
      <c r="N222" s="113"/>
      <c r="O222" s="113"/>
      <c r="P222" s="113"/>
    </row>
    <row r="223" spans="13:16" ht="14.5">
      <c r="M223" s="113"/>
      <c r="N223" s="113"/>
      <c r="O223" s="113"/>
      <c r="P223" s="113"/>
    </row>
    <row r="224" spans="13:16" ht="14.5">
      <c r="M224" s="113"/>
      <c r="N224" s="113"/>
      <c r="O224" s="113"/>
      <c r="P224" s="113"/>
    </row>
    <row r="225" spans="13:16" ht="14.5">
      <c r="M225" s="113"/>
      <c r="N225" s="113"/>
      <c r="O225" s="113"/>
      <c r="P225" s="113"/>
    </row>
    <row r="226" spans="13:16" ht="14.5">
      <c r="M226" s="113"/>
      <c r="N226" s="113"/>
      <c r="O226" s="113"/>
      <c r="P226" s="113"/>
    </row>
    <row r="227" spans="13:16" ht="14.5">
      <c r="M227" s="113"/>
      <c r="N227" s="113"/>
      <c r="O227" s="113"/>
      <c r="P227" s="113"/>
    </row>
    <row r="228" spans="13:16" ht="14.5">
      <c r="M228" s="113"/>
      <c r="N228" s="113"/>
      <c r="O228" s="113"/>
      <c r="P228" s="113"/>
    </row>
    <row r="229" spans="13:16" ht="14.5">
      <c r="M229" s="113"/>
      <c r="N229" s="113"/>
      <c r="O229" s="113"/>
      <c r="P229" s="113"/>
    </row>
    <row r="230" spans="13:16" ht="14.5">
      <c r="M230" s="113"/>
      <c r="N230" s="113"/>
      <c r="O230" s="113"/>
      <c r="P230" s="113"/>
    </row>
    <row r="231" spans="13:16" ht="14.5">
      <c r="M231" s="113"/>
      <c r="N231" s="113"/>
      <c r="O231" s="113"/>
      <c r="P231" s="113"/>
    </row>
    <row r="232" spans="13:16" ht="14.5">
      <c r="M232" s="113"/>
      <c r="N232" s="113"/>
      <c r="O232" s="113"/>
      <c r="P232" s="113"/>
    </row>
    <row r="233" spans="13:16" ht="14.5">
      <c r="M233" s="113"/>
      <c r="N233" s="113"/>
      <c r="O233" s="113"/>
      <c r="P233" s="113"/>
    </row>
    <row r="234" spans="13:16" ht="14.5">
      <c r="M234" s="113"/>
      <c r="N234" s="113"/>
      <c r="O234" s="113"/>
      <c r="P234" s="113"/>
    </row>
    <row r="235" spans="13:16" ht="14.5">
      <c r="M235" s="113"/>
      <c r="N235" s="113"/>
      <c r="O235" s="113"/>
      <c r="P235" s="113"/>
    </row>
    <row r="236" spans="13:16" ht="14.5">
      <c r="M236" s="113"/>
      <c r="N236" s="113"/>
      <c r="O236" s="113"/>
      <c r="P236" s="113"/>
    </row>
    <row r="237" spans="13:16" ht="14.5">
      <c r="M237" s="113"/>
      <c r="N237" s="113"/>
      <c r="O237" s="113"/>
      <c r="P237" s="113"/>
    </row>
    <row r="238" spans="13:16" ht="14.5">
      <c r="M238" s="113"/>
      <c r="N238" s="113"/>
      <c r="O238" s="113"/>
      <c r="P238" s="113"/>
    </row>
    <row r="239" spans="13:16" ht="14.5">
      <c r="M239" s="113"/>
      <c r="N239" s="113"/>
      <c r="O239" s="113"/>
      <c r="P239" s="113"/>
    </row>
    <row r="240" spans="13:16" ht="14.5">
      <c r="M240" s="113"/>
      <c r="N240" s="113"/>
      <c r="O240" s="113"/>
      <c r="P240" s="113"/>
    </row>
    <row r="241" spans="13:16" ht="14.5">
      <c r="M241" s="113"/>
      <c r="N241" s="113"/>
      <c r="O241" s="113"/>
      <c r="P241" s="113"/>
    </row>
    <row r="242" spans="13:16" ht="14.5">
      <c r="M242" s="113"/>
      <c r="N242" s="113"/>
      <c r="O242" s="113"/>
      <c r="P242" s="113"/>
    </row>
    <row r="243" spans="13:16" ht="14.5">
      <c r="M243" s="113"/>
      <c r="N243" s="113"/>
      <c r="O243" s="113"/>
      <c r="P243" s="113"/>
    </row>
    <row r="244" spans="13:16" ht="14.5">
      <c r="M244" s="113"/>
      <c r="N244" s="113"/>
      <c r="O244" s="113"/>
      <c r="P244" s="113"/>
    </row>
    <row r="245" spans="13:16" ht="14.5">
      <c r="M245" s="113"/>
      <c r="N245" s="113"/>
      <c r="O245" s="113"/>
      <c r="P245" s="113"/>
    </row>
    <row r="246" spans="13:16" ht="14.5">
      <c r="M246" s="113"/>
      <c r="N246" s="113"/>
      <c r="O246" s="113"/>
      <c r="P246" s="113"/>
    </row>
    <row r="247" spans="13:16" ht="14.5">
      <c r="M247" s="113"/>
      <c r="N247" s="113"/>
      <c r="O247" s="113"/>
      <c r="P247" s="113"/>
    </row>
    <row r="248" spans="13:16" ht="14.5">
      <c r="M248" s="113"/>
      <c r="N248" s="113"/>
      <c r="O248" s="113"/>
      <c r="P248" s="113"/>
    </row>
    <row r="249" spans="13:16" ht="14.5">
      <c r="M249" s="113"/>
      <c r="N249" s="113"/>
      <c r="O249" s="113"/>
      <c r="P249" s="113"/>
    </row>
    <row r="250" spans="13:16" ht="14.5">
      <c r="M250" s="113"/>
      <c r="N250" s="113"/>
      <c r="O250" s="113"/>
      <c r="P250" s="113"/>
    </row>
    <row r="251" spans="13:16" ht="14.5">
      <c r="M251" s="113"/>
      <c r="N251" s="113"/>
      <c r="O251" s="113"/>
      <c r="P251" s="113"/>
    </row>
    <row r="252" spans="13:16" ht="14.5">
      <c r="M252" s="113"/>
      <c r="N252" s="113"/>
      <c r="O252" s="113"/>
      <c r="P252" s="113"/>
    </row>
    <row r="253" spans="13:16" ht="14.5">
      <c r="M253" s="113"/>
      <c r="N253" s="113"/>
      <c r="O253" s="113"/>
      <c r="P253" s="113"/>
    </row>
    <row r="254" spans="13:16" ht="14.5">
      <c r="M254" s="113"/>
      <c r="N254" s="113"/>
      <c r="O254" s="113"/>
      <c r="P254" s="113"/>
    </row>
    <row r="255" spans="13:16" ht="14.5">
      <c r="M255" s="113"/>
      <c r="N255" s="113"/>
      <c r="O255" s="113"/>
      <c r="P255" s="113"/>
    </row>
    <row r="256" spans="13:16" ht="14.5">
      <c r="M256" s="113"/>
      <c r="N256" s="113"/>
      <c r="O256" s="113"/>
      <c r="P256" s="113"/>
    </row>
    <row r="257" spans="13:16" ht="14.5">
      <c r="M257" s="113"/>
      <c r="N257" s="113"/>
      <c r="O257" s="113"/>
      <c r="P257" s="113"/>
    </row>
    <row r="258" spans="13:16" ht="14.5">
      <c r="M258" s="113"/>
      <c r="N258" s="113"/>
      <c r="O258" s="113"/>
      <c r="P258" s="113"/>
    </row>
    <row r="259" spans="13:16" ht="14.5">
      <c r="M259" s="113"/>
      <c r="N259" s="113"/>
      <c r="O259" s="113"/>
      <c r="P259" s="113"/>
    </row>
    <row r="260" spans="13:16" ht="14.5">
      <c r="M260" s="113"/>
      <c r="N260" s="113"/>
      <c r="O260" s="113"/>
      <c r="P260" s="113"/>
    </row>
    <row r="261" spans="13:16" ht="14.5">
      <c r="M261" s="113"/>
      <c r="N261" s="113"/>
      <c r="O261" s="113"/>
      <c r="P261" s="113"/>
    </row>
    <row r="262" spans="13:16" ht="14.5">
      <c r="M262" s="113"/>
      <c r="N262" s="113"/>
      <c r="O262" s="113"/>
      <c r="P262" s="113"/>
    </row>
    <row r="263" spans="13:16" ht="14.5">
      <c r="M263" s="113"/>
      <c r="N263" s="113"/>
      <c r="O263" s="113"/>
      <c r="P263" s="113"/>
    </row>
    <row r="264" spans="13:16" ht="14.5">
      <c r="M264" s="113"/>
      <c r="N264" s="113"/>
      <c r="O264" s="113"/>
      <c r="P264" s="113"/>
    </row>
    <row r="265" spans="13:16" ht="14.5">
      <c r="M265" s="113"/>
      <c r="N265" s="113"/>
      <c r="O265" s="113"/>
      <c r="P265" s="113"/>
    </row>
    <row r="266" spans="13:16" ht="14.5">
      <c r="M266" s="113"/>
      <c r="N266" s="113"/>
      <c r="O266" s="113"/>
      <c r="P266" s="113"/>
    </row>
    <row r="267" spans="13:16" ht="14.5">
      <c r="M267" s="113"/>
      <c r="N267" s="113"/>
      <c r="O267" s="113"/>
      <c r="P267" s="113"/>
    </row>
    <row r="268" spans="13:16" ht="14.5">
      <c r="M268" s="113"/>
      <c r="N268" s="113"/>
      <c r="O268" s="113"/>
      <c r="P268" s="113"/>
    </row>
    <row r="269" spans="13:16" ht="14.5">
      <c r="M269" s="113"/>
      <c r="N269" s="113"/>
      <c r="O269" s="113"/>
      <c r="P269" s="113"/>
    </row>
    <row r="270" spans="13:16" ht="14.5">
      <c r="M270" s="113"/>
      <c r="N270" s="113"/>
      <c r="O270" s="113"/>
      <c r="P270" s="113"/>
    </row>
    <row r="271" spans="13:16" ht="14.5">
      <c r="M271" s="113"/>
      <c r="N271" s="113"/>
      <c r="O271" s="113"/>
      <c r="P271" s="113"/>
    </row>
    <row r="272" spans="13:16" ht="14.5">
      <c r="M272" s="113"/>
      <c r="N272" s="113"/>
      <c r="O272" s="113"/>
      <c r="P272" s="113"/>
    </row>
    <row r="273" spans="13:16" ht="14.5">
      <c r="M273" s="113"/>
      <c r="N273" s="113"/>
      <c r="O273" s="113"/>
      <c r="P273" s="113"/>
    </row>
    <row r="274" spans="13:16" ht="14.5">
      <c r="M274" s="113"/>
      <c r="N274" s="113"/>
      <c r="O274" s="113"/>
      <c r="P274" s="113"/>
    </row>
    <row r="275" spans="13:16" ht="14.5">
      <c r="M275" s="113"/>
      <c r="N275" s="113"/>
      <c r="O275" s="113"/>
      <c r="P275" s="113"/>
    </row>
    <row r="276" spans="13:16" ht="14.5">
      <c r="M276" s="113"/>
      <c r="N276" s="113"/>
      <c r="O276" s="113"/>
      <c r="P276" s="113"/>
    </row>
    <row r="277" spans="13:16" ht="14.5">
      <c r="M277" s="113"/>
      <c r="N277" s="113"/>
      <c r="O277" s="113"/>
      <c r="P277" s="113"/>
    </row>
    <row r="278" spans="13:16" ht="14.5">
      <c r="M278" s="113"/>
      <c r="N278" s="113"/>
      <c r="O278" s="113"/>
      <c r="P278" s="113"/>
    </row>
    <row r="279" spans="13:16" ht="14.5">
      <c r="M279" s="113"/>
      <c r="N279" s="113"/>
      <c r="O279" s="113"/>
      <c r="P279" s="113"/>
    </row>
    <row r="280" spans="13:16" ht="14.5">
      <c r="M280" s="113"/>
      <c r="N280" s="113"/>
      <c r="O280" s="113"/>
      <c r="P280" s="113"/>
    </row>
    <row r="281" spans="13:16" ht="14.5">
      <c r="M281" s="113"/>
      <c r="N281" s="113"/>
      <c r="O281" s="113"/>
      <c r="P281" s="113"/>
    </row>
    <row r="282" spans="13:16" ht="14.5">
      <c r="M282" s="113"/>
      <c r="N282" s="113"/>
      <c r="O282" s="113"/>
      <c r="P282" s="113"/>
    </row>
    <row r="283" spans="13:16" ht="14.5">
      <c r="M283" s="113"/>
      <c r="N283" s="113"/>
      <c r="O283" s="113"/>
      <c r="P283" s="113"/>
    </row>
    <row r="284" spans="13:16" ht="14.5">
      <c r="M284" s="113"/>
      <c r="N284" s="113"/>
      <c r="O284" s="113"/>
      <c r="P284" s="113"/>
    </row>
    <row r="285" spans="13:16" ht="14.5">
      <c r="M285" s="113"/>
      <c r="N285" s="113"/>
      <c r="O285" s="113"/>
      <c r="P285" s="113"/>
    </row>
    <row r="286" spans="13:16" ht="14.5">
      <c r="M286" s="113"/>
      <c r="N286" s="113"/>
      <c r="O286" s="113"/>
      <c r="P286" s="113"/>
    </row>
    <row r="287" spans="13:16" ht="14.5">
      <c r="M287" s="113"/>
      <c r="N287" s="113"/>
      <c r="O287" s="113"/>
      <c r="P287" s="113"/>
    </row>
    <row r="288" spans="13:16" ht="14.5">
      <c r="M288" s="113"/>
      <c r="N288" s="113"/>
      <c r="O288" s="113"/>
      <c r="P288" s="113"/>
    </row>
    <row r="289" spans="13:16" ht="14.5">
      <c r="M289" s="113"/>
      <c r="N289" s="113"/>
      <c r="O289" s="113"/>
      <c r="P289" s="113"/>
    </row>
    <row r="290" spans="13:16" ht="14.5">
      <c r="M290" s="113"/>
      <c r="N290" s="113"/>
      <c r="O290" s="113"/>
      <c r="P290" s="113"/>
    </row>
    <row r="291" spans="13:16" ht="14.5">
      <c r="M291" s="113"/>
      <c r="N291" s="113"/>
      <c r="O291" s="113"/>
      <c r="P291" s="113"/>
    </row>
    <row r="292" spans="13:16" ht="14.5">
      <c r="M292" s="113"/>
      <c r="N292" s="113"/>
      <c r="O292" s="113"/>
      <c r="P292" s="113"/>
    </row>
    <row r="293" spans="13:16" ht="14.5">
      <c r="M293" s="113"/>
      <c r="N293" s="113"/>
      <c r="O293" s="113"/>
      <c r="P293" s="113"/>
    </row>
    <row r="294" spans="13:16" ht="14.5">
      <c r="M294" s="113"/>
      <c r="N294" s="113"/>
      <c r="O294" s="113"/>
      <c r="P294" s="113"/>
    </row>
    <row r="295" spans="13:16" ht="14.5">
      <c r="M295" s="113"/>
      <c r="N295" s="113"/>
      <c r="O295" s="113"/>
      <c r="P295" s="113"/>
    </row>
    <row r="296" spans="13:16" ht="14.5">
      <c r="M296" s="113"/>
      <c r="N296" s="113"/>
      <c r="O296" s="113"/>
      <c r="P296" s="113"/>
    </row>
    <row r="297" spans="13:16" ht="14.5">
      <c r="M297" s="113"/>
      <c r="N297" s="113"/>
      <c r="O297" s="113"/>
      <c r="P297" s="113"/>
    </row>
    <row r="298" spans="13:16" ht="14.5">
      <c r="M298" s="113"/>
      <c r="N298" s="113"/>
      <c r="O298" s="113"/>
      <c r="P298" s="113"/>
    </row>
    <row r="299" spans="13:16" ht="14.5">
      <c r="M299" s="113"/>
      <c r="N299" s="113"/>
      <c r="O299" s="113"/>
      <c r="P299" s="113"/>
    </row>
    <row r="300" spans="13:16" ht="14.5">
      <c r="M300" s="113"/>
      <c r="N300" s="113"/>
      <c r="O300" s="113"/>
      <c r="P300" s="113"/>
    </row>
    <row r="301" spans="13:16" ht="14.5">
      <c r="M301" s="113"/>
      <c r="N301" s="113"/>
      <c r="O301" s="113"/>
      <c r="P301" s="113"/>
    </row>
    <row r="302" spans="13:16" ht="14.5">
      <c r="M302" s="113"/>
      <c r="N302" s="113"/>
      <c r="O302" s="113"/>
      <c r="P302" s="113"/>
    </row>
    <row r="303" spans="13:16" ht="14.5">
      <c r="M303" s="113"/>
      <c r="N303" s="113"/>
      <c r="O303" s="113"/>
      <c r="P303" s="113"/>
    </row>
    <row r="304" spans="13:16" ht="14.5">
      <c r="M304" s="113"/>
      <c r="N304" s="113"/>
      <c r="O304" s="113"/>
      <c r="P304" s="113"/>
    </row>
    <row r="305" spans="13:16" ht="14.5">
      <c r="M305" s="113"/>
      <c r="N305" s="113"/>
      <c r="O305" s="113"/>
      <c r="P305" s="113"/>
    </row>
    <row r="306" spans="13:16" ht="14.5">
      <c r="M306" s="113"/>
      <c r="N306" s="113"/>
      <c r="O306" s="113"/>
      <c r="P306" s="113"/>
    </row>
    <row r="307" spans="13:16" ht="14.5">
      <c r="M307" s="113"/>
      <c r="N307" s="113"/>
      <c r="O307" s="113"/>
      <c r="P307" s="113"/>
    </row>
    <row r="308" spans="13:16" ht="14.5">
      <c r="M308" s="113"/>
      <c r="N308" s="113"/>
      <c r="O308" s="113"/>
      <c r="P308" s="113"/>
    </row>
    <row r="309" spans="13:16" ht="14.5">
      <c r="M309" s="113"/>
      <c r="N309" s="113"/>
      <c r="O309" s="113"/>
      <c r="P309" s="113"/>
    </row>
    <row r="310" spans="13:16" ht="14.5">
      <c r="M310" s="113"/>
      <c r="N310" s="113"/>
      <c r="O310" s="113"/>
      <c r="P310" s="113"/>
    </row>
    <row r="311" spans="13:16" ht="14.5">
      <c r="M311" s="113"/>
      <c r="N311" s="113"/>
      <c r="O311" s="113"/>
      <c r="P311" s="113"/>
    </row>
    <row r="312" spans="13:16" ht="14.5">
      <c r="M312" s="113"/>
      <c r="N312" s="113"/>
      <c r="O312" s="113"/>
      <c r="P312" s="113"/>
    </row>
    <row r="313" spans="13:16" ht="14.5">
      <c r="M313" s="113"/>
      <c r="N313" s="113"/>
      <c r="O313" s="113"/>
      <c r="P313" s="113"/>
    </row>
    <row r="314" spans="13:16" ht="14.5">
      <c r="M314" s="113"/>
      <c r="N314" s="113"/>
      <c r="O314" s="113"/>
      <c r="P314" s="113"/>
    </row>
    <row r="315" spans="13:16" ht="14.5">
      <c r="M315" s="113"/>
      <c r="N315" s="113"/>
      <c r="O315" s="113"/>
      <c r="P315" s="113"/>
    </row>
    <row r="316" spans="13:16" ht="14.5">
      <c r="M316" s="113"/>
      <c r="N316" s="113"/>
      <c r="O316" s="113"/>
      <c r="P316" s="113"/>
    </row>
    <row r="317" spans="13:16" ht="14.5">
      <c r="M317" s="113"/>
      <c r="N317" s="113"/>
      <c r="O317" s="113"/>
      <c r="P317" s="113"/>
    </row>
    <row r="318" spans="13:16" ht="14.5">
      <c r="M318" s="113"/>
      <c r="N318" s="113"/>
      <c r="O318" s="113"/>
      <c r="P318" s="113"/>
    </row>
    <row r="319" spans="13:16" ht="14.5">
      <c r="M319" s="113"/>
      <c r="N319" s="113"/>
      <c r="O319" s="113"/>
      <c r="P319" s="113"/>
    </row>
    <row r="320" spans="13:16" ht="14.5">
      <c r="M320" s="113"/>
      <c r="N320" s="113"/>
      <c r="O320" s="113"/>
      <c r="P320" s="113"/>
    </row>
    <row r="321" spans="13:16" ht="14.5">
      <c r="M321" s="113"/>
      <c r="N321" s="113"/>
      <c r="O321" s="113"/>
      <c r="P321" s="113"/>
    </row>
    <row r="322" spans="13:16" ht="14.5">
      <c r="M322" s="113"/>
      <c r="N322" s="113"/>
      <c r="O322" s="113"/>
      <c r="P322" s="113"/>
    </row>
    <row r="323" spans="13:16" ht="14.5">
      <c r="M323" s="113"/>
      <c r="N323" s="113"/>
      <c r="O323" s="113"/>
      <c r="P323" s="113"/>
    </row>
    <row r="324" spans="13:16" ht="14.5">
      <c r="M324" s="113"/>
      <c r="N324" s="113"/>
      <c r="O324" s="113"/>
      <c r="P324" s="113"/>
    </row>
    <row r="325" spans="13:16" ht="14.5">
      <c r="M325" s="113"/>
      <c r="N325" s="113"/>
      <c r="O325" s="113"/>
      <c r="P325" s="113"/>
    </row>
    <row r="326" spans="13:16" ht="14.5">
      <c r="M326" s="113"/>
      <c r="N326" s="113"/>
      <c r="O326" s="113"/>
      <c r="P326" s="113"/>
    </row>
    <row r="327" spans="13:16" ht="14.5">
      <c r="M327" s="113"/>
      <c r="N327" s="113"/>
      <c r="O327" s="113"/>
      <c r="P327" s="113"/>
    </row>
    <row r="328" spans="13:16" ht="14.5">
      <c r="M328" s="113"/>
      <c r="N328" s="113"/>
      <c r="O328" s="113"/>
      <c r="P328" s="113"/>
    </row>
    <row r="329" spans="13:16" ht="14.5">
      <c r="M329" s="113"/>
      <c r="N329" s="113"/>
      <c r="O329" s="113"/>
      <c r="P329" s="113"/>
    </row>
    <row r="330" spans="13:16" ht="14.5">
      <c r="M330" s="113"/>
      <c r="N330" s="113"/>
      <c r="O330" s="113"/>
      <c r="P330" s="113"/>
    </row>
    <row r="331" spans="13:16" ht="14.5">
      <c r="M331" s="113"/>
      <c r="N331" s="113"/>
      <c r="O331" s="113"/>
      <c r="P331" s="113"/>
    </row>
    <row r="332" spans="13:16" ht="14.5">
      <c r="M332" s="113"/>
      <c r="N332" s="113"/>
      <c r="O332" s="113"/>
      <c r="P332" s="113"/>
    </row>
    <row r="333" spans="13:16" ht="14.5">
      <c r="M333" s="113"/>
      <c r="N333" s="113"/>
      <c r="O333" s="113"/>
      <c r="P333" s="113"/>
    </row>
    <row r="334" spans="13:16" ht="14.5">
      <c r="M334" s="113"/>
      <c r="N334" s="113"/>
      <c r="O334" s="113"/>
      <c r="P334" s="113"/>
    </row>
    <row r="335" spans="13:16" ht="14.5">
      <c r="M335" s="113"/>
      <c r="N335" s="113"/>
      <c r="O335" s="113"/>
      <c r="P335" s="113"/>
    </row>
    <row r="336" spans="13:16" ht="14.5">
      <c r="M336" s="113"/>
      <c r="N336" s="113"/>
      <c r="O336" s="113"/>
      <c r="P336" s="113"/>
    </row>
    <row r="337" spans="13:16" ht="14.5">
      <c r="M337" s="113"/>
      <c r="N337" s="113"/>
      <c r="O337" s="113"/>
      <c r="P337" s="113"/>
    </row>
    <row r="338" spans="13:16" ht="14.5">
      <c r="M338" s="113"/>
      <c r="N338" s="113"/>
      <c r="O338" s="113"/>
      <c r="P338" s="113"/>
    </row>
    <row r="339" spans="13:16" ht="14.5">
      <c r="M339" s="113"/>
      <c r="N339" s="113"/>
      <c r="O339" s="113"/>
      <c r="P339" s="113"/>
    </row>
    <row r="340" spans="13:16" ht="14.5">
      <c r="M340" s="113"/>
      <c r="N340" s="113"/>
      <c r="O340" s="113"/>
      <c r="P340" s="113"/>
    </row>
    <row r="341" spans="13:16" ht="14.5">
      <c r="M341" s="113"/>
      <c r="N341" s="113"/>
      <c r="O341" s="113"/>
      <c r="P341" s="113"/>
    </row>
    <row r="342" spans="13:16" ht="14.5">
      <c r="M342" s="113"/>
      <c r="N342" s="113"/>
      <c r="O342" s="113"/>
      <c r="P342" s="113"/>
    </row>
    <row r="343" spans="13:16" ht="14.5">
      <c r="M343" s="113"/>
      <c r="N343" s="113"/>
      <c r="O343" s="113"/>
      <c r="P343" s="113"/>
    </row>
    <row r="344" spans="13:16" ht="14.5">
      <c r="M344" s="113"/>
      <c r="N344" s="113"/>
      <c r="O344" s="113"/>
      <c r="P344" s="113"/>
    </row>
    <row r="345" spans="13:16" ht="14.5">
      <c r="M345" s="113"/>
      <c r="N345" s="113"/>
      <c r="O345" s="113"/>
      <c r="P345" s="113"/>
    </row>
    <row r="346" spans="13:16" ht="14.5">
      <c r="M346" s="113"/>
      <c r="N346" s="113"/>
      <c r="O346" s="113"/>
      <c r="P346" s="113"/>
    </row>
    <row r="347" spans="13:16" ht="14.5">
      <c r="M347" s="113"/>
      <c r="N347" s="113"/>
      <c r="O347" s="113"/>
      <c r="P347" s="113"/>
    </row>
    <row r="348" spans="13:16" ht="14.5">
      <c r="M348" s="113"/>
      <c r="N348" s="113"/>
      <c r="O348" s="113"/>
      <c r="P348" s="113"/>
    </row>
    <row r="349" spans="13:16" ht="14.5">
      <c r="M349" s="113"/>
      <c r="N349" s="113"/>
      <c r="O349" s="113"/>
      <c r="P349" s="113"/>
    </row>
    <row r="350" spans="13:16" ht="14.5">
      <c r="M350" s="113"/>
      <c r="N350" s="113"/>
      <c r="O350" s="113"/>
      <c r="P350" s="113"/>
    </row>
    <row r="351" spans="13:16" ht="14.5">
      <c r="M351" s="113"/>
      <c r="N351" s="113"/>
      <c r="O351" s="113"/>
      <c r="P351" s="113"/>
    </row>
    <row r="352" spans="13:16" ht="14.5">
      <c r="M352" s="113"/>
      <c r="N352" s="113"/>
      <c r="O352" s="113"/>
      <c r="P352" s="113"/>
    </row>
    <row r="353" spans="13:16" ht="14.5">
      <c r="M353" s="113"/>
      <c r="N353" s="113"/>
      <c r="O353" s="113"/>
      <c r="P353" s="113"/>
    </row>
    <row r="354" spans="13:16" ht="14.5">
      <c r="M354" s="113"/>
      <c r="N354" s="113"/>
      <c r="O354" s="113"/>
      <c r="P354" s="113"/>
    </row>
    <row r="355" spans="13:16" ht="14.5">
      <c r="M355" s="113"/>
      <c r="N355" s="113"/>
      <c r="O355" s="113"/>
      <c r="P355" s="113"/>
    </row>
    <row r="356" spans="13:16" ht="14.5">
      <c r="M356" s="113"/>
      <c r="N356" s="113"/>
      <c r="O356" s="113"/>
      <c r="P356" s="113"/>
    </row>
    <row r="357" spans="13:16" ht="14.5">
      <c r="M357" s="113"/>
      <c r="N357" s="113"/>
      <c r="O357" s="113"/>
      <c r="P357" s="113"/>
    </row>
    <row r="358" spans="13:16" ht="14.5">
      <c r="M358" s="113"/>
      <c r="N358" s="113"/>
      <c r="O358" s="113"/>
      <c r="P358" s="113"/>
    </row>
    <row r="359" spans="13:16" ht="14.5">
      <c r="M359" s="113"/>
      <c r="N359" s="113"/>
      <c r="O359" s="113"/>
      <c r="P359" s="113"/>
    </row>
    <row r="360" spans="13:16" ht="14.5">
      <c r="M360" s="113"/>
      <c r="N360" s="113"/>
      <c r="O360" s="113"/>
      <c r="P360" s="113"/>
    </row>
    <row r="361" spans="13:16" ht="14.5">
      <c r="M361" s="113"/>
      <c r="N361" s="113"/>
      <c r="O361" s="113"/>
      <c r="P361" s="113"/>
    </row>
    <row r="362" spans="13:16" ht="14.5">
      <c r="M362" s="113"/>
      <c r="N362" s="113"/>
      <c r="O362" s="113"/>
      <c r="P362" s="113"/>
    </row>
    <row r="363" spans="13:16" ht="14.5">
      <c r="M363" s="113"/>
      <c r="N363" s="113"/>
      <c r="O363" s="113"/>
      <c r="P363" s="113"/>
    </row>
    <row r="364" spans="13:16" ht="14.5">
      <c r="M364" s="113"/>
      <c r="N364" s="113"/>
      <c r="O364" s="113"/>
      <c r="P364" s="113"/>
    </row>
    <row r="365" spans="13:16" ht="14.5">
      <c r="M365" s="113"/>
      <c r="N365" s="113"/>
      <c r="O365" s="113"/>
      <c r="P365" s="113"/>
    </row>
    <row r="366" spans="13:16" ht="14.5">
      <c r="M366" s="113"/>
      <c r="N366" s="113"/>
      <c r="O366" s="113"/>
      <c r="P366" s="113"/>
    </row>
    <row r="367" spans="13:16" ht="14.5">
      <c r="M367" s="113"/>
      <c r="N367" s="113"/>
      <c r="O367" s="113"/>
      <c r="P367" s="113"/>
    </row>
    <row r="368" spans="13:16" ht="14.5">
      <c r="M368" s="113"/>
      <c r="N368" s="113"/>
      <c r="O368" s="113"/>
      <c r="P368" s="113"/>
    </row>
    <row r="369" spans="13:16" ht="14.5">
      <c r="M369" s="113"/>
      <c r="N369" s="113"/>
      <c r="O369" s="113"/>
      <c r="P369" s="113"/>
    </row>
    <row r="370" spans="13:16" ht="14.5">
      <c r="M370" s="113"/>
      <c r="N370" s="113"/>
      <c r="O370" s="113"/>
      <c r="P370" s="113"/>
    </row>
    <row r="371" spans="13:16" ht="14.5">
      <c r="M371" s="113"/>
      <c r="N371" s="113"/>
      <c r="O371" s="113"/>
      <c r="P371" s="113"/>
    </row>
    <row r="372" spans="13:16" ht="14.5">
      <c r="M372" s="113"/>
      <c r="N372" s="113"/>
      <c r="O372" s="113"/>
      <c r="P372" s="113"/>
    </row>
    <row r="373" spans="13:16" ht="14.5">
      <c r="M373" s="113"/>
      <c r="N373" s="113"/>
      <c r="O373" s="113"/>
      <c r="P373" s="113"/>
    </row>
    <row r="374" spans="13:16" ht="14.5">
      <c r="M374" s="113"/>
      <c r="N374" s="113"/>
      <c r="O374" s="113"/>
      <c r="P374" s="113"/>
    </row>
    <row r="375" spans="13:16" ht="14.5">
      <c r="M375" s="113"/>
      <c r="N375" s="113"/>
      <c r="O375" s="113"/>
      <c r="P375" s="113"/>
    </row>
    <row r="376" spans="13:16" ht="14.5">
      <c r="M376" s="113"/>
      <c r="N376" s="113"/>
      <c r="O376" s="113"/>
      <c r="P376" s="113"/>
    </row>
    <row r="377" spans="13:16" ht="14.5">
      <c r="M377" s="113"/>
      <c r="N377" s="113"/>
      <c r="O377" s="113"/>
      <c r="P377" s="113"/>
    </row>
    <row r="378" spans="13:16" ht="14.5">
      <c r="M378" s="113"/>
      <c r="N378" s="113"/>
      <c r="O378" s="113"/>
      <c r="P378" s="113"/>
    </row>
    <row r="379" spans="13:16" ht="14.5">
      <c r="M379" s="113"/>
      <c r="N379" s="113"/>
      <c r="O379" s="113"/>
      <c r="P379" s="113"/>
    </row>
    <row r="380" spans="13:16" ht="14.5">
      <c r="M380" s="113"/>
      <c r="N380" s="113"/>
      <c r="O380" s="113"/>
      <c r="P380" s="113"/>
    </row>
    <row r="381" spans="13:16" ht="14.5">
      <c r="M381" s="113"/>
      <c r="N381" s="113"/>
      <c r="O381" s="113"/>
      <c r="P381" s="113"/>
    </row>
    <row r="382" spans="13:16" ht="14.5">
      <c r="M382" s="113"/>
      <c r="N382" s="113"/>
      <c r="O382" s="113"/>
      <c r="P382" s="113"/>
    </row>
    <row r="383" spans="13:16" ht="14.5">
      <c r="M383" s="113"/>
      <c r="N383" s="113"/>
      <c r="O383" s="113"/>
      <c r="P383" s="113"/>
    </row>
    <row r="384" spans="13:16" ht="14.5">
      <c r="M384" s="113"/>
      <c r="N384" s="113"/>
      <c r="O384" s="113"/>
      <c r="P384" s="113"/>
    </row>
    <row r="385" spans="13:16" ht="14.5">
      <c r="M385" s="113"/>
      <c r="N385" s="113"/>
      <c r="O385" s="113"/>
      <c r="P385" s="113"/>
    </row>
    <row r="386" spans="13:16" ht="14.5">
      <c r="M386" s="113"/>
      <c r="N386" s="113"/>
      <c r="O386" s="113"/>
      <c r="P386" s="113"/>
    </row>
    <row r="387" spans="13:16" ht="14.5">
      <c r="M387" s="113"/>
      <c r="N387" s="113"/>
      <c r="O387" s="113"/>
      <c r="P387" s="113"/>
    </row>
    <row r="388" spans="13:16" ht="14.5">
      <c r="M388" s="113"/>
      <c r="N388" s="113"/>
      <c r="O388" s="113"/>
      <c r="P388" s="113"/>
    </row>
    <row r="389" spans="13:16" ht="14.5">
      <c r="M389" s="113"/>
      <c r="N389" s="113"/>
      <c r="O389" s="113"/>
      <c r="P389" s="113"/>
    </row>
    <row r="390" spans="13:16" ht="14.5">
      <c r="M390" s="113"/>
      <c r="N390" s="113"/>
      <c r="O390" s="113"/>
      <c r="P390" s="113"/>
    </row>
    <row r="391" spans="13:16" ht="14.5">
      <c r="M391" s="113"/>
      <c r="N391" s="113"/>
      <c r="O391" s="113"/>
      <c r="P391" s="113"/>
    </row>
    <row r="392" spans="13:16" ht="14.5">
      <c r="M392" s="113"/>
      <c r="N392" s="113"/>
      <c r="O392" s="113"/>
      <c r="P392" s="113"/>
    </row>
    <row r="393" spans="13:16" ht="14.5">
      <c r="M393" s="113"/>
      <c r="N393" s="113"/>
      <c r="O393" s="113"/>
      <c r="P393" s="113"/>
    </row>
    <row r="394" spans="13:16" ht="14.5">
      <c r="M394" s="113"/>
      <c r="N394" s="113"/>
      <c r="O394" s="113"/>
      <c r="P394" s="113"/>
    </row>
    <row r="395" spans="13:16" ht="14.5">
      <c r="M395" s="113"/>
      <c r="N395" s="113"/>
      <c r="O395" s="113"/>
      <c r="P395" s="113"/>
    </row>
    <row r="396" spans="13:16" ht="14.5">
      <c r="M396" s="113"/>
      <c r="N396" s="113"/>
      <c r="O396" s="113"/>
      <c r="P396" s="113"/>
    </row>
    <row r="397" spans="13:16" ht="14.5">
      <c r="M397" s="113"/>
      <c r="N397" s="113"/>
      <c r="O397" s="113"/>
      <c r="P397" s="113"/>
    </row>
    <row r="398" spans="13:16" ht="14.5">
      <c r="M398" s="113"/>
      <c r="N398" s="113"/>
      <c r="O398" s="113"/>
      <c r="P398" s="113"/>
    </row>
    <row r="399" spans="13:16" ht="14.5">
      <c r="M399" s="113"/>
      <c r="N399" s="113"/>
      <c r="O399" s="113"/>
      <c r="P399" s="113"/>
    </row>
    <row r="400" spans="13:16" ht="14.5">
      <c r="M400" s="113"/>
      <c r="N400" s="113"/>
      <c r="O400" s="113"/>
      <c r="P400" s="113"/>
    </row>
    <row r="401" spans="13:16" ht="14.5">
      <c r="M401" s="113"/>
      <c r="N401" s="113"/>
      <c r="O401" s="113"/>
      <c r="P401" s="113"/>
    </row>
    <row r="402" spans="13:16" ht="14.5">
      <c r="M402" s="113"/>
      <c r="N402" s="113"/>
      <c r="O402" s="113"/>
      <c r="P402" s="113"/>
    </row>
    <row r="403" spans="13:16" ht="14.5">
      <c r="M403" s="113"/>
      <c r="N403" s="113"/>
      <c r="O403" s="113"/>
      <c r="P403" s="113"/>
    </row>
    <row r="404" spans="13:16" ht="14.5">
      <c r="M404" s="113"/>
      <c r="N404" s="113"/>
      <c r="O404" s="113"/>
      <c r="P404" s="113"/>
    </row>
    <row r="405" spans="13:16" ht="14.5">
      <c r="M405" s="113"/>
      <c r="N405" s="113"/>
      <c r="O405" s="113"/>
      <c r="P405" s="113"/>
    </row>
    <row r="406" spans="13:16" ht="14.5">
      <c r="M406" s="113"/>
      <c r="N406" s="113"/>
      <c r="O406" s="113"/>
      <c r="P406" s="113"/>
    </row>
    <row r="407" spans="13:16" ht="14.5">
      <c r="M407" s="113"/>
      <c r="N407" s="113"/>
      <c r="O407" s="113"/>
      <c r="P407" s="113"/>
    </row>
    <row r="408" spans="13:16" ht="14.5">
      <c r="M408" s="113"/>
      <c r="N408" s="113"/>
      <c r="O408" s="113"/>
      <c r="P408" s="113"/>
    </row>
    <row r="409" spans="13:16" ht="14.5">
      <c r="M409" s="113"/>
      <c r="N409" s="113"/>
      <c r="O409" s="113"/>
      <c r="P409" s="113"/>
    </row>
    <row r="410" spans="13:16" ht="14.5">
      <c r="M410" s="113"/>
      <c r="N410" s="113"/>
      <c r="O410" s="113"/>
      <c r="P410" s="113"/>
    </row>
    <row r="411" spans="13:16" ht="14.5">
      <c r="M411" s="113"/>
      <c r="N411" s="113"/>
      <c r="O411" s="113"/>
      <c r="P411" s="113"/>
    </row>
    <row r="412" spans="13:16" ht="14.5">
      <c r="M412" s="113"/>
      <c r="N412" s="113"/>
      <c r="O412" s="113"/>
      <c r="P412" s="113"/>
    </row>
    <row r="413" spans="13:16" ht="14.5">
      <c r="M413" s="113"/>
      <c r="N413" s="113"/>
      <c r="O413" s="113"/>
      <c r="P413" s="113"/>
    </row>
    <row r="414" spans="13:16" ht="14.5">
      <c r="M414" s="113"/>
      <c r="N414" s="113"/>
      <c r="O414" s="113"/>
      <c r="P414" s="113"/>
    </row>
    <row r="415" spans="13:16" ht="14.5">
      <c r="M415" s="113"/>
      <c r="N415" s="113"/>
      <c r="O415" s="113"/>
      <c r="P415" s="113"/>
    </row>
    <row r="416" spans="13:16" ht="14.5">
      <c r="M416" s="113"/>
      <c r="N416" s="113"/>
      <c r="O416" s="113"/>
      <c r="P416" s="113"/>
    </row>
    <row r="417" spans="13:16" ht="14.5">
      <c r="M417" s="113"/>
      <c r="N417" s="113"/>
      <c r="O417" s="113"/>
      <c r="P417" s="113"/>
    </row>
    <row r="418" spans="13:16" ht="14.5">
      <c r="M418" s="113"/>
      <c r="N418" s="113"/>
      <c r="O418" s="113"/>
      <c r="P418" s="113"/>
    </row>
    <row r="419" spans="13:16" ht="14.5">
      <c r="M419" s="113"/>
      <c r="N419" s="113"/>
      <c r="O419" s="113"/>
      <c r="P419" s="113"/>
    </row>
    <row r="420" spans="13:16" ht="14.5">
      <c r="M420" s="113"/>
      <c r="N420" s="113"/>
      <c r="O420" s="113"/>
      <c r="P420" s="113"/>
    </row>
    <row r="421" spans="13:16" ht="14.5">
      <c r="M421" s="113"/>
      <c r="N421" s="113"/>
      <c r="O421" s="113"/>
      <c r="P421" s="113"/>
    </row>
    <row r="422" spans="13:16" ht="14.5">
      <c r="M422" s="113"/>
      <c r="N422" s="113"/>
      <c r="O422" s="113"/>
      <c r="P422" s="113"/>
    </row>
    <row r="423" spans="13:16" ht="14.5">
      <c r="M423" s="113"/>
      <c r="N423" s="113"/>
      <c r="O423" s="113"/>
      <c r="P423" s="113"/>
    </row>
    <row r="424" spans="13:16" ht="14.5">
      <c r="M424" s="113"/>
      <c r="N424" s="113"/>
      <c r="O424" s="113"/>
      <c r="P424" s="113"/>
    </row>
    <row r="425" spans="13:16" ht="14.5">
      <c r="M425" s="113"/>
      <c r="N425" s="113"/>
      <c r="O425" s="113"/>
      <c r="P425" s="113"/>
    </row>
    <row r="426" spans="13:16" ht="14.5">
      <c r="M426" s="113"/>
      <c r="N426" s="113"/>
      <c r="O426" s="113"/>
      <c r="P426" s="113"/>
    </row>
    <row r="427" spans="13:16" ht="14.5">
      <c r="M427" s="113"/>
      <c r="N427" s="113"/>
      <c r="O427" s="113"/>
      <c r="P427" s="113"/>
    </row>
    <row r="428" spans="13:16" ht="14.5">
      <c r="M428" s="113"/>
      <c r="N428" s="113"/>
      <c r="O428" s="113"/>
      <c r="P428" s="113"/>
    </row>
    <row r="429" spans="13:16" ht="14.5">
      <c r="M429" s="113"/>
      <c r="N429" s="113"/>
      <c r="O429" s="113"/>
      <c r="P429" s="113"/>
    </row>
    <row r="430" spans="13:16" ht="14.5">
      <c r="M430" s="113"/>
      <c r="N430" s="113"/>
      <c r="O430" s="113"/>
      <c r="P430" s="113"/>
    </row>
    <row r="431" spans="13:16" ht="14.5">
      <c r="M431" s="113"/>
      <c r="N431" s="113"/>
      <c r="O431" s="113"/>
      <c r="P431" s="113"/>
    </row>
    <row r="432" spans="13:16" ht="14.5">
      <c r="M432" s="113"/>
      <c r="N432" s="113"/>
      <c r="O432" s="113"/>
      <c r="P432" s="113"/>
    </row>
    <row r="433" spans="13:16" ht="14.5">
      <c r="M433" s="113"/>
      <c r="N433" s="113"/>
      <c r="O433" s="113"/>
      <c r="P433" s="113"/>
    </row>
    <row r="434" spans="13:16" ht="14.5">
      <c r="M434" s="113"/>
      <c r="N434" s="113"/>
      <c r="O434" s="113"/>
      <c r="P434" s="113"/>
    </row>
    <row r="435" spans="13:16" ht="14.5">
      <c r="M435" s="113"/>
      <c r="N435" s="113"/>
      <c r="O435" s="113"/>
      <c r="P435" s="113"/>
    </row>
    <row r="436" spans="13:16" ht="14.5">
      <c r="M436" s="113"/>
      <c r="N436" s="113"/>
      <c r="O436" s="113"/>
      <c r="P436" s="113"/>
    </row>
    <row r="437" spans="13:16" ht="14.5">
      <c r="M437" s="113"/>
      <c r="N437" s="113"/>
      <c r="O437" s="113"/>
      <c r="P437" s="113"/>
    </row>
    <row r="438" spans="13:16" ht="14.5">
      <c r="M438" s="113"/>
      <c r="N438" s="113"/>
      <c r="O438" s="113"/>
      <c r="P438" s="113"/>
    </row>
    <row r="439" spans="13:16" ht="14.5">
      <c r="M439" s="113"/>
      <c r="N439" s="113"/>
      <c r="O439" s="113"/>
      <c r="P439" s="113"/>
    </row>
    <row r="440" spans="13:16" ht="14.5">
      <c r="M440" s="113"/>
      <c r="N440" s="113"/>
      <c r="O440" s="113"/>
      <c r="P440" s="113"/>
    </row>
    <row r="441" spans="13:16" ht="14.5">
      <c r="M441" s="113"/>
      <c r="N441" s="113"/>
      <c r="O441" s="113"/>
      <c r="P441" s="113"/>
    </row>
    <row r="442" spans="13:16" ht="14.5">
      <c r="M442" s="113"/>
      <c r="N442" s="113"/>
      <c r="O442" s="113"/>
      <c r="P442" s="113"/>
    </row>
    <row r="443" spans="13:16" ht="14.5">
      <c r="M443" s="113"/>
      <c r="N443" s="113"/>
      <c r="O443" s="113"/>
      <c r="P443" s="113"/>
    </row>
    <row r="444" spans="13:16" ht="14.5">
      <c r="M444" s="113"/>
      <c r="N444" s="113"/>
      <c r="O444" s="113"/>
      <c r="P444" s="113"/>
    </row>
    <row r="445" spans="13:16" ht="14.5">
      <c r="M445" s="113"/>
      <c r="N445" s="113"/>
      <c r="O445" s="113"/>
      <c r="P445" s="113"/>
    </row>
    <row r="446" spans="13:16" ht="14.5">
      <c r="M446" s="113"/>
      <c r="N446" s="113"/>
      <c r="O446" s="113"/>
      <c r="P446" s="113"/>
    </row>
    <row r="447" spans="13:16" ht="14.5">
      <c r="M447" s="113"/>
      <c r="N447" s="113"/>
      <c r="O447" s="113"/>
      <c r="P447" s="113"/>
    </row>
  </sheetData>
  <mergeCells count="15">
    <mergeCell ref="B6:N6"/>
    <mergeCell ref="B7:N7"/>
    <mergeCell ref="B10:B11"/>
    <mergeCell ref="C10:C11"/>
    <mergeCell ref="D10:D11"/>
    <mergeCell ref="E10:E11"/>
    <mergeCell ref="F10:F11"/>
    <mergeCell ref="G10:G11"/>
    <mergeCell ref="H10:H11"/>
    <mergeCell ref="I10:I11"/>
    <mergeCell ref="M10:M11"/>
    <mergeCell ref="N10:N11"/>
    <mergeCell ref="J10:J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sheetPr>
    <tabColor theme="3" tint="0.79998168889431442"/>
    <pageSetUpPr fitToPage="1"/>
  </sheetPr>
  <dimension ref="A1:BQ159"/>
  <sheetViews>
    <sheetView showGridLines="0" zoomScaleNormal="100" zoomScaleSheetLayoutView="80" workbookViewId="0"/>
  </sheetViews>
  <sheetFormatPr baseColWidth="10" defaultColWidth="11.453125" defaultRowHeight="13"/>
  <cols>
    <col min="1" max="1" width="6.453125" style="5" bestFit="1" customWidth="1"/>
    <col min="2" max="2" width="49" style="71" customWidth="1"/>
    <col min="3" max="3" width="9.7265625" style="71" customWidth="1"/>
    <col min="4" max="4" width="10.54296875" style="71" customWidth="1"/>
    <col min="5" max="33" width="9.7265625" style="71" customWidth="1"/>
    <col min="34" max="34" width="12.7265625" style="71" customWidth="1"/>
    <col min="35" max="35" width="15.7265625" style="71" bestFit="1" customWidth="1"/>
    <col min="36" max="36" width="15.08984375" style="89" bestFit="1" customWidth="1"/>
    <col min="37" max="38" width="14" style="89" customWidth="1"/>
    <col min="39" max="39" width="13.54296875" style="89" bestFit="1" customWidth="1"/>
    <col min="40" max="16384" width="11.453125" style="89"/>
  </cols>
  <sheetData>
    <row r="1" spans="1:37" ht="14.5">
      <c r="A1" s="738" t="s">
        <v>219</v>
      </c>
      <c r="B1" s="741"/>
    </row>
    <row r="2" spans="1:37" ht="15" customHeight="1">
      <c r="A2" s="42"/>
      <c r="B2" s="386" t="str">
        <f>+INDICE!B2</f>
        <v>MINISTERIO DE ECONOMÍA</v>
      </c>
      <c r="C2" s="72"/>
      <c r="D2" s="73"/>
      <c r="E2" s="73"/>
      <c r="F2" s="73"/>
      <c r="G2" s="72"/>
      <c r="H2" s="73"/>
      <c r="I2" s="73"/>
      <c r="J2" s="73"/>
      <c r="K2" s="73"/>
      <c r="L2" s="73"/>
      <c r="M2" s="73"/>
      <c r="N2" s="72"/>
      <c r="O2" s="73"/>
      <c r="P2" s="73"/>
      <c r="Q2" s="73"/>
      <c r="R2" s="73"/>
      <c r="S2" s="73"/>
      <c r="T2" s="73"/>
      <c r="U2" s="73"/>
      <c r="V2" s="73"/>
      <c r="W2" s="73"/>
      <c r="X2" s="73"/>
      <c r="Y2" s="73"/>
      <c r="Z2" s="73"/>
      <c r="AA2" s="73"/>
      <c r="AB2" s="73"/>
      <c r="AC2" s="73"/>
      <c r="AD2" s="73"/>
      <c r="AE2" s="73"/>
    </row>
    <row r="3" spans="1:37" ht="15" customHeight="1">
      <c r="A3" s="42"/>
      <c r="B3" s="386" t="str">
        <f>+A.3.6!B3</f>
        <v>SECRETARÍA DE FINANZAS</v>
      </c>
      <c r="C3" s="799"/>
      <c r="D3" s="800"/>
      <c r="E3" s="73"/>
      <c r="F3" s="72"/>
      <c r="G3" s="73"/>
      <c r="H3" s="73"/>
      <c r="I3" s="73"/>
      <c r="J3" s="73"/>
      <c r="K3" s="73"/>
      <c r="L3" s="73"/>
      <c r="M3" s="73"/>
      <c r="N3" s="73"/>
      <c r="O3" s="73"/>
      <c r="P3" s="73"/>
      <c r="Q3" s="73"/>
      <c r="R3" s="73"/>
      <c r="S3" s="73"/>
      <c r="T3" s="73"/>
      <c r="U3" s="73"/>
      <c r="V3" s="73"/>
      <c r="W3" s="73"/>
      <c r="X3" s="73"/>
      <c r="Y3" s="73"/>
      <c r="Z3" s="73"/>
      <c r="AA3" s="73"/>
      <c r="AB3" s="73"/>
      <c r="AC3" s="73"/>
      <c r="AD3" s="73"/>
      <c r="AE3" s="73"/>
      <c r="AH3" s="74"/>
      <c r="AI3" s="74"/>
    </row>
    <row r="4" spans="1:37" s="90" customFormat="1">
      <c r="A4" s="5"/>
      <c r="B4" s="71"/>
      <c r="C4" s="76"/>
      <c r="D4" s="801"/>
      <c r="E4" s="76"/>
      <c r="F4" s="76"/>
      <c r="G4" s="76"/>
      <c r="H4" s="76"/>
      <c r="I4" s="76"/>
      <c r="J4" s="76"/>
      <c r="K4" s="76"/>
      <c r="L4" s="76"/>
      <c r="M4" s="76"/>
      <c r="N4" s="76"/>
      <c r="O4" s="76"/>
      <c r="P4" s="76"/>
      <c r="Q4" s="76"/>
      <c r="R4" s="76"/>
      <c r="S4" s="76"/>
      <c r="T4" s="76"/>
      <c r="U4" s="76"/>
      <c r="V4" s="76"/>
      <c r="W4" s="76"/>
      <c r="X4" s="71"/>
      <c r="Y4" s="71"/>
      <c r="Z4" s="71"/>
      <c r="AA4" s="71"/>
      <c r="AB4" s="71"/>
      <c r="AC4" s="71"/>
      <c r="AD4" s="71"/>
      <c r="AE4" s="71"/>
      <c r="AF4" s="71"/>
      <c r="AG4" s="71"/>
      <c r="AH4" s="71"/>
      <c r="AI4" s="71"/>
    </row>
    <row r="5" spans="1:37" s="90" customFormat="1" ht="13.5" thickBot="1">
      <c r="A5" s="5"/>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row>
    <row r="6" spans="1:37" s="90" customFormat="1" ht="17.5" thickBot="1">
      <c r="A6" s="5"/>
      <c r="B6" s="1487" t="s">
        <v>786</v>
      </c>
      <c r="C6" s="1488"/>
      <c r="D6" s="1488"/>
      <c r="E6" s="1488"/>
      <c r="F6" s="1488"/>
      <c r="G6" s="1488"/>
      <c r="H6" s="1488"/>
      <c r="I6" s="1488"/>
      <c r="J6" s="1488"/>
      <c r="K6" s="1488"/>
      <c r="L6" s="1488"/>
      <c r="M6" s="1488"/>
      <c r="N6" s="1488"/>
      <c r="O6" s="1488"/>
      <c r="P6" s="1488"/>
      <c r="Q6" s="1488"/>
      <c r="R6" s="1488"/>
      <c r="S6" s="1488"/>
      <c r="T6" s="1488"/>
      <c r="U6" s="1488"/>
      <c r="V6" s="1488"/>
      <c r="W6" s="1488"/>
      <c r="X6" s="1488"/>
      <c r="Y6" s="1488"/>
      <c r="Z6" s="1488"/>
      <c r="AA6" s="1488"/>
      <c r="AB6" s="1488"/>
      <c r="AC6" s="1488"/>
      <c r="AD6" s="1488"/>
      <c r="AE6" s="1488"/>
      <c r="AF6" s="1488"/>
      <c r="AG6" s="1488"/>
      <c r="AH6" s="1488"/>
      <c r="AI6" s="1489"/>
    </row>
    <row r="7" spans="1:37" s="90" customFormat="1">
      <c r="A7" s="159"/>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row>
    <row r="8" spans="1:37" s="90" customFormat="1" ht="13.5" thickBot="1">
      <c r="A8" s="159"/>
      <c r="B8" s="269" t="s">
        <v>915</v>
      </c>
      <c r="C8" s="5"/>
      <c r="D8" s="5"/>
      <c r="E8" s="5"/>
      <c r="F8" s="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row>
    <row r="9" spans="1:37" s="90" customFormat="1" ht="14" thickTop="1" thickBot="1">
      <c r="A9" s="159"/>
      <c r="B9" s="459"/>
      <c r="C9" s="459">
        <v>2020</v>
      </c>
      <c r="D9" s="459">
        <v>2021</v>
      </c>
      <c r="E9" s="459">
        <v>2022</v>
      </c>
      <c r="F9" s="459">
        <v>2023</v>
      </c>
      <c r="G9" s="459">
        <v>2024</v>
      </c>
      <c r="H9" s="459">
        <v>2025</v>
      </c>
      <c r="I9" s="459">
        <v>2026</v>
      </c>
      <c r="J9" s="459">
        <v>2027</v>
      </c>
      <c r="K9" s="459">
        <v>2028</v>
      </c>
      <c r="L9" s="459">
        <v>2029</v>
      </c>
      <c r="M9" s="459">
        <v>2030</v>
      </c>
      <c r="N9" s="459">
        <v>2031</v>
      </c>
      <c r="O9" s="459">
        <v>2032</v>
      </c>
      <c r="P9" s="459">
        <v>2033</v>
      </c>
      <c r="Q9" s="459">
        <v>2034</v>
      </c>
      <c r="R9" s="459">
        <v>2035</v>
      </c>
      <c r="S9" s="459">
        <v>2036</v>
      </c>
      <c r="T9" s="459">
        <v>2037</v>
      </c>
      <c r="U9" s="459">
        <v>2038</v>
      </c>
      <c r="V9" s="459">
        <v>2039</v>
      </c>
      <c r="W9" s="459">
        <v>2040</v>
      </c>
      <c r="X9" s="459">
        <v>2041</v>
      </c>
      <c r="Y9" s="459">
        <v>2042</v>
      </c>
      <c r="Z9" s="459">
        <v>2043</v>
      </c>
      <c r="AA9" s="459">
        <v>2044</v>
      </c>
      <c r="AB9" s="459">
        <v>2045</v>
      </c>
      <c r="AC9" s="459">
        <v>2046</v>
      </c>
      <c r="AD9" s="459">
        <v>2047</v>
      </c>
      <c r="AE9" s="459">
        <v>2048</v>
      </c>
      <c r="AF9" s="459">
        <v>2049</v>
      </c>
      <c r="AG9" s="459">
        <v>2050</v>
      </c>
      <c r="AH9" s="459" t="s">
        <v>828</v>
      </c>
      <c r="AI9" s="459" t="s">
        <v>292</v>
      </c>
    </row>
    <row r="10" spans="1:37" s="90" customFormat="1" ht="14" thickTop="1" thickBot="1">
      <c r="A10" s="159"/>
      <c r="B10" s="269"/>
      <c r="C10" s="565"/>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row>
    <row r="11" spans="1:37" s="90" customFormat="1" ht="13.5" thickBot="1">
      <c r="A11" s="159"/>
      <c r="B11" s="1484" t="s">
        <v>747</v>
      </c>
      <c r="C11" s="1485"/>
      <c r="D11" s="1485"/>
      <c r="E11" s="1485"/>
      <c r="F11" s="1485"/>
      <c r="G11" s="1485"/>
      <c r="H11" s="1485"/>
      <c r="I11" s="1485"/>
      <c r="J11" s="1485"/>
      <c r="K11" s="1485"/>
      <c r="L11" s="1485"/>
      <c r="M11" s="1485"/>
      <c r="N11" s="1485"/>
      <c r="O11" s="1485"/>
      <c r="P11" s="1485"/>
      <c r="Q11" s="1485"/>
      <c r="R11" s="1485"/>
      <c r="S11" s="1485"/>
      <c r="T11" s="1485"/>
      <c r="U11" s="1485"/>
      <c r="V11" s="1485"/>
      <c r="W11" s="1485"/>
      <c r="X11" s="1485"/>
      <c r="Y11" s="1485"/>
      <c r="Z11" s="1485"/>
      <c r="AA11" s="1485"/>
      <c r="AB11" s="1485"/>
      <c r="AC11" s="1485"/>
      <c r="AD11" s="1485"/>
      <c r="AE11" s="1485"/>
      <c r="AF11" s="1485"/>
      <c r="AG11" s="1485"/>
      <c r="AH11" s="1485"/>
      <c r="AI11" s="1486"/>
    </row>
    <row r="12" spans="1:37" ht="15" customHeight="1" thickBot="1">
      <c r="A12" s="159"/>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row>
    <row r="13" spans="1:37" ht="21.75" customHeight="1" thickBot="1">
      <c r="A13" s="159"/>
      <c r="B13" s="331" t="s">
        <v>60</v>
      </c>
      <c r="C13" s="332">
        <f t="shared" ref="C13:AH13" si="0">+C14+C15</f>
        <v>63614.468560269568</v>
      </c>
      <c r="D13" s="332">
        <f t="shared" si="0"/>
        <v>33808.44819845145</v>
      </c>
      <c r="E13" s="332">
        <f t="shared" si="0"/>
        <v>40234.528111251326</v>
      </c>
      <c r="F13" s="332">
        <f t="shared" si="0"/>
        <v>38202.939192109807</v>
      </c>
      <c r="G13" s="332">
        <f t="shared" si="0"/>
        <v>22226.619576442878</v>
      </c>
      <c r="H13" s="332">
        <f t="shared" si="0"/>
        <v>21174.579590999536</v>
      </c>
      <c r="I13" s="332">
        <f t="shared" si="0"/>
        <v>12892.713889708404</v>
      </c>
      <c r="J13" s="332">
        <f t="shared" si="0"/>
        <v>14297.719182510435</v>
      </c>
      <c r="K13" s="332">
        <f t="shared" si="0"/>
        <v>10622.049932048856</v>
      </c>
      <c r="L13" s="332">
        <f t="shared" si="0"/>
        <v>6174.5341605113344</v>
      </c>
      <c r="M13" s="332">
        <f t="shared" si="0"/>
        <v>5387.7437004496933</v>
      </c>
      <c r="N13" s="332">
        <f t="shared" si="0"/>
        <v>5680.7372737142587</v>
      </c>
      <c r="O13" s="332">
        <f t="shared" si="0"/>
        <v>5057.0403220578646</v>
      </c>
      <c r="P13" s="332">
        <f t="shared" si="0"/>
        <v>4922.0349757519207</v>
      </c>
      <c r="Q13" s="332">
        <f t="shared" si="0"/>
        <v>2653.0652719859195</v>
      </c>
      <c r="R13" s="332">
        <f t="shared" si="0"/>
        <v>3495.4006521126071</v>
      </c>
      <c r="S13" s="332">
        <f t="shared" si="0"/>
        <v>5908.8928113065895</v>
      </c>
      <c r="T13" s="332">
        <f t="shared" si="0"/>
        <v>4105.1856418745892</v>
      </c>
      <c r="U13" s="332">
        <f t="shared" si="0"/>
        <v>3758.5319860476029</v>
      </c>
      <c r="V13" s="332">
        <f t="shared" si="0"/>
        <v>1297.9735439157876</v>
      </c>
      <c r="W13" s="332">
        <f t="shared" si="0"/>
        <v>1041.2926129590305</v>
      </c>
      <c r="X13" s="332">
        <f t="shared" si="0"/>
        <v>906.33291307946877</v>
      </c>
      <c r="Y13" s="332">
        <f t="shared" si="0"/>
        <v>892.19905120646479</v>
      </c>
      <c r="Z13" s="332">
        <f t="shared" si="0"/>
        <v>868.67050749291013</v>
      </c>
      <c r="AA13" s="332">
        <f t="shared" si="0"/>
        <v>808.43954842470373</v>
      </c>
      <c r="AB13" s="332">
        <f t="shared" si="0"/>
        <v>807.68880899070371</v>
      </c>
      <c r="AC13" s="332">
        <f t="shared" si="0"/>
        <v>2854.2747765074441</v>
      </c>
      <c r="AD13" s="332">
        <f t="shared" si="0"/>
        <v>929.45018357647052</v>
      </c>
      <c r="AE13" s="332">
        <f t="shared" si="0"/>
        <v>3068.2908561964437</v>
      </c>
      <c r="AF13" s="332">
        <f t="shared" si="0"/>
        <v>40.713912587443943</v>
      </c>
      <c r="AG13" s="332">
        <f t="shared" si="0"/>
        <v>33.035027244443945</v>
      </c>
      <c r="AH13" s="332">
        <f t="shared" si="0"/>
        <v>2759.8587357621946</v>
      </c>
      <c r="AI13" s="332">
        <f>SUM(C13:AH13)</f>
        <v>320525.45350754814</v>
      </c>
      <c r="AK13" s="1237"/>
    </row>
    <row r="14" spans="1:37">
      <c r="A14" s="159"/>
      <c r="B14" s="808" t="s">
        <v>61</v>
      </c>
      <c r="C14" s="92">
        <v>19364.728559018371</v>
      </c>
      <c r="D14" s="92">
        <v>0</v>
      </c>
      <c r="E14" s="92">
        <v>0</v>
      </c>
      <c r="F14" s="92">
        <v>0</v>
      </c>
      <c r="G14" s="92">
        <v>0</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2">
        <v>0</v>
      </c>
      <c r="AA14" s="92">
        <v>0</v>
      </c>
      <c r="AB14" s="92">
        <v>0</v>
      </c>
      <c r="AC14" s="92">
        <v>0</v>
      </c>
      <c r="AD14" s="92">
        <v>0</v>
      </c>
      <c r="AE14" s="92">
        <v>0</v>
      </c>
      <c r="AF14" s="92">
        <v>0</v>
      </c>
      <c r="AG14" s="92">
        <v>0</v>
      </c>
      <c r="AH14" s="92">
        <v>0</v>
      </c>
      <c r="AI14" s="77">
        <f>SUM(C14:AH14)</f>
        <v>19364.728559018371</v>
      </c>
    </row>
    <row r="15" spans="1:37">
      <c r="A15" s="159"/>
      <c r="B15" s="808" t="s">
        <v>62</v>
      </c>
      <c r="C15" s="92">
        <v>44249.740001251201</v>
      </c>
      <c r="D15" s="92">
        <v>33808.44819845145</v>
      </c>
      <c r="E15" s="92">
        <v>40234.528111251326</v>
      </c>
      <c r="F15" s="92">
        <v>38202.939192109807</v>
      </c>
      <c r="G15" s="92">
        <v>22226.619576442878</v>
      </c>
      <c r="H15" s="92">
        <v>21174.579590999536</v>
      </c>
      <c r="I15" s="92">
        <v>12892.713889708404</v>
      </c>
      <c r="J15" s="92">
        <v>14297.719182510435</v>
      </c>
      <c r="K15" s="92">
        <v>10622.049932048856</v>
      </c>
      <c r="L15" s="92">
        <v>6174.5341605113344</v>
      </c>
      <c r="M15" s="92">
        <v>5387.7437004496933</v>
      </c>
      <c r="N15" s="92">
        <v>5680.7372737142587</v>
      </c>
      <c r="O15" s="92">
        <v>5057.0403220578646</v>
      </c>
      <c r="P15" s="92">
        <v>4922.0349757519207</v>
      </c>
      <c r="Q15" s="92">
        <v>2653.0652719859195</v>
      </c>
      <c r="R15" s="92">
        <v>3495.4006521126071</v>
      </c>
      <c r="S15" s="92">
        <v>5908.8928113065895</v>
      </c>
      <c r="T15" s="92">
        <v>4105.1856418745892</v>
      </c>
      <c r="U15" s="92">
        <v>3758.5319860476029</v>
      </c>
      <c r="V15" s="92">
        <v>1297.9735439157876</v>
      </c>
      <c r="W15" s="92">
        <v>1041.2926129590305</v>
      </c>
      <c r="X15" s="92">
        <v>906.33291307946877</v>
      </c>
      <c r="Y15" s="92">
        <v>892.19905120646479</v>
      </c>
      <c r="Z15" s="92">
        <v>868.67050749291013</v>
      </c>
      <c r="AA15" s="92">
        <v>808.43954842470373</v>
      </c>
      <c r="AB15" s="92">
        <v>807.68880899070371</v>
      </c>
      <c r="AC15" s="92">
        <v>2854.2747765074441</v>
      </c>
      <c r="AD15" s="92">
        <v>929.45018357647052</v>
      </c>
      <c r="AE15" s="92">
        <v>3068.2908561964437</v>
      </c>
      <c r="AF15" s="92">
        <v>40.713912587443943</v>
      </c>
      <c r="AG15" s="92">
        <v>33.035027244443945</v>
      </c>
      <c r="AH15" s="92">
        <v>2759.8587357621946</v>
      </c>
      <c r="AI15" s="77">
        <f>SUM(C15:AH15)</f>
        <v>301160.72494852979</v>
      </c>
    </row>
    <row r="16" spans="1:37" ht="13.5" thickBot="1">
      <c r="A16" s="159"/>
      <c r="B16" s="269"/>
      <c r="C16" s="342"/>
      <c r="D16" s="342"/>
      <c r="E16" s="342"/>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342"/>
      <c r="AI16" s="342"/>
    </row>
    <row r="17" spans="1:35" ht="13.5" thickBot="1">
      <c r="A17" s="159"/>
      <c r="B17" s="126" t="s">
        <v>53</v>
      </c>
      <c r="C17" s="78">
        <f t="shared" ref="C17:AH17" si="1">+C18+C23+C25+C31+C32+C39</f>
        <v>10076.54547809366</v>
      </c>
      <c r="D17" s="78">
        <f t="shared" si="1"/>
        <v>5986.3903712033261</v>
      </c>
      <c r="E17" s="78">
        <f t="shared" si="1"/>
        <v>19460.072445020141</v>
      </c>
      <c r="F17" s="78">
        <f t="shared" si="1"/>
        <v>20364.461688827305</v>
      </c>
      <c r="G17" s="78">
        <f t="shared" si="1"/>
        <v>6716.5964118179172</v>
      </c>
      <c r="H17" s="78">
        <f t="shared" si="1"/>
        <v>1907.7983863943812</v>
      </c>
      <c r="I17" s="78">
        <f t="shared" si="1"/>
        <v>1718.7270031801079</v>
      </c>
      <c r="J17" s="78">
        <f t="shared" si="1"/>
        <v>1764.014099683475</v>
      </c>
      <c r="K17" s="78">
        <f t="shared" si="1"/>
        <v>1553.1024227688433</v>
      </c>
      <c r="L17" s="78">
        <f t="shared" si="1"/>
        <v>1514.607525046941</v>
      </c>
      <c r="M17" s="78">
        <f t="shared" si="1"/>
        <v>1318.0899829057039</v>
      </c>
      <c r="N17" s="78">
        <f t="shared" si="1"/>
        <v>1611.0835561702675</v>
      </c>
      <c r="O17" s="78">
        <f t="shared" si="1"/>
        <v>987.38660451387284</v>
      </c>
      <c r="P17" s="78">
        <f t="shared" si="1"/>
        <v>852.38125820793209</v>
      </c>
      <c r="Q17" s="78">
        <f t="shared" si="1"/>
        <v>809.45600666828636</v>
      </c>
      <c r="R17" s="78">
        <f t="shared" si="1"/>
        <v>753.93348684497403</v>
      </c>
      <c r="S17" s="78">
        <f t="shared" si="1"/>
        <v>720.00643083669547</v>
      </c>
      <c r="T17" s="78">
        <f t="shared" si="1"/>
        <v>639.09144625469537</v>
      </c>
      <c r="U17" s="78">
        <f t="shared" si="1"/>
        <v>481.20059444811312</v>
      </c>
      <c r="V17" s="78">
        <f t="shared" si="1"/>
        <v>278.23693555508214</v>
      </c>
      <c r="W17" s="78">
        <f t="shared" si="1"/>
        <v>216.76257959832648</v>
      </c>
      <c r="X17" s="78">
        <f t="shared" si="1"/>
        <v>197.30352971876491</v>
      </c>
      <c r="Y17" s="78">
        <f t="shared" si="1"/>
        <v>189.00766784576106</v>
      </c>
      <c r="Z17" s="78">
        <f t="shared" si="1"/>
        <v>171.10412413220635</v>
      </c>
      <c r="AA17" s="78">
        <f t="shared" si="1"/>
        <v>110.87316506399999</v>
      </c>
      <c r="AB17" s="78">
        <f t="shared" si="1"/>
        <v>110.12242563</v>
      </c>
      <c r="AC17" s="78">
        <f t="shared" si="1"/>
        <v>104.127608349</v>
      </c>
      <c r="AD17" s="78">
        <f t="shared" si="1"/>
        <v>88.590090857999996</v>
      </c>
      <c r="AE17" s="78">
        <f t="shared" si="1"/>
        <v>68.143688037999993</v>
      </c>
      <c r="AF17" s="78">
        <f t="shared" si="1"/>
        <v>40.566744428999996</v>
      </c>
      <c r="AG17" s="78">
        <f t="shared" si="1"/>
        <v>32.887859085999992</v>
      </c>
      <c r="AH17" s="78">
        <f t="shared" si="1"/>
        <v>1.1758144129999999</v>
      </c>
      <c r="AI17" s="127">
        <f t="shared" ref="AI17:AI41" si="2">SUM(C17:AH17)</f>
        <v>80843.847431603775</v>
      </c>
    </row>
    <row r="18" spans="1:35">
      <c r="A18" s="159"/>
      <c r="B18" s="376" t="s">
        <v>63</v>
      </c>
      <c r="C18" s="79">
        <f t="shared" ref="C18:AH18" si="3">SUM(C19:C22)</f>
        <v>1853.5502335175661</v>
      </c>
      <c r="D18" s="79">
        <f t="shared" si="3"/>
        <v>5477.792446118563</v>
      </c>
      <c r="E18" s="79">
        <f t="shared" si="3"/>
        <v>18987.874724904101</v>
      </c>
      <c r="F18" s="79">
        <f t="shared" si="3"/>
        <v>19950.087779754205</v>
      </c>
      <c r="G18" s="79">
        <f t="shared" si="3"/>
        <v>6352.8991431376689</v>
      </c>
      <c r="H18" s="79">
        <f t="shared" si="3"/>
        <v>1547.2736614371302</v>
      </c>
      <c r="I18" s="79">
        <f t="shared" si="3"/>
        <v>1367.7012858151304</v>
      </c>
      <c r="J18" s="79">
        <f t="shared" si="3"/>
        <v>1288.0915393382056</v>
      </c>
      <c r="K18" s="79">
        <f t="shared" si="3"/>
        <v>1233.7227448469564</v>
      </c>
      <c r="L18" s="79">
        <f t="shared" si="3"/>
        <v>1179.5116817041253</v>
      </c>
      <c r="M18" s="79">
        <f t="shared" si="3"/>
        <v>1147.0895835661254</v>
      </c>
      <c r="N18" s="79">
        <f t="shared" si="3"/>
        <v>1079.9064519591252</v>
      </c>
      <c r="O18" s="79">
        <f t="shared" si="3"/>
        <v>919.19558025312483</v>
      </c>
      <c r="P18" s="79">
        <f t="shared" si="3"/>
        <v>815.5530686781251</v>
      </c>
      <c r="Q18" s="79">
        <f t="shared" si="3"/>
        <v>772.97102403512497</v>
      </c>
      <c r="R18" s="79">
        <f t="shared" si="3"/>
        <v>717.44850420636726</v>
      </c>
      <c r="S18" s="79">
        <f t="shared" si="3"/>
        <v>683.54704466400017</v>
      </c>
      <c r="T18" s="79">
        <f t="shared" si="3"/>
        <v>602.63206008200007</v>
      </c>
      <c r="U18" s="79">
        <f t="shared" si="3"/>
        <v>429.02504284199995</v>
      </c>
      <c r="V18" s="79">
        <f t="shared" si="3"/>
        <v>274.00889128399996</v>
      </c>
      <c r="W18" s="79">
        <f t="shared" si="3"/>
        <v>213.33354638699998</v>
      </c>
      <c r="X18" s="79">
        <f t="shared" si="3"/>
        <v>193.874496698</v>
      </c>
      <c r="Y18" s="79">
        <f t="shared" si="3"/>
        <v>187.08480274599998</v>
      </c>
      <c r="Z18" s="79">
        <f t="shared" si="3"/>
        <v>170.12572924399998</v>
      </c>
      <c r="AA18" s="79">
        <f t="shared" si="3"/>
        <v>110.87316506399999</v>
      </c>
      <c r="AB18" s="79">
        <f t="shared" si="3"/>
        <v>110.12242563</v>
      </c>
      <c r="AC18" s="79">
        <f t="shared" si="3"/>
        <v>104.127608349</v>
      </c>
      <c r="AD18" s="79">
        <f t="shared" si="3"/>
        <v>88.590090857999996</v>
      </c>
      <c r="AE18" s="79">
        <f t="shared" si="3"/>
        <v>68.143688037999993</v>
      </c>
      <c r="AF18" s="79">
        <f t="shared" si="3"/>
        <v>40.566744428999996</v>
      </c>
      <c r="AG18" s="79">
        <f t="shared" si="3"/>
        <v>32.887859085999992</v>
      </c>
      <c r="AH18" s="79">
        <f t="shared" si="3"/>
        <v>1.1758144129999999</v>
      </c>
      <c r="AI18" s="79">
        <f t="shared" si="2"/>
        <v>68000.788463085657</v>
      </c>
    </row>
    <row r="19" spans="1:35">
      <c r="A19" s="159"/>
      <c r="B19" s="346" t="s">
        <v>64</v>
      </c>
      <c r="C19" s="94">
        <v>451.35563898953404</v>
      </c>
      <c r="D19" s="94">
        <v>391.28042192600009</v>
      </c>
      <c r="E19" s="94">
        <v>291.12943151099989</v>
      </c>
      <c r="F19" s="94">
        <v>264.38688644600001</v>
      </c>
      <c r="G19" s="94">
        <v>284.91763321600013</v>
      </c>
      <c r="H19" s="94">
        <v>287.78871473900011</v>
      </c>
      <c r="I19" s="94">
        <v>320.52218933200015</v>
      </c>
      <c r="J19" s="94">
        <v>320.56423933200017</v>
      </c>
      <c r="K19" s="94">
        <v>320.56423933200017</v>
      </c>
      <c r="L19" s="94">
        <v>320.56423933200017</v>
      </c>
      <c r="M19" s="94">
        <v>320.56423933200017</v>
      </c>
      <c r="N19" s="94">
        <v>320.56423933200017</v>
      </c>
      <c r="O19" s="94">
        <v>320.56423933200017</v>
      </c>
      <c r="P19" s="94">
        <v>320.56423933200017</v>
      </c>
      <c r="Q19" s="94">
        <v>320.56423933200017</v>
      </c>
      <c r="R19" s="94">
        <v>320.56423933200017</v>
      </c>
      <c r="S19" s="94">
        <v>320.7194394720002</v>
      </c>
      <c r="T19" s="94">
        <v>287.50088375199999</v>
      </c>
      <c r="U19" s="94">
        <v>204.19016298399998</v>
      </c>
      <c r="V19" s="94">
        <v>141.40400671599997</v>
      </c>
      <c r="W19" s="94">
        <v>112.26384305399998</v>
      </c>
      <c r="X19" s="94">
        <v>109.92449582399999</v>
      </c>
      <c r="Y19" s="94">
        <v>109.92449582399999</v>
      </c>
      <c r="Z19" s="94">
        <v>109.92449582399999</v>
      </c>
      <c r="AA19" s="94">
        <v>109.92449582399999</v>
      </c>
      <c r="AB19" s="94">
        <v>110.12242563</v>
      </c>
      <c r="AC19" s="94">
        <v>104.127608349</v>
      </c>
      <c r="AD19" s="94">
        <v>88.590090857999996</v>
      </c>
      <c r="AE19" s="94">
        <v>68.143688037999993</v>
      </c>
      <c r="AF19" s="94">
        <v>40.566744428999996</v>
      </c>
      <c r="AG19" s="94">
        <v>32.887859085999992</v>
      </c>
      <c r="AH19" s="94">
        <v>1.1758144129999999</v>
      </c>
      <c r="AI19" s="94">
        <f t="shared" si="2"/>
        <v>7127.8496202245378</v>
      </c>
    </row>
    <row r="20" spans="1:35">
      <c r="A20" s="159"/>
      <c r="B20" s="347" t="s">
        <v>65</v>
      </c>
      <c r="C20" s="343">
        <v>854.09691841699998</v>
      </c>
      <c r="D20" s="343">
        <v>836.07537103799996</v>
      </c>
      <c r="E20" s="343">
        <v>772.16481564200012</v>
      </c>
      <c r="F20" s="343">
        <v>781.25913275200026</v>
      </c>
      <c r="G20" s="343">
        <v>855.61984188800045</v>
      </c>
      <c r="H20" s="343">
        <v>821.83521873400036</v>
      </c>
      <c r="I20" s="343">
        <v>796.60582050400035</v>
      </c>
      <c r="J20" s="83">
        <v>755.66814564400045</v>
      </c>
      <c r="K20" s="343">
        <v>755.6681457140005</v>
      </c>
      <c r="L20" s="343">
        <v>724.51868454400028</v>
      </c>
      <c r="M20" s="343">
        <v>724.51868454400028</v>
      </c>
      <c r="N20" s="343">
        <v>708.60694878000015</v>
      </c>
      <c r="O20" s="343">
        <v>577.19790411199983</v>
      </c>
      <c r="P20" s="343">
        <v>490.55376530000001</v>
      </c>
      <c r="Q20" s="343">
        <v>448.3331653699999</v>
      </c>
      <c r="R20" s="343">
        <v>393.31875549</v>
      </c>
      <c r="S20" s="343">
        <v>359.98400462000001</v>
      </c>
      <c r="T20" s="343">
        <v>312.82817011000003</v>
      </c>
      <c r="U20" s="343">
        <v>222.53187363799998</v>
      </c>
      <c r="V20" s="343">
        <v>132.283381448</v>
      </c>
      <c r="W20" s="343">
        <v>101.06970333300001</v>
      </c>
      <c r="X20" s="343">
        <v>83.950000874000011</v>
      </c>
      <c r="Y20" s="343">
        <v>77.160306922000004</v>
      </c>
      <c r="Z20" s="343">
        <v>60.201233420000001</v>
      </c>
      <c r="AA20" s="343">
        <v>0.94866923999999997</v>
      </c>
      <c r="AB20" s="343">
        <v>0</v>
      </c>
      <c r="AC20" s="343">
        <v>0</v>
      </c>
      <c r="AD20" s="343">
        <v>0</v>
      </c>
      <c r="AE20" s="343">
        <v>0</v>
      </c>
      <c r="AF20" s="343">
        <v>0</v>
      </c>
      <c r="AG20" s="343">
        <v>0</v>
      </c>
      <c r="AH20" s="343">
        <v>0</v>
      </c>
      <c r="AI20" s="83">
        <f t="shared" si="2"/>
        <v>12646.998662078002</v>
      </c>
    </row>
    <row r="21" spans="1:35">
      <c r="A21" s="159"/>
      <c r="B21" s="377" t="s">
        <v>667</v>
      </c>
      <c r="C21" s="344">
        <v>0</v>
      </c>
      <c r="D21" s="344">
        <v>3669.0092643805297</v>
      </c>
      <c r="E21" s="344">
        <v>17345.623617256599</v>
      </c>
      <c r="F21" s="344">
        <v>18395.226078539799</v>
      </c>
      <c r="G21" s="344">
        <v>4718.6117256637199</v>
      </c>
      <c r="H21" s="344">
        <v>0</v>
      </c>
      <c r="I21" s="344">
        <v>0</v>
      </c>
      <c r="J21" s="82">
        <v>0</v>
      </c>
      <c r="K21" s="344">
        <v>0</v>
      </c>
      <c r="L21" s="344">
        <v>0</v>
      </c>
      <c r="M21" s="344">
        <v>0</v>
      </c>
      <c r="N21" s="344">
        <v>0</v>
      </c>
      <c r="O21" s="344">
        <v>0</v>
      </c>
      <c r="P21" s="344">
        <v>0</v>
      </c>
      <c r="Q21" s="344">
        <v>0</v>
      </c>
      <c r="R21" s="344">
        <v>0</v>
      </c>
      <c r="S21" s="344">
        <v>0</v>
      </c>
      <c r="T21" s="344">
        <v>0</v>
      </c>
      <c r="U21" s="344">
        <v>0</v>
      </c>
      <c r="V21" s="344">
        <v>0</v>
      </c>
      <c r="W21" s="344">
        <v>0</v>
      </c>
      <c r="X21" s="344">
        <v>0</v>
      </c>
      <c r="Y21" s="344">
        <v>0</v>
      </c>
      <c r="Z21" s="344">
        <v>0</v>
      </c>
      <c r="AA21" s="344">
        <v>0</v>
      </c>
      <c r="AB21" s="344">
        <v>0</v>
      </c>
      <c r="AC21" s="344">
        <v>0</v>
      </c>
      <c r="AD21" s="344">
        <v>0</v>
      </c>
      <c r="AE21" s="344">
        <v>0</v>
      </c>
      <c r="AF21" s="344">
        <v>0</v>
      </c>
      <c r="AG21" s="344">
        <v>0</v>
      </c>
      <c r="AH21" s="344">
        <v>0</v>
      </c>
      <c r="AI21" s="83">
        <f t="shared" si="2"/>
        <v>44128.47068584065</v>
      </c>
    </row>
    <row r="22" spans="1:35">
      <c r="A22" s="159"/>
      <c r="B22" s="377" t="s">
        <v>66</v>
      </c>
      <c r="C22" s="344">
        <v>548.09767611103211</v>
      </c>
      <c r="D22" s="344">
        <v>581.42738877403247</v>
      </c>
      <c r="E22" s="344">
        <v>578.95686049450148</v>
      </c>
      <c r="F22" s="344">
        <v>509.21568201640395</v>
      </c>
      <c r="G22" s="344">
        <v>493.7499423699482</v>
      </c>
      <c r="H22" s="344">
        <v>437.64972796412962</v>
      </c>
      <c r="I22" s="344">
        <v>250.57327597912987</v>
      </c>
      <c r="J22" s="82">
        <v>211.85915436220509</v>
      </c>
      <c r="K22" s="344">
        <v>157.4903598009557</v>
      </c>
      <c r="L22" s="344">
        <v>134.42875782812484</v>
      </c>
      <c r="M22" s="344">
        <v>102.00665969012485</v>
      </c>
      <c r="N22" s="344">
        <v>50.73526384712487</v>
      </c>
      <c r="O22" s="344">
        <v>21.433436809124874</v>
      </c>
      <c r="P22" s="344">
        <v>4.4350640461248743</v>
      </c>
      <c r="Q22" s="344">
        <v>4.0736193331248742</v>
      </c>
      <c r="R22" s="344">
        <v>3.5655093843669987</v>
      </c>
      <c r="S22" s="344">
        <v>2.8436005720000002</v>
      </c>
      <c r="T22" s="344">
        <v>2.3030062199999999</v>
      </c>
      <c r="U22" s="344">
        <v>2.3030062199999999</v>
      </c>
      <c r="V22" s="344">
        <v>0.32150311999999998</v>
      </c>
      <c r="W22" s="344">
        <v>0</v>
      </c>
      <c r="X22" s="344">
        <v>0</v>
      </c>
      <c r="Y22" s="344">
        <v>0</v>
      </c>
      <c r="Z22" s="344">
        <v>0</v>
      </c>
      <c r="AA22" s="344">
        <v>0</v>
      </c>
      <c r="AB22" s="344">
        <v>0</v>
      </c>
      <c r="AC22" s="344">
        <v>0</v>
      </c>
      <c r="AD22" s="344">
        <v>0</v>
      </c>
      <c r="AE22" s="344">
        <v>0</v>
      </c>
      <c r="AF22" s="344">
        <v>0</v>
      </c>
      <c r="AG22" s="344">
        <v>0</v>
      </c>
      <c r="AH22" s="344">
        <v>0</v>
      </c>
      <c r="AI22" s="82">
        <f t="shared" si="2"/>
        <v>4097.4694949424547</v>
      </c>
    </row>
    <row r="23" spans="1:35">
      <c r="A23" s="159"/>
      <c r="B23" s="339" t="s">
        <v>67</v>
      </c>
      <c r="C23" s="362">
        <f t="shared" ref="C23:AH23" si="4">SUM(C24:C24)</f>
        <v>16.812336352682809</v>
      </c>
      <c r="D23" s="362">
        <f t="shared" si="4"/>
        <v>0</v>
      </c>
      <c r="E23" s="362">
        <f t="shared" si="4"/>
        <v>0</v>
      </c>
      <c r="F23" s="362">
        <f t="shared" si="4"/>
        <v>0</v>
      </c>
      <c r="G23" s="362">
        <f t="shared" si="4"/>
        <v>0</v>
      </c>
      <c r="H23" s="362">
        <f t="shared" si="4"/>
        <v>0</v>
      </c>
      <c r="I23" s="362">
        <f t="shared" si="4"/>
        <v>0</v>
      </c>
      <c r="J23" s="362">
        <f t="shared" si="4"/>
        <v>126.2779625713481</v>
      </c>
      <c r="K23" s="362">
        <f t="shared" si="4"/>
        <v>0</v>
      </c>
      <c r="L23" s="362">
        <f t="shared" si="4"/>
        <v>0</v>
      </c>
      <c r="M23" s="362">
        <f t="shared" si="4"/>
        <v>34.248668166193966</v>
      </c>
      <c r="N23" s="362">
        <f t="shared" si="4"/>
        <v>462.98607992039416</v>
      </c>
      <c r="O23" s="362">
        <f t="shared" si="4"/>
        <v>0</v>
      </c>
      <c r="P23" s="362">
        <f t="shared" si="4"/>
        <v>0</v>
      </c>
      <c r="Q23" s="362">
        <f t="shared" si="4"/>
        <v>0</v>
      </c>
      <c r="R23" s="362">
        <f t="shared" si="4"/>
        <v>0</v>
      </c>
      <c r="S23" s="362">
        <f t="shared" si="4"/>
        <v>0</v>
      </c>
      <c r="T23" s="362">
        <f t="shared" si="4"/>
        <v>0</v>
      </c>
      <c r="U23" s="362">
        <f t="shared" si="4"/>
        <v>0</v>
      </c>
      <c r="V23" s="362">
        <f t="shared" si="4"/>
        <v>0</v>
      </c>
      <c r="W23" s="362">
        <f t="shared" si="4"/>
        <v>0</v>
      </c>
      <c r="X23" s="362">
        <f t="shared" si="4"/>
        <v>0</v>
      </c>
      <c r="Y23" s="362">
        <f t="shared" si="4"/>
        <v>0</v>
      </c>
      <c r="Z23" s="362">
        <f t="shared" si="4"/>
        <v>0</v>
      </c>
      <c r="AA23" s="362">
        <f t="shared" si="4"/>
        <v>0</v>
      </c>
      <c r="AB23" s="362">
        <f t="shared" si="4"/>
        <v>0</v>
      </c>
      <c r="AC23" s="362">
        <f t="shared" si="4"/>
        <v>0</v>
      </c>
      <c r="AD23" s="362">
        <f t="shared" si="4"/>
        <v>0</v>
      </c>
      <c r="AE23" s="362">
        <f t="shared" si="4"/>
        <v>0</v>
      </c>
      <c r="AF23" s="362">
        <f t="shared" si="4"/>
        <v>0</v>
      </c>
      <c r="AG23" s="362">
        <f t="shared" si="4"/>
        <v>0</v>
      </c>
      <c r="AH23" s="362">
        <f t="shared" si="4"/>
        <v>0</v>
      </c>
      <c r="AI23" s="80">
        <f t="shared" si="2"/>
        <v>640.32504701061907</v>
      </c>
    </row>
    <row r="24" spans="1:35">
      <c r="A24" s="159"/>
      <c r="B24" s="346" t="s">
        <v>68</v>
      </c>
      <c r="C24" s="345">
        <v>16.812336352682809</v>
      </c>
      <c r="D24" s="345">
        <v>0</v>
      </c>
      <c r="E24" s="345">
        <v>0</v>
      </c>
      <c r="F24" s="345">
        <v>0</v>
      </c>
      <c r="G24" s="345">
        <v>0</v>
      </c>
      <c r="H24" s="345">
        <v>0</v>
      </c>
      <c r="I24" s="345">
        <v>0</v>
      </c>
      <c r="J24" s="94">
        <v>126.2779625713481</v>
      </c>
      <c r="K24" s="345">
        <v>0</v>
      </c>
      <c r="L24" s="345">
        <v>0</v>
      </c>
      <c r="M24" s="345">
        <v>34.248668166193966</v>
      </c>
      <c r="N24" s="345">
        <v>462.98607992039416</v>
      </c>
      <c r="O24" s="345">
        <v>0</v>
      </c>
      <c r="P24" s="345">
        <v>0</v>
      </c>
      <c r="Q24" s="345">
        <v>0</v>
      </c>
      <c r="R24" s="345">
        <v>0</v>
      </c>
      <c r="S24" s="345">
        <v>0</v>
      </c>
      <c r="T24" s="345">
        <v>0</v>
      </c>
      <c r="U24" s="345">
        <v>0</v>
      </c>
      <c r="V24" s="345">
        <v>0</v>
      </c>
      <c r="W24" s="345">
        <v>0</v>
      </c>
      <c r="X24" s="345">
        <v>0</v>
      </c>
      <c r="Y24" s="345">
        <v>0</v>
      </c>
      <c r="Z24" s="345">
        <v>0</v>
      </c>
      <c r="AA24" s="345">
        <v>0</v>
      </c>
      <c r="AB24" s="345">
        <v>0</v>
      </c>
      <c r="AC24" s="345">
        <v>0</v>
      </c>
      <c r="AD24" s="345">
        <v>0</v>
      </c>
      <c r="AE24" s="345">
        <v>0</v>
      </c>
      <c r="AF24" s="345">
        <v>0</v>
      </c>
      <c r="AG24" s="345">
        <v>0</v>
      </c>
      <c r="AH24" s="345">
        <v>0</v>
      </c>
      <c r="AI24" s="94">
        <f t="shared" si="2"/>
        <v>640.32504701061907</v>
      </c>
    </row>
    <row r="25" spans="1:35">
      <c r="A25" s="159"/>
      <c r="B25" s="339" t="s">
        <v>69</v>
      </c>
      <c r="C25" s="362">
        <f t="shared" ref="C25:AH25" si="5">+C26+C29</f>
        <v>2539.7845927763728</v>
      </c>
      <c r="D25" s="362">
        <f t="shared" si="5"/>
        <v>35.40859503312241</v>
      </c>
      <c r="E25" s="362">
        <f t="shared" si="5"/>
        <v>35.419549081037175</v>
      </c>
      <c r="F25" s="362">
        <f t="shared" si="5"/>
        <v>35.321815875171836</v>
      </c>
      <c r="G25" s="362">
        <f t="shared" si="5"/>
        <v>35.288830231357551</v>
      </c>
      <c r="H25" s="362">
        <f t="shared" si="5"/>
        <v>33.317784698360505</v>
      </c>
      <c r="I25" s="362">
        <f t="shared" si="5"/>
        <v>33.063481706086741</v>
      </c>
      <c r="J25" s="362">
        <f t="shared" si="5"/>
        <v>32.253892725030802</v>
      </c>
      <c r="K25" s="362">
        <f t="shared" si="5"/>
        <v>1.9889728729963021</v>
      </c>
      <c r="L25" s="362">
        <f t="shared" si="5"/>
        <v>1.9889728729963021</v>
      </c>
      <c r="M25" s="362">
        <f t="shared" si="5"/>
        <v>1.0607068826364761</v>
      </c>
      <c r="N25" s="362">
        <f t="shared" si="5"/>
        <v>0</v>
      </c>
      <c r="O25" s="362">
        <f t="shared" si="5"/>
        <v>0</v>
      </c>
      <c r="P25" s="362">
        <f t="shared" si="5"/>
        <v>0</v>
      </c>
      <c r="Q25" s="362">
        <f t="shared" si="5"/>
        <v>0</v>
      </c>
      <c r="R25" s="362">
        <f t="shared" si="5"/>
        <v>0</v>
      </c>
      <c r="S25" s="362">
        <f t="shared" si="5"/>
        <v>0</v>
      </c>
      <c r="T25" s="362">
        <f t="shared" si="5"/>
        <v>0</v>
      </c>
      <c r="U25" s="362">
        <f t="shared" si="5"/>
        <v>0</v>
      </c>
      <c r="V25" s="362">
        <f t="shared" si="5"/>
        <v>0</v>
      </c>
      <c r="W25" s="362">
        <f t="shared" si="5"/>
        <v>0</v>
      </c>
      <c r="X25" s="362">
        <f t="shared" si="5"/>
        <v>0</v>
      </c>
      <c r="Y25" s="362">
        <f t="shared" si="5"/>
        <v>0</v>
      </c>
      <c r="Z25" s="362">
        <f t="shared" si="5"/>
        <v>0</v>
      </c>
      <c r="AA25" s="362">
        <f t="shared" si="5"/>
        <v>0</v>
      </c>
      <c r="AB25" s="362">
        <f t="shared" si="5"/>
        <v>0</v>
      </c>
      <c r="AC25" s="362">
        <f t="shared" si="5"/>
        <v>0</v>
      </c>
      <c r="AD25" s="362">
        <f t="shared" si="5"/>
        <v>0</v>
      </c>
      <c r="AE25" s="362">
        <f t="shared" si="5"/>
        <v>0</v>
      </c>
      <c r="AF25" s="362">
        <f t="shared" si="5"/>
        <v>0</v>
      </c>
      <c r="AG25" s="362">
        <f t="shared" si="5"/>
        <v>0</v>
      </c>
      <c r="AH25" s="362">
        <f t="shared" si="5"/>
        <v>0</v>
      </c>
      <c r="AI25" s="80">
        <f t="shared" si="2"/>
        <v>2784.897194755169</v>
      </c>
    </row>
    <row r="26" spans="1:35">
      <c r="A26" s="159"/>
      <c r="B26" s="347" t="s">
        <v>72</v>
      </c>
      <c r="C26" s="343">
        <f t="shared" ref="C26:AH26" si="6">+C27+C28</f>
        <v>2505.3977765850232</v>
      </c>
      <c r="D26" s="343">
        <f t="shared" si="6"/>
        <v>0</v>
      </c>
      <c r="E26" s="343">
        <f t="shared" si="6"/>
        <v>0</v>
      </c>
      <c r="F26" s="343">
        <f t="shared" si="6"/>
        <v>0</v>
      </c>
      <c r="G26" s="343">
        <f t="shared" si="6"/>
        <v>0</v>
      </c>
      <c r="H26" s="343">
        <f t="shared" si="6"/>
        <v>0</v>
      </c>
      <c r="I26" s="343">
        <f t="shared" si="6"/>
        <v>0</v>
      </c>
      <c r="J26" s="343">
        <f t="shared" si="6"/>
        <v>0</v>
      </c>
      <c r="K26" s="343">
        <f t="shared" si="6"/>
        <v>0</v>
      </c>
      <c r="L26" s="343">
        <f t="shared" si="6"/>
        <v>0</v>
      </c>
      <c r="M26" s="343">
        <f t="shared" si="6"/>
        <v>0</v>
      </c>
      <c r="N26" s="343">
        <f t="shared" si="6"/>
        <v>0</v>
      </c>
      <c r="O26" s="343">
        <f t="shared" si="6"/>
        <v>0</v>
      </c>
      <c r="P26" s="343">
        <f t="shared" si="6"/>
        <v>0</v>
      </c>
      <c r="Q26" s="343">
        <f t="shared" si="6"/>
        <v>0</v>
      </c>
      <c r="R26" s="343">
        <f t="shared" si="6"/>
        <v>0</v>
      </c>
      <c r="S26" s="343">
        <f t="shared" si="6"/>
        <v>0</v>
      </c>
      <c r="T26" s="343">
        <f t="shared" si="6"/>
        <v>0</v>
      </c>
      <c r="U26" s="343">
        <f t="shared" si="6"/>
        <v>0</v>
      </c>
      <c r="V26" s="343">
        <f t="shared" si="6"/>
        <v>0</v>
      </c>
      <c r="W26" s="343">
        <f t="shared" si="6"/>
        <v>0</v>
      </c>
      <c r="X26" s="343">
        <f t="shared" si="6"/>
        <v>0</v>
      </c>
      <c r="Y26" s="343">
        <f t="shared" si="6"/>
        <v>0</v>
      </c>
      <c r="Z26" s="343">
        <f t="shared" si="6"/>
        <v>0</v>
      </c>
      <c r="AA26" s="343">
        <f t="shared" si="6"/>
        <v>0</v>
      </c>
      <c r="AB26" s="343">
        <f t="shared" si="6"/>
        <v>0</v>
      </c>
      <c r="AC26" s="343">
        <f t="shared" si="6"/>
        <v>0</v>
      </c>
      <c r="AD26" s="343">
        <f t="shared" si="6"/>
        <v>0</v>
      </c>
      <c r="AE26" s="343">
        <f t="shared" si="6"/>
        <v>0</v>
      </c>
      <c r="AF26" s="343">
        <f t="shared" si="6"/>
        <v>0</v>
      </c>
      <c r="AG26" s="343">
        <f t="shared" si="6"/>
        <v>0</v>
      </c>
      <c r="AH26" s="343">
        <f t="shared" si="6"/>
        <v>0</v>
      </c>
      <c r="AI26" s="83">
        <f t="shared" si="2"/>
        <v>2505.3977765850232</v>
      </c>
    </row>
    <row r="27" spans="1:35">
      <c r="A27" s="159"/>
      <c r="B27" s="377" t="s">
        <v>713</v>
      </c>
      <c r="C27" s="1266">
        <v>2003.50613573754</v>
      </c>
      <c r="D27" s="1266">
        <v>0</v>
      </c>
      <c r="E27" s="1267">
        <v>0</v>
      </c>
      <c r="F27" s="1266">
        <v>0</v>
      </c>
      <c r="G27" s="1266">
        <v>0</v>
      </c>
      <c r="H27" s="1266">
        <v>0</v>
      </c>
      <c r="I27" s="1266">
        <v>0</v>
      </c>
      <c r="J27" s="1266">
        <v>0</v>
      </c>
      <c r="K27" s="1266">
        <v>0</v>
      </c>
      <c r="L27" s="1268">
        <v>0</v>
      </c>
      <c r="M27" s="1266">
        <v>0</v>
      </c>
      <c r="N27" s="1266">
        <v>0</v>
      </c>
      <c r="O27" s="1266">
        <v>0</v>
      </c>
      <c r="P27" s="1266">
        <v>0</v>
      </c>
      <c r="Q27" s="1266">
        <v>0</v>
      </c>
      <c r="R27" s="1266">
        <v>0</v>
      </c>
      <c r="S27" s="1266">
        <v>0</v>
      </c>
      <c r="T27" s="1266">
        <v>0</v>
      </c>
      <c r="U27" s="1266">
        <v>0</v>
      </c>
      <c r="V27" s="1266">
        <v>0</v>
      </c>
      <c r="W27" s="1266">
        <v>0</v>
      </c>
      <c r="X27" s="1266">
        <v>0</v>
      </c>
      <c r="Y27" s="1266">
        <v>0</v>
      </c>
      <c r="Z27" s="1266">
        <v>0</v>
      </c>
      <c r="AA27" s="1266">
        <v>0</v>
      </c>
      <c r="AB27" s="1266">
        <v>0</v>
      </c>
      <c r="AC27" s="1266">
        <v>0</v>
      </c>
      <c r="AD27" s="1266">
        <v>0</v>
      </c>
      <c r="AE27" s="1266">
        <v>0</v>
      </c>
      <c r="AF27" s="1266">
        <v>0</v>
      </c>
      <c r="AG27" s="1266">
        <v>0</v>
      </c>
      <c r="AH27" s="1266">
        <v>0</v>
      </c>
      <c r="AI27" s="82">
        <f t="shared" si="2"/>
        <v>2003.50613573754</v>
      </c>
    </row>
    <row r="28" spans="1:35">
      <c r="A28" s="159"/>
      <c r="B28" s="370" t="s">
        <v>99</v>
      </c>
      <c r="C28" s="1269">
        <v>501.8916408474829</v>
      </c>
      <c r="D28" s="1269">
        <v>0</v>
      </c>
      <c r="E28" s="1270">
        <v>0</v>
      </c>
      <c r="F28" s="1269">
        <v>0</v>
      </c>
      <c r="G28" s="1269">
        <v>0</v>
      </c>
      <c r="H28" s="1269">
        <v>0</v>
      </c>
      <c r="I28" s="1269">
        <v>0</v>
      </c>
      <c r="J28" s="1269">
        <v>0</v>
      </c>
      <c r="K28" s="1269">
        <v>0</v>
      </c>
      <c r="L28" s="1271">
        <v>0</v>
      </c>
      <c r="M28" s="1269">
        <v>0</v>
      </c>
      <c r="N28" s="1269">
        <v>0</v>
      </c>
      <c r="O28" s="1269">
        <v>0</v>
      </c>
      <c r="P28" s="1269">
        <v>0</v>
      </c>
      <c r="Q28" s="1269">
        <v>0</v>
      </c>
      <c r="R28" s="1269">
        <v>0</v>
      </c>
      <c r="S28" s="1269">
        <v>0</v>
      </c>
      <c r="T28" s="1269">
        <v>0</v>
      </c>
      <c r="U28" s="1269">
        <v>0</v>
      </c>
      <c r="V28" s="1269">
        <v>0</v>
      </c>
      <c r="W28" s="1269">
        <v>0</v>
      </c>
      <c r="X28" s="1269">
        <v>0</v>
      </c>
      <c r="Y28" s="1269">
        <v>0</v>
      </c>
      <c r="Z28" s="1269">
        <v>0</v>
      </c>
      <c r="AA28" s="1269">
        <v>0</v>
      </c>
      <c r="AB28" s="1269">
        <v>0</v>
      </c>
      <c r="AC28" s="1269">
        <v>0</v>
      </c>
      <c r="AD28" s="1269">
        <v>0</v>
      </c>
      <c r="AE28" s="1269">
        <v>0</v>
      </c>
      <c r="AF28" s="1269">
        <v>0</v>
      </c>
      <c r="AG28" s="1269">
        <v>0</v>
      </c>
      <c r="AH28" s="1269">
        <v>0</v>
      </c>
      <c r="AI28" s="128">
        <f t="shared" si="2"/>
        <v>501.8916408474829</v>
      </c>
    </row>
    <row r="29" spans="1:35">
      <c r="A29" s="159"/>
      <c r="B29" s="347" t="s">
        <v>70</v>
      </c>
      <c r="C29" s="343">
        <f t="shared" ref="C29:AH29" si="7">+C30</f>
        <v>34.386816191349489</v>
      </c>
      <c r="D29" s="343">
        <f t="shared" si="7"/>
        <v>35.40859503312241</v>
      </c>
      <c r="E29" s="343">
        <f t="shared" si="7"/>
        <v>35.419549081037175</v>
      </c>
      <c r="F29" s="343">
        <f t="shared" si="7"/>
        <v>35.321815875171836</v>
      </c>
      <c r="G29" s="343">
        <f t="shared" si="7"/>
        <v>35.288830231357551</v>
      </c>
      <c r="H29" s="343">
        <f t="shared" si="7"/>
        <v>33.317784698360505</v>
      </c>
      <c r="I29" s="343">
        <f t="shared" si="7"/>
        <v>33.063481706086741</v>
      </c>
      <c r="J29" s="343">
        <f t="shared" si="7"/>
        <v>32.253892725030802</v>
      </c>
      <c r="K29" s="343">
        <f t="shared" si="7"/>
        <v>1.9889728729963021</v>
      </c>
      <c r="L29" s="343">
        <f t="shared" si="7"/>
        <v>1.9889728729963021</v>
      </c>
      <c r="M29" s="343">
        <f t="shared" si="7"/>
        <v>1.0607068826364761</v>
      </c>
      <c r="N29" s="343">
        <f t="shared" si="7"/>
        <v>0</v>
      </c>
      <c r="O29" s="343">
        <f t="shared" si="7"/>
        <v>0</v>
      </c>
      <c r="P29" s="343">
        <f t="shared" si="7"/>
        <v>0</v>
      </c>
      <c r="Q29" s="343">
        <f t="shared" si="7"/>
        <v>0</v>
      </c>
      <c r="R29" s="343">
        <f t="shared" si="7"/>
        <v>0</v>
      </c>
      <c r="S29" s="343">
        <f t="shared" si="7"/>
        <v>0</v>
      </c>
      <c r="T29" s="343">
        <f t="shared" si="7"/>
        <v>0</v>
      </c>
      <c r="U29" s="343">
        <f t="shared" si="7"/>
        <v>0</v>
      </c>
      <c r="V29" s="343">
        <f t="shared" si="7"/>
        <v>0</v>
      </c>
      <c r="W29" s="343">
        <f t="shared" si="7"/>
        <v>0</v>
      </c>
      <c r="X29" s="343">
        <f t="shared" si="7"/>
        <v>0</v>
      </c>
      <c r="Y29" s="343">
        <f t="shared" si="7"/>
        <v>0</v>
      </c>
      <c r="Z29" s="343">
        <f t="shared" si="7"/>
        <v>0</v>
      </c>
      <c r="AA29" s="343">
        <f t="shared" si="7"/>
        <v>0</v>
      </c>
      <c r="AB29" s="343">
        <f t="shared" si="7"/>
        <v>0</v>
      </c>
      <c r="AC29" s="343">
        <f t="shared" si="7"/>
        <v>0</v>
      </c>
      <c r="AD29" s="343">
        <f t="shared" si="7"/>
        <v>0</v>
      </c>
      <c r="AE29" s="343">
        <f t="shared" si="7"/>
        <v>0</v>
      </c>
      <c r="AF29" s="343">
        <f t="shared" si="7"/>
        <v>0</v>
      </c>
      <c r="AG29" s="343">
        <f t="shared" si="7"/>
        <v>0</v>
      </c>
      <c r="AH29" s="343">
        <f t="shared" si="7"/>
        <v>0</v>
      </c>
      <c r="AI29" s="83">
        <f t="shared" si="2"/>
        <v>279.49941817014565</v>
      </c>
    </row>
    <row r="30" spans="1:35">
      <c r="A30" s="159"/>
      <c r="B30" s="378" t="s">
        <v>99</v>
      </c>
      <c r="C30" s="344">
        <v>34.386816191349489</v>
      </c>
      <c r="D30" s="344">
        <v>35.40859503312241</v>
      </c>
      <c r="E30" s="344">
        <v>35.419549081037175</v>
      </c>
      <c r="F30" s="344">
        <v>35.321815875171836</v>
      </c>
      <c r="G30" s="344">
        <v>35.288830231357551</v>
      </c>
      <c r="H30" s="344">
        <v>33.317784698360505</v>
      </c>
      <c r="I30" s="344">
        <v>33.063481706086741</v>
      </c>
      <c r="J30" s="82">
        <v>32.253892725030802</v>
      </c>
      <c r="K30" s="344">
        <v>1.9889728729963021</v>
      </c>
      <c r="L30" s="344">
        <v>1.9889728729963021</v>
      </c>
      <c r="M30" s="344">
        <v>1.0607068826364761</v>
      </c>
      <c r="N30" s="344">
        <v>0</v>
      </c>
      <c r="O30" s="344">
        <v>0</v>
      </c>
      <c r="P30" s="344">
        <v>0</v>
      </c>
      <c r="Q30" s="344">
        <v>0</v>
      </c>
      <c r="R30" s="344">
        <v>0</v>
      </c>
      <c r="S30" s="344">
        <v>0</v>
      </c>
      <c r="T30" s="344">
        <v>0</v>
      </c>
      <c r="U30" s="344">
        <v>0</v>
      </c>
      <c r="V30" s="344">
        <v>0</v>
      </c>
      <c r="W30" s="344">
        <v>0</v>
      </c>
      <c r="X30" s="344">
        <v>0</v>
      </c>
      <c r="Y30" s="344">
        <v>0</v>
      </c>
      <c r="Z30" s="344">
        <v>0</v>
      </c>
      <c r="AA30" s="344">
        <v>0</v>
      </c>
      <c r="AB30" s="344">
        <v>0</v>
      </c>
      <c r="AC30" s="344">
        <v>0</v>
      </c>
      <c r="AD30" s="344">
        <v>0</v>
      </c>
      <c r="AE30" s="344">
        <v>0</v>
      </c>
      <c r="AF30" s="344">
        <v>0</v>
      </c>
      <c r="AG30" s="344">
        <v>0</v>
      </c>
      <c r="AH30" s="344">
        <v>0</v>
      </c>
      <c r="AI30" s="82">
        <f t="shared" si="2"/>
        <v>279.49941817014565</v>
      </c>
    </row>
    <row r="31" spans="1:35">
      <c r="A31" s="159"/>
      <c r="B31" s="339" t="s">
        <v>71</v>
      </c>
      <c r="C31" s="362">
        <v>2259.8277340088171</v>
      </c>
      <c r="D31" s="362">
        <v>338.87312381404541</v>
      </c>
      <c r="E31" s="362">
        <v>316.38031748912891</v>
      </c>
      <c r="F31" s="362">
        <v>337.66982428905061</v>
      </c>
      <c r="G31" s="362">
        <v>327.26049288889061</v>
      </c>
      <c r="H31" s="362">
        <v>326.05899469889061</v>
      </c>
      <c r="I31" s="362">
        <v>317.48392484889058</v>
      </c>
      <c r="J31" s="80">
        <v>317.3907050488906</v>
      </c>
      <c r="K31" s="362">
        <v>317.3907050488906</v>
      </c>
      <c r="L31" s="362">
        <v>317.3907050488906</v>
      </c>
      <c r="M31" s="362">
        <v>104.25869344889058</v>
      </c>
      <c r="N31" s="362">
        <v>36.758693448890583</v>
      </c>
      <c r="O31" s="362">
        <v>36.758693418890587</v>
      </c>
      <c r="P31" s="362">
        <v>5.395858687949616</v>
      </c>
      <c r="Q31" s="362">
        <v>5.0526517913040045</v>
      </c>
      <c r="R31" s="362">
        <v>5.0526517967494415</v>
      </c>
      <c r="S31" s="362">
        <v>5.0270553308378751</v>
      </c>
      <c r="T31" s="362">
        <v>5.0270553308378751</v>
      </c>
      <c r="U31" s="362">
        <v>5.0270553308378751</v>
      </c>
      <c r="V31" s="362">
        <v>4.2280442710821804</v>
      </c>
      <c r="W31" s="362">
        <v>3.4290332113264852</v>
      </c>
      <c r="X31" s="362">
        <v>3.4290330207648951</v>
      </c>
      <c r="Y31" s="362">
        <v>1.9228650997610801</v>
      </c>
      <c r="Z31" s="362">
        <v>0.97839488820636811</v>
      </c>
      <c r="AA31" s="362">
        <v>0</v>
      </c>
      <c r="AB31" s="362">
        <v>0</v>
      </c>
      <c r="AC31" s="362">
        <v>0</v>
      </c>
      <c r="AD31" s="362">
        <v>0</v>
      </c>
      <c r="AE31" s="362">
        <v>0</v>
      </c>
      <c r="AF31" s="362">
        <v>0</v>
      </c>
      <c r="AG31" s="362">
        <v>0</v>
      </c>
      <c r="AH31" s="362">
        <v>0</v>
      </c>
      <c r="AI31" s="80">
        <f t="shared" si="2"/>
        <v>5398.0723062607176</v>
      </c>
    </row>
    <row r="32" spans="1:35">
      <c r="A32" s="159"/>
      <c r="B32" s="339" t="s">
        <v>371</v>
      </c>
      <c r="C32" s="362">
        <f>+C33+C35+C37</f>
        <v>1307.281322654268</v>
      </c>
      <c r="D32" s="362">
        <f t="shared" ref="D32:AH32" si="8">+D33+D35+D37</f>
        <v>1.1811965099999999</v>
      </c>
      <c r="E32" s="362">
        <f t="shared" si="8"/>
        <v>0</v>
      </c>
      <c r="F32" s="362">
        <f t="shared" si="8"/>
        <v>0</v>
      </c>
      <c r="G32" s="362">
        <f t="shared" si="8"/>
        <v>0</v>
      </c>
      <c r="H32" s="362">
        <f t="shared" si="8"/>
        <v>0</v>
      </c>
      <c r="I32" s="362">
        <f t="shared" si="8"/>
        <v>0</v>
      </c>
      <c r="J32" s="362">
        <f t="shared" si="8"/>
        <v>0</v>
      </c>
      <c r="K32" s="362">
        <f t="shared" si="8"/>
        <v>0</v>
      </c>
      <c r="L32" s="362">
        <f t="shared" si="8"/>
        <v>15.7161654209287</v>
      </c>
      <c r="M32" s="362">
        <f t="shared" si="8"/>
        <v>31.4323308418574</v>
      </c>
      <c r="N32" s="362">
        <f t="shared" si="8"/>
        <v>31.4323308418574</v>
      </c>
      <c r="O32" s="362">
        <f t="shared" si="8"/>
        <v>31.4323308418574</v>
      </c>
      <c r="P32" s="362">
        <f t="shared" si="8"/>
        <v>31.4323308418574</v>
      </c>
      <c r="Q32" s="362">
        <f t="shared" si="8"/>
        <v>31.4323308418574</v>
      </c>
      <c r="R32" s="362">
        <f t="shared" si="8"/>
        <v>31.4323308418574</v>
      </c>
      <c r="S32" s="362">
        <f t="shared" si="8"/>
        <v>31.4323308418574</v>
      </c>
      <c r="T32" s="362">
        <f t="shared" si="8"/>
        <v>31.4323308418574</v>
      </c>
      <c r="U32" s="362">
        <f t="shared" si="8"/>
        <v>47.148496275275299</v>
      </c>
      <c r="V32" s="362">
        <f t="shared" si="8"/>
        <v>0</v>
      </c>
      <c r="W32" s="362">
        <f t="shared" si="8"/>
        <v>0</v>
      </c>
      <c r="X32" s="362">
        <f t="shared" si="8"/>
        <v>0</v>
      </c>
      <c r="Y32" s="362">
        <f t="shared" si="8"/>
        <v>0</v>
      </c>
      <c r="Z32" s="362">
        <f t="shared" si="8"/>
        <v>0</v>
      </c>
      <c r="AA32" s="362">
        <f t="shared" si="8"/>
        <v>0</v>
      </c>
      <c r="AB32" s="362">
        <f t="shared" si="8"/>
        <v>0</v>
      </c>
      <c r="AC32" s="362">
        <f t="shared" si="8"/>
        <v>0</v>
      </c>
      <c r="AD32" s="362">
        <f t="shared" si="8"/>
        <v>0</v>
      </c>
      <c r="AE32" s="362">
        <f t="shared" si="8"/>
        <v>0</v>
      </c>
      <c r="AF32" s="362">
        <f t="shared" si="8"/>
        <v>0</v>
      </c>
      <c r="AG32" s="362">
        <f t="shared" si="8"/>
        <v>0</v>
      </c>
      <c r="AH32" s="362">
        <f t="shared" si="8"/>
        <v>0</v>
      </c>
      <c r="AI32" s="80">
        <f t="shared" si="2"/>
        <v>1622.785827595332</v>
      </c>
    </row>
    <row r="33" spans="1:69">
      <c r="A33" s="159"/>
      <c r="B33" s="346" t="s">
        <v>68</v>
      </c>
      <c r="C33" s="345">
        <f t="shared" ref="C33:AH35" si="9">+C34</f>
        <v>0</v>
      </c>
      <c r="D33" s="345">
        <f t="shared" si="9"/>
        <v>0</v>
      </c>
      <c r="E33" s="345">
        <f t="shared" si="9"/>
        <v>0</v>
      </c>
      <c r="F33" s="345">
        <f t="shared" si="9"/>
        <v>0</v>
      </c>
      <c r="G33" s="345">
        <f t="shared" si="9"/>
        <v>0</v>
      </c>
      <c r="H33" s="345">
        <f t="shared" si="9"/>
        <v>0</v>
      </c>
      <c r="I33" s="345">
        <f t="shared" si="9"/>
        <v>0</v>
      </c>
      <c r="J33" s="345">
        <f t="shared" si="9"/>
        <v>0</v>
      </c>
      <c r="K33" s="345">
        <f t="shared" si="9"/>
        <v>0</v>
      </c>
      <c r="L33" s="345">
        <f t="shared" si="9"/>
        <v>15.7161654209287</v>
      </c>
      <c r="M33" s="345">
        <f t="shared" si="9"/>
        <v>31.4323308418574</v>
      </c>
      <c r="N33" s="345">
        <f t="shared" si="9"/>
        <v>31.4323308418574</v>
      </c>
      <c r="O33" s="345">
        <f t="shared" si="9"/>
        <v>31.4323308418574</v>
      </c>
      <c r="P33" s="345">
        <f t="shared" si="9"/>
        <v>31.4323308418574</v>
      </c>
      <c r="Q33" s="345">
        <f t="shared" si="9"/>
        <v>31.4323308418574</v>
      </c>
      <c r="R33" s="345">
        <f t="shared" si="9"/>
        <v>31.4323308418574</v>
      </c>
      <c r="S33" s="345">
        <f t="shared" si="9"/>
        <v>31.4323308418574</v>
      </c>
      <c r="T33" s="345">
        <f t="shared" si="9"/>
        <v>31.4323308418574</v>
      </c>
      <c r="U33" s="345">
        <f t="shared" si="9"/>
        <v>47.148496275275299</v>
      </c>
      <c r="V33" s="345">
        <f t="shared" si="9"/>
        <v>0</v>
      </c>
      <c r="W33" s="345">
        <f t="shared" si="9"/>
        <v>0</v>
      </c>
      <c r="X33" s="345">
        <f t="shared" si="9"/>
        <v>0</v>
      </c>
      <c r="Y33" s="345">
        <f t="shared" si="9"/>
        <v>0</v>
      </c>
      <c r="Z33" s="345">
        <f t="shared" si="9"/>
        <v>0</v>
      </c>
      <c r="AA33" s="345">
        <f t="shared" si="9"/>
        <v>0</v>
      </c>
      <c r="AB33" s="345">
        <f t="shared" si="9"/>
        <v>0</v>
      </c>
      <c r="AC33" s="345">
        <f t="shared" si="9"/>
        <v>0</v>
      </c>
      <c r="AD33" s="345">
        <f t="shared" si="9"/>
        <v>0</v>
      </c>
      <c r="AE33" s="345">
        <f t="shared" si="9"/>
        <v>0</v>
      </c>
      <c r="AF33" s="345">
        <f t="shared" si="9"/>
        <v>0</v>
      </c>
      <c r="AG33" s="345">
        <f t="shared" si="9"/>
        <v>0</v>
      </c>
      <c r="AH33" s="345">
        <f t="shared" si="9"/>
        <v>0</v>
      </c>
      <c r="AI33" s="94">
        <f t="shared" si="2"/>
        <v>314.32330843106325</v>
      </c>
    </row>
    <row r="34" spans="1:69" s="93" customFormat="1">
      <c r="A34" s="159"/>
      <c r="B34" s="347" t="s">
        <v>377</v>
      </c>
      <c r="C34" s="343">
        <v>0</v>
      </c>
      <c r="D34" s="343">
        <v>0</v>
      </c>
      <c r="E34" s="343">
        <v>0</v>
      </c>
      <c r="F34" s="343">
        <v>0</v>
      </c>
      <c r="G34" s="343">
        <v>0</v>
      </c>
      <c r="H34" s="343">
        <v>0</v>
      </c>
      <c r="I34" s="343">
        <v>0</v>
      </c>
      <c r="J34" s="83">
        <v>0</v>
      </c>
      <c r="K34" s="343">
        <v>0</v>
      </c>
      <c r="L34" s="343">
        <v>15.7161654209287</v>
      </c>
      <c r="M34" s="343">
        <v>31.4323308418574</v>
      </c>
      <c r="N34" s="343">
        <v>31.4323308418574</v>
      </c>
      <c r="O34" s="343">
        <v>31.4323308418574</v>
      </c>
      <c r="P34" s="343">
        <v>31.4323308418574</v>
      </c>
      <c r="Q34" s="343">
        <v>31.4323308418574</v>
      </c>
      <c r="R34" s="343">
        <v>31.4323308418574</v>
      </c>
      <c r="S34" s="343">
        <v>31.4323308418574</v>
      </c>
      <c r="T34" s="343">
        <v>31.4323308418574</v>
      </c>
      <c r="U34" s="343">
        <v>47.148496275275299</v>
      </c>
      <c r="V34" s="343">
        <v>0</v>
      </c>
      <c r="W34" s="343">
        <v>0</v>
      </c>
      <c r="X34" s="343">
        <v>0</v>
      </c>
      <c r="Y34" s="343">
        <v>0</v>
      </c>
      <c r="Z34" s="343">
        <v>0</v>
      </c>
      <c r="AA34" s="343">
        <v>0</v>
      </c>
      <c r="AB34" s="343">
        <v>0</v>
      </c>
      <c r="AC34" s="343">
        <v>0</v>
      </c>
      <c r="AD34" s="343">
        <v>0</v>
      </c>
      <c r="AE34" s="343">
        <v>0</v>
      </c>
      <c r="AF34" s="343">
        <v>0</v>
      </c>
      <c r="AG34" s="343">
        <v>0</v>
      </c>
      <c r="AH34" s="343">
        <v>0</v>
      </c>
      <c r="AI34" s="83">
        <f t="shared" si="2"/>
        <v>314.32330843106325</v>
      </c>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row>
    <row r="35" spans="1:69">
      <c r="A35" s="159"/>
      <c r="B35" s="346" t="s">
        <v>913</v>
      </c>
      <c r="C35" s="989">
        <f t="shared" si="9"/>
        <v>1290.591869104268</v>
      </c>
      <c r="D35" s="989">
        <f t="shared" si="9"/>
        <v>0</v>
      </c>
      <c r="E35" s="989">
        <f t="shared" si="9"/>
        <v>0</v>
      </c>
      <c r="F35" s="989">
        <f t="shared" si="9"/>
        <v>0</v>
      </c>
      <c r="G35" s="989">
        <f t="shared" si="9"/>
        <v>0</v>
      </c>
      <c r="H35" s="989">
        <f t="shared" si="9"/>
        <v>0</v>
      </c>
      <c r="I35" s="989">
        <f t="shared" si="9"/>
        <v>0</v>
      </c>
      <c r="J35" s="989">
        <f t="shared" si="9"/>
        <v>0</v>
      </c>
      <c r="K35" s="989">
        <f t="shared" si="9"/>
        <v>0</v>
      </c>
      <c r="L35" s="989">
        <f t="shared" si="9"/>
        <v>0</v>
      </c>
      <c r="M35" s="989">
        <f t="shared" si="9"/>
        <v>0</v>
      </c>
      <c r="N35" s="989">
        <f t="shared" si="9"/>
        <v>0</v>
      </c>
      <c r="O35" s="989">
        <f t="shared" si="9"/>
        <v>0</v>
      </c>
      <c r="P35" s="989">
        <f t="shared" si="9"/>
        <v>0</v>
      </c>
      <c r="Q35" s="989">
        <f t="shared" si="9"/>
        <v>0</v>
      </c>
      <c r="R35" s="989">
        <f t="shared" si="9"/>
        <v>0</v>
      </c>
      <c r="S35" s="989">
        <f t="shared" si="9"/>
        <v>0</v>
      </c>
      <c r="T35" s="989">
        <f t="shared" si="9"/>
        <v>0</v>
      </c>
      <c r="U35" s="989">
        <f t="shared" si="9"/>
        <v>0</v>
      </c>
      <c r="V35" s="989">
        <f t="shared" si="9"/>
        <v>0</v>
      </c>
      <c r="W35" s="989">
        <f t="shared" si="9"/>
        <v>0</v>
      </c>
      <c r="X35" s="989">
        <f t="shared" si="9"/>
        <v>0</v>
      </c>
      <c r="Y35" s="989">
        <f t="shared" si="9"/>
        <v>0</v>
      </c>
      <c r="Z35" s="989">
        <f t="shared" si="9"/>
        <v>0</v>
      </c>
      <c r="AA35" s="989">
        <f t="shared" si="9"/>
        <v>0</v>
      </c>
      <c r="AB35" s="989">
        <f t="shared" si="9"/>
        <v>0</v>
      </c>
      <c r="AC35" s="989">
        <f t="shared" si="9"/>
        <v>0</v>
      </c>
      <c r="AD35" s="989">
        <f t="shared" si="9"/>
        <v>0</v>
      </c>
      <c r="AE35" s="989">
        <f t="shared" si="9"/>
        <v>0</v>
      </c>
      <c r="AF35" s="989">
        <f t="shared" si="9"/>
        <v>0</v>
      </c>
      <c r="AG35" s="989">
        <f t="shared" si="9"/>
        <v>0</v>
      </c>
      <c r="AH35" s="989">
        <f t="shared" si="9"/>
        <v>0</v>
      </c>
      <c r="AI35" s="1005">
        <f t="shared" si="2"/>
        <v>1290.591869104268</v>
      </c>
    </row>
    <row r="36" spans="1:69" s="93" customFormat="1">
      <c r="A36" s="159"/>
      <c r="B36" s="347" t="s">
        <v>914</v>
      </c>
      <c r="C36" s="1000">
        <v>1290.591869104268</v>
      </c>
      <c r="D36" s="1000">
        <v>0</v>
      </c>
      <c r="E36" s="1000">
        <v>0</v>
      </c>
      <c r="F36" s="1000">
        <v>0</v>
      </c>
      <c r="G36" s="1000">
        <v>0</v>
      </c>
      <c r="H36" s="1000">
        <v>0</v>
      </c>
      <c r="I36" s="1000">
        <v>0</v>
      </c>
      <c r="J36" s="1006">
        <v>0</v>
      </c>
      <c r="K36" s="1000">
        <v>0</v>
      </c>
      <c r="L36" s="1000">
        <v>0</v>
      </c>
      <c r="M36" s="1000">
        <v>0</v>
      </c>
      <c r="N36" s="1000">
        <v>0</v>
      </c>
      <c r="O36" s="1000">
        <v>0</v>
      </c>
      <c r="P36" s="1000">
        <v>0</v>
      </c>
      <c r="Q36" s="1000">
        <v>0</v>
      </c>
      <c r="R36" s="1000">
        <v>0</v>
      </c>
      <c r="S36" s="1000">
        <v>0</v>
      </c>
      <c r="T36" s="1000">
        <v>0</v>
      </c>
      <c r="U36" s="1000">
        <v>0</v>
      </c>
      <c r="V36" s="1000">
        <v>0</v>
      </c>
      <c r="W36" s="1000">
        <v>0</v>
      </c>
      <c r="X36" s="1000">
        <v>0</v>
      </c>
      <c r="Y36" s="1000">
        <v>0</v>
      </c>
      <c r="Z36" s="1000">
        <v>0</v>
      </c>
      <c r="AA36" s="1000">
        <v>0</v>
      </c>
      <c r="AB36" s="1000">
        <v>0</v>
      </c>
      <c r="AC36" s="1000">
        <v>0</v>
      </c>
      <c r="AD36" s="1000">
        <v>0</v>
      </c>
      <c r="AE36" s="1000">
        <v>0</v>
      </c>
      <c r="AF36" s="1000">
        <v>0</v>
      </c>
      <c r="AG36" s="1000">
        <v>0</v>
      </c>
      <c r="AH36" s="1000">
        <v>0</v>
      </c>
      <c r="AI36" s="1006">
        <f t="shared" si="2"/>
        <v>1290.591869104268</v>
      </c>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row>
    <row r="37" spans="1:69" s="93" customFormat="1">
      <c r="A37" s="159"/>
      <c r="B37" s="347" t="s">
        <v>70</v>
      </c>
      <c r="C37" s="343">
        <f t="shared" ref="C37:AH37" si="10">+C38</f>
        <v>16.68945355</v>
      </c>
      <c r="D37" s="343">
        <f t="shared" si="10"/>
        <v>1.1811965099999999</v>
      </c>
      <c r="E37" s="343">
        <f t="shared" si="10"/>
        <v>0</v>
      </c>
      <c r="F37" s="343">
        <f t="shared" si="10"/>
        <v>0</v>
      </c>
      <c r="G37" s="343">
        <f t="shared" si="10"/>
        <v>0</v>
      </c>
      <c r="H37" s="343">
        <f t="shared" si="10"/>
        <v>0</v>
      </c>
      <c r="I37" s="343">
        <f t="shared" si="10"/>
        <v>0</v>
      </c>
      <c r="J37" s="343">
        <f t="shared" si="10"/>
        <v>0</v>
      </c>
      <c r="K37" s="343">
        <f t="shared" si="10"/>
        <v>0</v>
      </c>
      <c r="L37" s="343">
        <f t="shared" si="10"/>
        <v>0</v>
      </c>
      <c r="M37" s="343">
        <f t="shared" si="10"/>
        <v>0</v>
      </c>
      <c r="N37" s="343">
        <f t="shared" si="10"/>
        <v>0</v>
      </c>
      <c r="O37" s="343">
        <f t="shared" si="10"/>
        <v>0</v>
      </c>
      <c r="P37" s="343">
        <f t="shared" si="10"/>
        <v>0</v>
      </c>
      <c r="Q37" s="343">
        <f t="shared" si="10"/>
        <v>0</v>
      </c>
      <c r="R37" s="343">
        <f t="shared" si="10"/>
        <v>0</v>
      </c>
      <c r="S37" s="343">
        <f t="shared" si="10"/>
        <v>0</v>
      </c>
      <c r="T37" s="343">
        <f t="shared" si="10"/>
        <v>0</v>
      </c>
      <c r="U37" s="343">
        <f t="shared" si="10"/>
        <v>0</v>
      </c>
      <c r="V37" s="343">
        <f t="shared" si="10"/>
        <v>0</v>
      </c>
      <c r="W37" s="343">
        <f t="shared" si="10"/>
        <v>0</v>
      </c>
      <c r="X37" s="343">
        <f t="shared" si="10"/>
        <v>0</v>
      </c>
      <c r="Y37" s="343">
        <f t="shared" si="10"/>
        <v>0</v>
      </c>
      <c r="Z37" s="343">
        <f t="shared" si="10"/>
        <v>0</v>
      </c>
      <c r="AA37" s="343">
        <f t="shared" si="10"/>
        <v>0</v>
      </c>
      <c r="AB37" s="343">
        <f t="shared" si="10"/>
        <v>0</v>
      </c>
      <c r="AC37" s="343">
        <f t="shared" si="10"/>
        <v>0</v>
      </c>
      <c r="AD37" s="343">
        <f t="shared" si="10"/>
        <v>0</v>
      </c>
      <c r="AE37" s="343">
        <f t="shared" si="10"/>
        <v>0</v>
      </c>
      <c r="AF37" s="343">
        <f t="shared" si="10"/>
        <v>0</v>
      </c>
      <c r="AG37" s="343">
        <f t="shared" si="10"/>
        <v>0</v>
      </c>
      <c r="AH37" s="343">
        <f t="shared" si="10"/>
        <v>0</v>
      </c>
      <c r="AI37" s="83">
        <f t="shared" si="2"/>
        <v>17.870650059999999</v>
      </c>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row>
    <row r="38" spans="1:69" s="93" customFormat="1">
      <c r="A38" s="159"/>
      <c r="B38" s="348" t="s">
        <v>378</v>
      </c>
      <c r="C38" s="349">
        <v>16.68945355</v>
      </c>
      <c r="D38" s="349">
        <v>1.1811965099999999</v>
      </c>
      <c r="E38" s="349">
        <v>0</v>
      </c>
      <c r="F38" s="349">
        <v>0</v>
      </c>
      <c r="G38" s="349">
        <v>0</v>
      </c>
      <c r="H38" s="349">
        <v>0</v>
      </c>
      <c r="I38" s="349">
        <v>0</v>
      </c>
      <c r="J38" s="84">
        <v>0</v>
      </c>
      <c r="K38" s="349">
        <v>0</v>
      </c>
      <c r="L38" s="349">
        <v>0</v>
      </c>
      <c r="M38" s="349">
        <v>0</v>
      </c>
      <c r="N38" s="349">
        <v>0</v>
      </c>
      <c r="O38" s="349">
        <v>0</v>
      </c>
      <c r="P38" s="349">
        <v>0</v>
      </c>
      <c r="Q38" s="349">
        <v>0</v>
      </c>
      <c r="R38" s="349">
        <v>0</v>
      </c>
      <c r="S38" s="349">
        <v>0</v>
      </c>
      <c r="T38" s="349">
        <v>0</v>
      </c>
      <c r="U38" s="349">
        <v>0</v>
      </c>
      <c r="V38" s="349">
        <v>0</v>
      </c>
      <c r="W38" s="349">
        <v>0</v>
      </c>
      <c r="X38" s="349">
        <v>0</v>
      </c>
      <c r="Y38" s="349">
        <v>0</v>
      </c>
      <c r="Z38" s="349">
        <v>0</v>
      </c>
      <c r="AA38" s="349">
        <v>0</v>
      </c>
      <c r="AB38" s="349">
        <v>0</v>
      </c>
      <c r="AC38" s="349">
        <v>0</v>
      </c>
      <c r="AD38" s="349">
        <v>0</v>
      </c>
      <c r="AE38" s="349">
        <v>0</v>
      </c>
      <c r="AF38" s="349">
        <v>0</v>
      </c>
      <c r="AG38" s="349">
        <v>0</v>
      </c>
      <c r="AH38" s="349">
        <v>0</v>
      </c>
      <c r="AI38" s="84">
        <f t="shared" si="2"/>
        <v>17.870650059999999</v>
      </c>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row>
    <row r="39" spans="1:69" s="93" customFormat="1">
      <c r="A39" s="159"/>
      <c r="B39" s="346" t="s">
        <v>824</v>
      </c>
      <c r="C39" s="345">
        <f t="shared" ref="C39:AH39" si="11">+C40+C41</f>
        <v>2099.2892587839519</v>
      </c>
      <c r="D39" s="345">
        <f t="shared" si="11"/>
        <v>133.13500972759496</v>
      </c>
      <c r="E39" s="345">
        <f t="shared" si="11"/>
        <v>120.3978535458736</v>
      </c>
      <c r="F39" s="345">
        <f t="shared" si="11"/>
        <v>41.382268908877201</v>
      </c>
      <c r="G39" s="345">
        <f t="shared" si="11"/>
        <v>1.1479455600000001</v>
      </c>
      <c r="H39" s="345">
        <f t="shared" si="11"/>
        <v>1.1479455600000001</v>
      </c>
      <c r="I39" s="345">
        <f t="shared" si="11"/>
        <v>0.47831080999999998</v>
      </c>
      <c r="J39" s="345">
        <f t="shared" si="11"/>
        <v>0</v>
      </c>
      <c r="K39" s="345">
        <f t="shared" si="11"/>
        <v>0</v>
      </c>
      <c r="L39" s="345">
        <f t="shared" si="11"/>
        <v>0</v>
      </c>
      <c r="M39" s="345">
        <f t="shared" si="11"/>
        <v>0</v>
      </c>
      <c r="N39" s="345">
        <f t="shared" si="11"/>
        <v>0</v>
      </c>
      <c r="O39" s="345">
        <f t="shared" si="11"/>
        <v>0</v>
      </c>
      <c r="P39" s="345">
        <f t="shared" si="11"/>
        <v>0</v>
      </c>
      <c r="Q39" s="345">
        <f t="shared" si="11"/>
        <v>0</v>
      </c>
      <c r="R39" s="345">
        <f t="shared" si="11"/>
        <v>0</v>
      </c>
      <c r="S39" s="345">
        <f t="shared" si="11"/>
        <v>0</v>
      </c>
      <c r="T39" s="345">
        <f t="shared" si="11"/>
        <v>0</v>
      </c>
      <c r="U39" s="345">
        <f t="shared" si="11"/>
        <v>0</v>
      </c>
      <c r="V39" s="345">
        <f t="shared" si="11"/>
        <v>0</v>
      </c>
      <c r="W39" s="345">
        <f t="shared" si="11"/>
        <v>0</v>
      </c>
      <c r="X39" s="345">
        <f t="shared" si="11"/>
        <v>0</v>
      </c>
      <c r="Y39" s="345">
        <f t="shared" si="11"/>
        <v>0</v>
      </c>
      <c r="Z39" s="345">
        <f t="shared" si="11"/>
        <v>0</v>
      </c>
      <c r="AA39" s="345">
        <f t="shared" si="11"/>
        <v>0</v>
      </c>
      <c r="AB39" s="345">
        <f t="shared" si="11"/>
        <v>0</v>
      </c>
      <c r="AC39" s="345">
        <f t="shared" si="11"/>
        <v>0</v>
      </c>
      <c r="AD39" s="345">
        <f t="shared" si="11"/>
        <v>0</v>
      </c>
      <c r="AE39" s="345">
        <f t="shared" si="11"/>
        <v>0</v>
      </c>
      <c r="AF39" s="345">
        <f t="shared" si="11"/>
        <v>0</v>
      </c>
      <c r="AG39" s="345">
        <f t="shared" si="11"/>
        <v>0</v>
      </c>
      <c r="AH39" s="345">
        <f t="shared" si="11"/>
        <v>0</v>
      </c>
      <c r="AI39" s="94">
        <f t="shared" si="2"/>
        <v>2396.9785928962979</v>
      </c>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row>
    <row r="40" spans="1:69" s="93" customFormat="1">
      <c r="A40" s="159"/>
      <c r="B40" s="346" t="s">
        <v>72</v>
      </c>
      <c r="C40" s="345">
        <v>733.16417176275138</v>
      </c>
      <c r="D40" s="345">
        <v>13.22658338759496</v>
      </c>
      <c r="E40" s="345">
        <v>16.566647165873601</v>
      </c>
      <c r="F40" s="345">
        <v>9.6624755488772003</v>
      </c>
      <c r="G40" s="345">
        <v>0</v>
      </c>
      <c r="H40" s="345">
        <v>0</v>
      </c>
      <c r="I40" s="345">
        <v>0</v>
      </c>
      <c r="J40" s="94">
        <v>0</v>
      </c>
      <c r="K40" s="345">
        <v>0</v>
      </c>
      <c r="L40" s="345">
        <v>0</v>
      </c>
      <c r="M40" s="345">
        <v>0</v>
      </c>
      <c r="N40" s="345">
        <v>0</v>
      </c>
      <c r="O40" s="345">
        <v>0</v>
      </c>
      <c r="P40" s="345">
        <v>0</v>
      </c>
      <c r="Q40" s="345">
        <v>0</v>
      </c>
      <c r="R40" s="345">
        <v>0</v>
      </c>
      <c r="S40" s="345">
        <v>0</v>
      </c>
      <c r="T40" s="345">
        <v>0</v>
      </c>
      <c r="U40" s="345">
        <v>0</v>
      </c>
      <c r="V40" s="345">
        <v>0</v>
      </c>
      <c r="W40" s="345">
        <v>0</v>
      </c>
      <c r="X40" s="345">
        <v>0</v>
      </c>
      <c r="Y40" s="345">
        <v>0</v>
      </c>
      <c r="Z40" s="345">
        <v>0</v>
      </c>
      <c r="AA40" s="345">
        <v>0</v>
      </c>
      <c r="AB40" s="345">
        <v>0</v>
      </c>
      <c r="AC40" s="345">
        <v>0</v>
      </c>
      <c r="AD40" s="345">
        <v>0</v>
      </c>
      <c r="AE40" s="345">
        <v>0</v>
      </c>
      <c r="AF40" s="345">
        <v>0</v>
      </c>
      <c r="AG40" s="345">
        <v>0</v>
      </c>
      <c r="AH40" s="345">
        <v>0</v>
      </c>
      <c r="AI40" s="94">
        <f t="shared" si="2"/>
        <v>772.61987786509712</v>
      </c>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row>
    <row r="41" spans="1:69" s="93" customFormat="1">
      <c r="A41" s="159"/>
      <c r="B41" s="348" t="s">
        <v>70</v>
      </c>
      <c r="C41" s="349">
        <v>1366.1250870212004</v>
      </c>
      <c r="D41" s="349">
        <v>119.90842633999999</v>
      </c>
      <c r="E41" s="349">
        <v>103.83120638</v>
      </c>
      <c r="F41" s="349">
        <v>31.719793360000001</v>
      </c>
      <c r="G41" s="349">
        <v>1.1479455600000001</v>
      </c>
      <c r="H41" s="349">
        <v>1.1479455600000001</v>
      </c>
      <c r="I41" s="349">
        <v>0.47831080999999998</v>
      </c>
      <c r="J41" s="84">
        <v>0</v>
      </c>
      <c r="K41" s="349">
        <v>0</v>
      </c>
      <c r="L41" s="349">
        <v>0</v>
      </c>
      <c r="M41" s="349">
        <v>0</v>
      </c>
      <c r="N41" s="349">
        <v>0</v>
      </c>
      <c r="O41" s="349">
        <v>0</v>
      </c>
      <c r="P41" s="349">
        <v>0</v>
      </c>
      <c r="Q41" s="349">
        <v>0</v>
      </c>
      <c r="R41" s="349">
        <v>0</v>
      </c>
      <c r="S41" s="349">
        <v>0</v>
      </c>
      <c r="T41" s="349">
        <v>0</v>
      </c>
      <c r="U41" s="349">
        <v>0</v>
      </c>
      <c r="V41" s="349">
        <v>0</v>
      </c>
      <c r="W41" s="349">
        <v>0</v>
      </c>
      <c r="X41" s="349">
        <v>0</v>
      </c>
      <c r="Y41" s="349">
        <v>0</v>
      </c>
      <c r="Z41" s="349">
        <v>0</v>
      </c>
      <c r="AA41" s="349">
        <v>0</v>
      </c>
      <c r="AB41" s="349">
        <v>0</v>
      </c>
      <c r="AC41" s="349">
        <v>0</v>
      </c>
      <c r="AD41" s="349">
        <v>0</v>
      </c>
      <c r="AE41" s="349">
        <v>0</v>
      </c>
      <c r="AF41" s="349">
        <v>0</v>
      </c>
      <c r="AG41" s="349">
        <v>0</v>
      </c>
      <c r="AH41" s="349">
        <v>0</v>
      </c>
      <c r="AI41" s="84">
        <f t="shared" si="2"/>
        <v>1624.3587150312003</v>
      </c>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row>
    <row r="42" spans="1:69" ht="13.5" thickBot="1">
      <c r="A42" s="159"/>
      <c r="B42" s="350"/>
      <c r="C42" s="351"/>
      <c r="D42" s="351"/>
      <c r="E42" s="351"/>
      <c r="F42" s="35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row>
    <row r="43" spans="1:69" ht="13.5" thickBot="1">
      <c r="A43" s="159"/>
      <c r="B43" s="126" t="s">
        <v>239</v>
      </c>
      <c r="C43" s="78">
        <v>9395.2750646965505</v>
      </c>
      <c r="D43" s="78">
        <v>4841.8064946990607</v>
      </c>
      <c r="E43" s="78">
        <v>0</v>
      </c>
      <c r="F43" s="78">
        <v>0</v>
      </c>
      <c r="G43" s="78">
        <v>0</v>
      </c>
      <c r="H43" s="78">
        <v>0</v>
      </c>
      <c r="I43" s="78">
        <v>0</v>
      </c>
      <c r="J43" s="78">
        <v>0</v>
      </c>
      <c r="K43" s="78">
        <v>0</v>
      </c>
      <c r="L43" s="78">
        <v>0</v>
      </c>
      <c r="M43" s="78">
        <v>0</v>
      </c>
      <c r="N43" s="78">
        <v>0</v>
      </c>
      <c r="O43" s="78">
        <v>0</v>
      </c>
      <c r="P43" s="78">
        <v>0</v>
      </c>
      <c r="Q43" s="78">
        <v>0</v>
      </c>
      <c r="R43" s="78">
        <v>0</v>
      </c>
      <c r="S43" s="78">
        <v>0</v>
      </c>
      <c r="T43" s="78">
        <v>0</v>
      </c>
      <c r="U43" s="78">
        <v>0</v>
      </c>
      <c r="V43" s="78">
        <v>0</v>
      </c>
      <c r="W43" s="78">
        <v>0</v>
      </c>
      <c r="X43" s="78">
        <v>0</v>
      </c>
      <c r="Y43" s="78">
        <v>0</v>
      </c>
      <c r="Z43" s="78">
        <v>0</v>
      </c>
      <c r="AA43" s="78">
        <v>0</v>
      </c>
      <c r="AB43" s="78">
        <v>0</v>
      </c>
      <c r="AC43" s="78">
        <v>0</v>
      </c>
      <c r="AD43" s="78">
        <v>0</v>
      </c>
      <c r="AE43" s="78">
        <v>0</v>
      </c>
      <c r="AF43" s="78">
        <v>0</v>
      </c>
      <c r="AG43" s="78">
        <v>0</v>
      </c>
      <c r="AH43" s="78">
        <v>0</v>
      </c>
      <c r="AI43" s="127">
        <f>SUM(C43:AH43)</f>
        <v>14237.08155939561</v>
      </c>
    </row>
    <row r="44" spans="1:69" ht="13.5" thickBot="1">
      <c r="A44" s="159"/>
      <c r="B44" s="352"/>
      <c r="C44" s="351"/>
      <c r="D44" s="351"/>
      <c r="E44" s="351"/>
      <c r="F44" s="351"/>
      <c r="G44" s="353"/>
      <c r="H44" s="353"/>
      <c r="I44" s="353"/>
      <c r="J44" s="354"/>
      <c r="K44" s="353"/>
      <c r="L44" s="353"/>
      <c r="M44" s="353"/>
      <c r="N44" s="353"/>
      <c r="O44" s="353"/>
      <c r="P44" s="353"/>
      <c r="Q44" s="353"/>
      <c r="R44" s="353"/>
      <c r="S44" s="353"/>
      <c r="T44" s="353"/>
      <c r="U44" s="353"/>
      <c r="V44" s="353"/>
      <c r="W44" s="353"/>
      <c r="X44" s="353"/>
      <c r="Y44" s="353"/>
      <c r="Z44" s="353"/>
      <c r="AA44" s="353"/>
      <c r="AB44" s="353"/>
      <c r="AC44" s="353"/>
      <c r="AD44" s="353"/>
      <c r="AE44" s="353"/>
      <c r="AF44" s="353"/>
      <c r="AG44" s="353"/>
      <c r="AH44" s="353"/>
      <c r="AI44" s="353"/>
    </row>
    <row r="45" spans="1:69" ht="13.5" thickBot="1">
      <c r="A45" s="159"/>
      <c r="B45" s="126" t="s">
        <v>307</v>
      </c>
      <c r="C45" s="78">
        <f t="shared" ref="C45:AH45" si="12">+C46+C63+SUM(C80:C129)+C132</f>
        <v>44142.648017479318</v>
      </c>
      <c r="D45" s="78">
        <f t="shared" si="12"/>
        <v>22980.251332549011</v>
      </c>
      <c r="E45" s="78">
        <f t="shared" si="12"/>
        <v>20774.455666231108</v>
      </c>
      <c r="F45" s="78">
        <f t="shared" si="12"/>
        <v>17838.477503282444</v>
      </c>
      <c r="G45" s="78">
        <f t="shared" si="12"/>
        <v>15510.023164624956</v>
      </c>
      <c r="H45" s="78">
        <f t="shared" si="12"/>
        <v>19266.781204605144</v>
      </c>
      <c r="I45" s="78">
        <f t="shared" si="12"/>
        <v>11173.986886528302</v>
      </c>
      <c r="J45" s="78">
        <f t="shared" si="12"/>
        <v>12533.705082826964</v>
      </c>
      <c r="K45" s="78">
        <f t="shared" si="12"/>
        <v>9068.9475092800185</v>
      </c>
      <c r="L45" s="78">
        <f t="shared" si="12"/>
        <v>4659.926635464396</v>
      </c>
      <c r="M45" s="78">
        <f t="shared" si="12"/>
        <v>4069.6537175439917</v>
      </c>
      <c r="N45" s="78">
        <f t="shared" si="12"/>
        <v>4069.6537175439917</v>
      </c>
      <c r="O45" s="78">
        <f t="shared" si="12"/>
        <v>4069.6537175439917</v>
      </c>
      <c r="P45" s="78">
        <f t="shared" si="12"/>
        <v>4069.6537175439917</v>
      </c>
      <c r="Q45" s="78">
        <f t="shared" si="12"/>
        <v>1843.6092653176352</v>
      </c>
      <c r="R45" s="78">
        <f t="shared" si="12"/>
        <v>2741.4671652676352</v>
      </c>
      <c r="S45" s="78">
        <f t="shared" si="12"/>
        <v>5188.8863804698949</v>
      </c>
      <c r="T45" s="78">
        <f t="shared" si="12"/>
        <v>3466.0941956198953</v>
      </c>
      <c r="U45" s="78">
        <f t="shared" si="12"/>
        <v>3277.3313915994909</v>
      </c>
      <c r="V45" s="78">
        <f t="shared" si="12"/>
        <v>1019.7366083607039</v>
      </c>
      <c r="W45" s="78">
        <f t="shared" si="12"/>
        <v>824.53003336070401</v>
      </c>
      <c r="X45" s="78">
        <f t="shared" si="12"/>
        <v>709.02938336070395</v>
      </c>
      <c r="Y45" s="78">
        <f t="shared" si="12"/>
        <v>703.19138336070398</v>
      </c>
      <c r="Z45" s="78">
        <f t="shared" si="12"/>
        <v>697.56638336070398</v>
      </c>
      <c r="AA45" s="78">
        <f t="shared" si="12"/>
        <v>697.56638336070398</v>
      </c>
      <c r="AB45" s="78">
        <f t="shared" si="12"/>
        <v>697.56638336070398</v>
      </c>
      <c r="AC45" s="78">
        <f t="shared" si="12"/>
        <v>2750.1471681584439</v>
      </c>
      <c r="AD45" s="78">
        <f t="shared" si="12"/>
        <v>840.86009271847092</v>
      </c>
      <c r="AE45" s="78">
        <f t="shared" si="12"/>
        <v>3000.1471681584439</v>
      </c>
      <c r="AF45" s="78">
        <f t="shared" si="12"/>
        <v>0.14716815844394401</v>
      </c>
      <c r="AG45" s="78">
        <f t="shared" si="12"/>
        <v>0.14716815844394401</v>
      </c>
      <c r="AH45" s="78">
        <f t="shared" si="12"/>
        <v>2758.6829213491947</v>
      </c>
      <c r="AI45" s="127">
        <f t="shared" ref="AI45:AI76" si="13">SUM(C45:AH45)</f>
        <v>225444.52451654852</v>
      </c>
    </row>
    <row r="46" spans="1:69">
      <c r="A46" s="159"/>
      <c r="B46" s="355" t="s">
        <v>74</v>
      </c>
      <c r="C46" s="356">
        <f t="shared" ref="C46:AH46" si="14">+C47+C50+C57+C60</f>
        <v>0</v>
      </c>
      <c r="D46" s="356">
        <f t="shared" si="14"/>
        <v>0</v>
      </c>
      <c r="E46" s="356">
        <f t="shared" si="14"/>
        <v>0</v>
      </c>
      <c r="F46" s="356">
        <f t="shared" si="14"/>
        <v>0</v>
      </c>
      <c r="G46" s="356">
        <f t="shared" si="14"/>
        <v>0</v>
      </c>
      <c r="H46" s="356">
        <f t="shared" si="14"/>
        <v>0</v>
      </c>
      <c r="I46" s="356">
        <f t="shared" si="14"/>
        <v>0</v>
      </c>
      <c r="J46" s="356">
        <f t="shared" si="14"/>
        <v>0</v>
      </c>
      <c r="K46" s="356">
        <f t="shared" si="14"/>
        <v>0</v>
      </c>
      <c r="L46" s="356">
        <f t="shared" si="14"/>
        <v>736.30291107959567</v>
      </c>
      <c r="M46" s="356">
        <f t="shared" si="14"/>
        <v>1472.6058221591911</v>
      </c>
      <c r="N46" s="356">
        <f t="shared" si="14"/>
        <v>1472.6058221591911</v>
      </c>
      <c r="O46" s="356">
        <f t="shared" si="14"/>
        <v>1472.6058221591911</v>
      </c>
      <c r="P46" s="356">
        <f t="shared" si="14"/>
        <v>1472.6058221591911</v>
      </c>
      <c r="Q46" s="356">
        <f t="shared" si="14"/>
        <v>1472.6058221591911</v>
      </c>
      <c r="R46" s="356">
        <f t="shared" si="14"/>
        <v>1472.6058221591911</v>
      </c>
      <c r="S46" s="356">
        <f t="shared" si="14"/>
        <v>1472.6058221591911</v>
      </c>
      <c r="T46" s="356">
        <f t="shared" si="14"/>
        <v>1472.6058221591911</v>
      </c>
      <c r="U46" s="356">
        <f t="shared" si="14"/>
        <v>2208.9087332387867</v>
      </c>
      <c r="V46" s="356">
        <f t="shared" si="14"/>
        <v>0</v>
      </c>
      <c r="W46" s="356">
        <f t="shared" si="14"/>
        <v>0</v>
      </c>
      <c r="X46" s="356">
        <f t="shared" si="14"/>
        <v>0</v>
      </c>
      <c r="Y46" s="356">
        <f t="shared" si="14"/>
        <v>0</v>
      </c>
      <c r="Z46" s="356">
        <f t="shared" si="14"/>
        <v>0</v>
      </c>
      <c r="AA46" s="356">
        <f t="shared" si="14"/>
        <v>0</v>
      </c>
      <c r="AB46" s="356">
        <f t="shared" si="14"/>
        <v>0</v>
      </c>
      <c r="AC46" s="356">
        <f t="shared" si="14"/>
        <v>0</v>
      </c>
      <c r="AD46" s="356">
        <f t="shared" si="14"/>
        <v>0</v>
      </c>
      <c r="AE46" s="356">
        <f t="shared" si="14"/>
        <v>0</v>
      </c>
      <c r="AF46" s="356">
        <f t="shared" si="14"/>
        <v>0</v>
      </c>
      <c r="AG46" s="356">
        <f t="shared" si="14"/>
        <v>0</v>
      </c>
      <c r="AH46" s="356">
        <f t="shared" si="14"/>
        <v>0</v>
      </c>
      <c r="AI46" s="85">
        <f t="shared" si="13"/>
        <v>14726.058221591913</v>
      </c>
    </row>
    <row r="47" spans="1:69">
      <c r="A47" s="159"/>
      <c r="B47" s="269" t="s">
        <v>19</v>
      </c>
      <c r="C47" s="357">
        <f t="shared" ref="C47:AH47" si="15">+C48+C49</f>
        <v>0</v>
      </c>
      <c r="D47" s="357">
        <f t="shared" si="15"/>
        <v>0</v>
      </c>
      <c r="E47" s="357">
        <f t="shared" si="15"/>
        <v>0</v>
      </c>
      <c r="F47" s="357">
        <f t="shared" si="15"/>
        <v>0</v>
      </c>
      <c r="G47" s="357">
        <f t="shared" si="15"/>
        <v>0</v>
      </c>
      <c r="H47" s="357">
        <f t="shared" si="15"/>
        <v>0</v>
      </c>
      <c r="I47" s="357">
        <f t="shared" si="15"/>
        <v>0</v>
      </c>
      <c r="J47" s="357">
        <f t="shared" si="15"/>
        <v>0</v>
      </c>
      <c r="K47" s="357">
        <f t="shared" si="15"/>
        <v>0</v>
      </c>
      <c r="L47" s="357">
        <f t="shared" si="15"/>
        <v>30.422115633665321</v>
      </c>
      <c r="M47" s="357">
        <f t="shared" si="15"/>
        <v>60.844231267330642</v>
      </c>
      <c r="N47" s="357">
        <f t="shared" si="15"/>
        <v>60.844231267330642</v>
      </c>
      <c r="O47" s="357">
        <f t="shared" si="15"/>
        <v>60.844231267330642</v>
      </c>
      <c r="P47" s="357">
        <f t="shared" si="15"/>
        <v>60.844231267330642</v>
      </c>
      <c r="Q47" s="357">
        <f t="shared" si="15"/>
        <v>60.844231267330642</v>
      </c>
      <c r="R47" s="357">
        <f t="shared" si="15"/>
        <v>60.844231267330642</v>
      </c>
      <c r="S47" s="357">
        <f t="shared" si="15"/>
        <v>60.844231267330642</v>
      </c>
      <c r="T47" s="357">
        <f t="shared" si="15"/>
        <v>60.844231267330642</v>
      </c>
      <c r="U47" s="357">
        <f t="shared" si="15"/>
        <v>91.266346900995956</v>
      </c>
      <c r="V47" s="357">
        <f t="shared" si="15"/>
        <v>0</v>
      </c>
      <c r="W47" s="357">
        <f t="shared" si="15"/>
        <v>0</v>
      </c>
      <c r="X47" s="357">
        <f t="shared" si="15"/>
        <v>0</v>
      </c>
      <c r="Y47" s="357">
        <f t="shared" si="15"/>
        <v>0</v>
      </c>
      <c r="Z47" s="357">
        <f t="shared" si="15"/>
        <v>0</v>
      </c>
      <c r="AA47" s="357">
        <f t="shared" si="15"/>
        <v>0</v>
      </c>
      <c r="AB47" s="357">
        <f t="shared" si="15"/>
        <v>0</v>
      </c>
      <c r="AC47" s="357">
        <f t="shared" si="15"/>
        <v>0</v>
      </c>
      <c r="AD47" s="357">
        <f t="shared" si="15"/>
        <v>0</v>
      </c>
      <c r="AE47" s="357">
        <f t="shared" si="15"/>
        <v>0</v>
      </c>
      <c r="AF47" s="357">
        <f t="shared" si="15"/>
        <v>0</v>
      </c>
      <c r="AG47" s="357">
        <f t="shared" si="15"/>
        <v>0</v>
      </c>
      <c r="AH47" s="357">
        <f t="shared" si="15"/>
        <v>0</v>
      </c>
      <c r="AI47" s="95">
        <f t="shared" si="13"/>
        <v>608.44231267330645</v>
      </c>
    </row>
    <row r="48" spans="1:69">
      <c r="A48" s="159"/>
      <c r="B48" s="358" t="s">
        <v>240</v>
      </c>
      <c r="C48" s="357">
        <v>0</v>
      </c>
      <c r="D48" s="357">
        <v>0</v>
      </c>
      <c r="E48" s="357">
        <v>0</v>
      </c>
      <c r="F48" s="357">
        <v>0</v>
      </c>
      <c r="G48" s="357">
        <v>0</v>
      </c>
      <c r="H48" s="357">
        <v>0</v>
      </c>
      <c r="I48" s="357">
        <v>0</v>
      </c>
      <c r="J48" s="81">
        <v>0</v>
      </c>
      <c r="K48" s="357">
        <v>0</v>
      </c>
      <c r="L48" s="357">
        <v>30.301606079330298</v>
      </c>
      <c r="M48" s="357">
        <v>60.603212158660597</v>
      </c>
      <c r="N48" s="357">
        <v>60.603212158660597</v>
      </c>
      <c r="O48" s="357">
        <v>60.603212158660597</v>
      </c>
      <c r="P48" s="357">
        <v>60.603212158660597</v>
      </c>
      <c r="Q48" s="357">
        <v>60.603212158660597</v>
      </c>
      <c r="R48" s="357">
        <v>60.603212158660597</v>
      </c>
      <c r="S48" s="357">
        <v>60.603212158660597</v>
      </c>
      <c r="T48" s="357">
        <v>60.603212158660597</v>
      </c>
      <c r="U48" s="357">
        <v>90.904818237990895</v>
      </c>
      <c r="V48" s="357">
        <v>0</v>
      </c>
      <c r="W48" s="357">
        <v>0</v>
      </c>
      <c r="X48" s="357">
        <v>0</v>
      </c>
      <c r="Y48" s="357">
        <v>0</v>
      </c>
      <c r="Z48" s="357">
        <v>0</v>
      </c>
      <c r="AA48" s="357">
        <v>0</v>
      </c>
      <c r="AB48" s="357">
        <v>0</v>
      </c>
      <c r="AC48" s="357">
        <v>0</v>
      </c>
      <c r="AD48" s="357">
        <v>0</v>
      </c>
      <c r="AE48" s="357">
        <v>0</v>
      </c>
      <c r="AF48" s="357">
        <v>0</v>
      </c>
      <c r="AG48" s="357">
        <v>0</v>
      </c>
      <c r="AH48" s="357">
        <v>0</v>
      </c>
      <c r="AI48" s="81">
        <f t="shared" si="13"/>
        <v>606.03212158660597</v>
      </c>
    </row>
    <row r="49" spans="1:35">
      <c r="A49" s="159"/>
      <c r="B49" s="358" t="s">
        <v>241</v>
      </c>
      <c r="C49" s="357">
        <v>0</v>
      </c>
      <c r="D49" s="357">
        <v>0</v>
      </c>
      <c r="E49" s="357">
        <v>0</v>
      </c>
      <c r="F49" s="357">
        <v>0</v>
      </c>
      <c r="G49" s="357">
        <v>0</v>
      </c>
      <c r="H49" s="357">
        <v>0</v>
      </c>
      <c r="I49" s="357">
        <v>0</v>
      </c>
      <c r="J49" s="81">
        <v>0</v>
      </c>
      <c r="K49" s="357">
        <v>0</v>
      </c>
      <c r="L49" s="357">
        <v>0.120509554335021</v>
      </c>
      <c r="M49" s="357">
        <v>0.241019108670043</v>
      </c>
      <c r="N49" s="357">
        <v>0.241019108670043</v>
      </c>
      <c r="O49" s="357">
        <v>0.241019108670043</v>
      </c>
      <c r="P49" s="357">
        <v>0.241019108670043</v>
      </c>
      <c r="Q49" s="357">
        <v>0.241019108670043</v>
      </c>
      <c r="R49" s="357">
        <v>0.241019108670043</v>
      </c>
      <c r="S49" s="357">
        <v>0.241019108670043</v>
      </c>
      <c r="T49" s="357">
        <v>0.241019108670043</v>
      </c>
      <c r="U49" s="357">
        <v>0.36152866300506403</v>
      </c>
      <c r="V49" s="357">
        <v>0</v>
      </c>
      <c r="W49" s="357">
        <v>0</v>
      </c>
      <c r="X49" s="357">
        <v>0</v>
      </c>
      <c r="Y49" s="357">
        <v>0</v>
      </c>
      <c r="Z49" s="357">
        <v>0</v>
      </c>
      <c r="AA49" s="357">
        <v>0</v>
      </c>
      <c r="AB49" s="357">
        <v>0</v>
      </c>
      <c r="AC49" s="357">
        <v>0</v>
      </c>
      <c r="AD49" s="357">
        <v>0</v>
      </c>
      <c r="AE49" s="357">
        <v>0</v>
      </c>
      <c r="AF49" s="357">
        <v>0</v>
      </c>
      <c r="AG49" s="357">
        <v>0</v>
      </c>
      <c r="AH49" s="357">
        <v>0</v>
      </c>
      <c r="AI49" s="81">
        <f t="shared" si="13"/>
        <v>2.4101910867004293</v>
      </c>
    </row>
    <row r="50" spans="1:35">
      <c r="A50" s="159"/>
      <c r="B50" s="269" t="s">
        <v>20</v>
      </c>
      <c r="C50" s="357">
        <f t="shared" ref="C50:AH50" si="16">+C51+C54</f>
        <v>0</v>
      </c>
      <c r="D50" s="357">
        <f t="shared" si="16"/>
        <v>0</v>
      </c>
      <c r="E50" s="357">
        <f t="shared" si="16"/>
        <v>0</v>
      </c>
      <c r="F50" s="357">
        <f t="shared" si="16"/>
        <v>0</v>
      </c>
      <c r="G50" s="357">
        <f t="shared" si="16"/>
        <v>0</v>
      </c>
      <c r="H50" s="357">
        <f t="shared" si="16"/>
        <v>0</v>
      </c>
      <c r="I50" s="357">
        <f t="shared" si="16"/>
        <v>0</v>
      </c>
      <c r="J50" s="357">
        <f t="shared" si="16"/>
        <v>0</v>
      </c>
      <c r="K50" s="357">
        <f t="shared" si="16"/>
        <v>0</v>
      </c>
      <c r="L50" s="357">
        <f t="shared" si="16"/>
        <v>334.73154590000001</v>
      </c>
      <c r="M50" s="357">
        <f t="shared" si="16"/>
        <v>669.46309180000003</v>
      </c>
      <c r="N50" s="357">
        <f t="shared" si="16"/>
        <v>669.46309180000003</v>
      </c>
      <c r="O50" s="357">
        <f t="shared" si="16"/>
        <v>669.46309180000003</v>
      </c>
      <c r="P50" s="357">
        <f t="shared" si="16"/>
        <v>669.46309180000003</v>
      </c>
      <c r="Q50" s="357">
        <f t="shared" si="16"/>
        <v>669.46309180000003</v>
      </c>
      <c r="R50" s="357">
        <f t="shared" si="16"/>
        <v>669.46309180000003</v>
      </c>
      <c r="S50" s="357">
        <f t="shared" si="16"/>
        <v>669.46309180000003</v>
      </c>
      <c r="T50" s="357">
        <f t="shared" si="16"/>
        <v>669.46309180000003</v>
      </c>
      <c r="U50" s="357">
        <f t="shared" si="16"/>
        <v>1004.1946377</v>
      </c>
      <c r="V50" s="357">
        <f t="shared" si="16"/>
        <v>0</v>
      </c>
      <c r="W50" s="357">
        <f t="shared" si="16"/>
        <v>0</v>
      </c>
      <c r="X50" s="357">
        <f t="shared" si="16"/>
        <v>0</v>
      </c>
      <c r="Y50" s="357">
        <f t="shared" si="16"/>
        <v>0</v>
      </c>
      <c r="Z50" s="357">
        <f t="shared" si="16"/>
        <v>0</v>
      </c>
      <c r="AA50" s="357">
        <f t="shared" si="16"/>
        <v>0</v>
      </c>
      <c r="AB50" s="357">
        <f t="shared" si="16"/>
        <v>0</v>
      </c>
      <c r="AC50" s="357">
        <f t="shared" si="16"/>
        <v>0</v>
      </c>
      <c r="AD50" s="357">
        <f t="shared" si="16"/>
        <v>0</v>
      </c>
      <c r="AE50" s="357">
        <f t="shared" si="16"/>
        <v>0</v>
      </c>
      <c r="AF50" s="357">
        <f t="shared" si="16"/>
        <v>0</v>
      </c>
      <c r="AG50" s="357">
        <f t="shared" si="16"/>
        <v>0</v>
      </c>
      <c r="AH50" s="357">
        <f t="shared" si="16"/>
        <v>0</v>
      </c>
      <c r="AI50" s="81">
        <f t="shared" si="13"/>
        <v>6694.6309180000017</v>
      </c>
    </row>
    <row r="51" spans="1:35">
      <c r="A51" s="159"/>
      <c r="B51" s="358" t="s">
        <v>240</v>
      </c>
      <c r="C51" s="357">
        <f t="shared" ref="C51:AH51" si="17">+C52+C53</f>
        <v>0</v>
      </c>
      <c r="D51" s="357">
        <f t="shared" si="17"/>
        <v>0</v>
      </c>
      <c r="E51" s="357">
        <f t="shared" si="17"/>
        <v>0</v>
      </c>
      <c r="F51" s="357">
        <f t="shared" si="17"/>
        <v>0</v>
      </c>
      <c r="G51" s="357">
        <f t="shared" si="17"/>
        <v>0</v>
      </c>
      <c r="H51" s="357">
        <f t="shared" si="17"/>
        <v>0</v>
      </c>
      <c r="I51" s="357">
        <f t="shared" si="17"/>
        <v>0</v>
      </c>
      <c r="J51" s="357">
        <f t="shared" si="17"/>
        <v>0</v>
      </c>
      <c r="K51" s="357">
        <f t="shared" si="17"/>
        <v>0</v>
      </c>
      <c r="L51" s="357">
        <f t="shared" si="17"/>
        <v>326.31260185000002</v>
      </c>
      <c r="M51" s="357">
        <f t="shared" si="17"/>
        <v>652.62520370000004</v>
      </c>
      <c r="N51" s="357">
        <f t="shared" si="17"/>
        <v>652.62520370000004</v>
      </c>
      <c r="O51" s="357">
        <f t="shared" si="17"/>
        <v>652.62520370000004</v>
      </c>
      <c r="P51" s="357">
        <f t="shared" si="17"/>
        <v>652.62520370000004</v>
      </c>
      <c r="Q51" s="357">
        <f t="shared" si="17"/>
        <v>652.62520370000004</v>
      </c>
      <c r="R51" s="357">
        <f t="shared" si="17"/>
        <v>652.62520370000004</v>
      </c>
      <c r="S51" s="357">
        <f t="shared" si="17"/>
        <v>652.62520370000004</v>
      </c>
      <c r="T51" s="357">
        <f t="shared" si="17"/>
        <v>652.62520370000004</v>
      </c>
      <c r="U51" s="357">
        <f t="shared" si="17"/>
        <v>978.93780555000001</v>
      </c>
      <c r="V51" s="357">
        <f t="shared" si="17"/>
        <v>0</v>
      </c>
      <c r="W51" s="357">
        <f t="shared" si="17"/>
        <v>0</v>
      </c>
      <c r="X51" s="357">
        <f t="shared" si="17"/>
        <v>0</v>
      </c>
      <c r="Y51" s="357">
        <f t="shared" si="17"/>
        <v>0</v>
      </c>
      <c r="Z51" s="357">
        <f t="shared" si="17"/>
        <v>0</v>
      </c>
      <c r="AA51" s="357">
        <f t="shared" si="17"/>
        <v>0</v>
      </c>
      <c r="AB51" s="357">
        <f t="shared" si="17"/>
        <v>0</v>
      </c>
      <c r="AC51" s="357">
        <f t="shared" si="17"/>
        <v>0</v>
      </c>
      <c r="AD51" s="357">
        <f t="shared" si="17"/>
        <v>0</v>
      </c>
      <c r="AE51" s="357">
        <f t="shared" si="17"/>
        <v>0</v>
      </c>
      <c r="AF51" s="357">
        <f t="shared" si="17"/>
        <v>0</v>
      </c>
      <c r="AG51" s="357">
        <f t="shared" si="17"/>
        <v>0</v>
      </c>
      <c r="AH51" s="357">
        <f t="shared" si="17"/>
        <v>0</v>
      </c>
      <c r="AI51" s="81">
        <f t="shared" si="13"/>
        <v>6526.2520370000011</v>
      </c>
    </row>
    <row r="52" spans="1:35">
      <c r="A52" s="159"/>
      <c r="B52" s="359" t="s">
        <v>242</v>
      </c>
      <c r="C52" s="357">
        <v>0</v>
      </c>
      <c r="D52" s="357">
        <v>0</v>
      </c>
      <c r="E52" s="357">
        <v>0</v>
      </c>
      <c r="F52" s="357">
        <v>0</v>
      </c>
      <c r="G52" s="357">
        <v>0</v>
      </c>
      <c r="H52" s="357">
        <v>0</v>
      </c>
      <c r="I52" s="357">
        <v>0</v>
      </c>
      <c r="J52" s="81">
        <v>0</v>
      </c>
      <c r="K52" s="357">
        <v>0</v>
      </c>
      <c r="L52" s="357">
        <v>264.83445975000001</v>
      </c>
      <c r="M52" s="357">
        <v>529.66891950000002</v>
      </c>
      <c r="N52" s="357">
        <v>529.66891950000002</v>
      </c>
      <c r="O52" s="357">
        <v>529.66891950000002</v>
      </c>
      <c r="P52" s="357">
        <v>529.66891950000002</v>
      </c>
      <c r="Q52" s="357">
        <v>529.66891950000002</v>
      </c>
      <c r="R52" s="357">
        <v>529.66891950000002</v>
      </c>
      <c r="S52" s="357">
        <v>529.66891950000002</v>
      </c>
      <c r="T52" s="357">
        <v>529.66891950000002</v>
      </c>
      <c r="U52" s="357">
        <v>794.50337924999997</v>
      </c>
      <c r="V52" s="357">
        <v>0</v>
      </c>
      <c r="W52" s="357">
        <v>0</v>
      </c>
      <c r="X52" s="357">
        <v>0</v>
      </c>
      <c r="Y52" s="357">
        <v>0</v>
      </c>
      <c r="Z52" s="357">
        <v>0</v>
      </c>
      <c r="AA52" s="357">
        <v>0</v>
      </c>
      <c r="AB52" s="357">
        <v>0</v>
      </c>
      <c r="AC52" s="357">
        <v>0</v>
      </c>
      <c r="AD52" s="357">
        <v>0</v>
      </c>
      <c r="AE52" s="357">
        <v>0</v>
      </c>
      <c r="AF52" s="357">
        <v>0</v>
      </c>
      <c r="AG52" s="357">
        <v>0</v>
      </c>
      <c r="AH52" s="357">
        <v>0</v>
      </c>
      <c r="AI52" s="81">
        <f t="shared" si="13"/>
        <v>5296.6891949999999</v>
      </c>
    </row>
    <row r="53" spans="1:35">
      <c r="A53" s="159"/>
      <c r="B53" s="360" t="s">
        <v>243</v>
      </c>
      <c r="C53" s="357">
        <v>0</v>
      </c>
      <c r="D53" s="357">
        <v>0</v>
      </c>
      <c r="E53" s="357">
        <v>0</v>
      </c>
      <c r="F53" s="357">
        <v>0</v>
      </c>
      <c r="G53" s="357">
        <v>0</v>
      </c>
      <c r="H53" s="357">
        <v>0</v>
      </c>
      <c r="I53" s="357">
        <v>0</v>
      </c>
      <c r="J53" s="81">
        <v>0</v>
      </c>
      <c r="K53" s="357">
        <v>0</v>
      </c>
      <c r="L53" s="357">
        <v>61.478142099999999</v>
      </c>
      <c r="M53" s="357">
        <v>122.9562842</v>
      </c>
      <c r="N53" s="357">
        <v>122.9562842</v>
      </c>
      <c r="O53" s="357">
        <v>122.9562842</v>
      </c>
      <c r="P53" s="357">
        <v>122.9562842</v>
      </c>
      <c r="Q53" s="357">
        <v>122.9562842</v>
      </c>
      <c r="R53" s="357">
        <v>122.9562842</v>
      </c>
      <c r="S53" s="357">
        <v>122.9562842</v>
      </c>
      <c r="T53" s="357">
        <v>122.9562842</v>
      </c>
      <c r="U53" s="357">
        <v>184.43442630000001</v>
      </c>
      <c r="V53" s="357">
        <v>0</v>
      </c>
      <c r="W53" s="357">
        <v>0</v>
      </c>
      <c r="X53" s="357">
        <v>0</v>
      </c>
      <c r="Y53" s="357">
        <v>0</v>
      </c>
      <c r="Z53" s="357">
        <v>0</v>
      </c>
      <c r="AA53" s="357">
        <v>0</v>
      </c>
      <c r="AB53" s="357">
        <v>0</v>
      </c>
      <c r="AC53" s="357">
        <v>0</v>
      </c>
      <c r="AD53" s="357">
        <v>0</v>
      </c>
      <c r="AE53" s="357">
        <v>0</v>
      </c>
      <c r="AF53" s="357">
        <v>0</v>
      </c>
      <c r="AG53" s="357">
        <v>0</v>
      </c>
      <c r="AH53" s="357">
        <v>0</v>
      </c>
      <c r="AI53" s="81">
        <f t="shared" si="13"/>
        <v>1229.562842</v>
      </c>
    </row>
    <row r="54" spans="1:35">
      <c r="A54" s="159"/>
      <c r="B54" s="358" t="s">
        <v>241</v>
      </c>
      <c r="C54" s="357">
        <f t="shared" ref="C54:AH54" si="18">+C55+C56</f>
        <v>0</v>
      </c>
      <c r="D54" s="357">
        <f t="shared" si="18"/>
        <v>0</v>
      </c>
      <c r="E54" s="357">
        <f t="shared" si="18"/>
        <v>0</v>
      </c>
      <c r="F54" s="357">
        <f t="shared" si="18"/>
        <v>0</v>
      </c>
      <c r="G54" s="357">
        <f t="shared" si="18"/>
        <v>0</v>
      </c>
      <c r="H54" s="357">
        <f t="shared" si="18"/>
        <v>0</v>
      </c>
      <c r="I54" s="357">
        <f t="shared" si="18"/>
        <v>0</v>
      </c>
      <c r="J54" s="357">
        <f t="shared" si="18"/>
        <v>0</v>
      </c>
      <c r="K54" s="357">
        <f t="shared" si="18"/>
        <v>0</v>
      </c>
      <c r="L54" s="357">
        <f t="shared" si="18"/>
        <v>8.4189440500000003</v>
      </c>
      <c r="M54" s="357">
        <f t="shared" si="18"/>
        <v>16.837888100000001</v>
      </c>
      <c r="N54" s="357">
        <f t="shared" si="18"/>
        <v>16.837888100000001</v>
      </c>
      <c r="O54" s="357">
        <f t="shared" si="18"/>
        <v>16.837888100000001</v>
      </c>
      <c r="P54" s="357">
        <f t="shared" si="18"/>
        <v>16.837888100000001</v>
      </c>
      <c r="Q54" s="357">
        <f t="shared" si="18"/>
        <v>16.837888100000001</v>
      </c>
      <c r="R54" s="357">
        <f t="shared" si="18"/>
        <v>16.837888100000001</v>
      </c>
      <c r="S54" s="357">
        <f t="shared" si="18"/>
        <v>16.837888100000001</v>
      </c>
      <c r="T54" s="357">
        <f t="shared" si="18"/>
        <v>16.837888100000001</v>
      </c>
      <c r="U54" s="357">
        <f t="shared" si="18"/>
        <v>25.256832150000001</v>
      </c>
      <c r="V54" s="357">
        <f t="shared" si="18"/>
        <v>0</v>
      </c>
      <c r="W54" s="357">
        <f t="shared" si="18"/>
        <v>0</v>
      </c>
      <c r="X54" s="357">
        <f t="shared" si="18"/>
        <v>0</v>
      </c>
      <c r="Y54" s="357">
        <f t="shared" si="18"/>
        <v>0</v>
      </c>
      <c r="Z54" s="357">
        <f t="shared" si="18"/>
        <v>0</v>
      </c>
      <c r="AA54" s="357">
        <f t="shared" si="18"/>
        <v>0</v>
      </c>
      <c r="AB54" s="357">
        <f t="shared" si="18"/>
        <v>0</v>
      </c>
      <c r="AC54" s="357">
        <f t="shared" si="18"/>
        <v>0</v>
      </c>
      <c r="AD54" s="357">
        <f t="shared" si="18"/>
        <v>0</v>
      </c>
      <c r="AE54" s="357">
        <f t="shared" si="18"/>
        <v>0</v>
      </c>
      <c r="AF54" s="357">
        <f t="shared" si="18"/>
        <v>0</v>
      </c>
      <c r="AG54" s="357">
        <f t="shared" si="18"/>
        <v>0</v>
      </c>
      <c r="AH54" s="357">
        <f t="shared" si="18"/>
        <v>0</v>
      </c>
      <c r="AI54" s="81">
        <f t="shared" si="13"/>
        <v>168.37888100000001</v>
      </c>
    </row>
    <row r="55" spans="1:35">
      <c r="A55" s="159"/>
      <c r="B55" s="359" t="s">
        <v>242</v>
      </c>
      <c r="C55" s="357">
        <v>0</v>
      </c>
      <c r="D55" s="357">
        <v>0</v>
      </c>
      <c r="E55" s="357">
        <v>0</v>
      </c>
      <c r="F55" s="357">
        <v>0</v>
      </c>
      <c r="G55" s="357">
        <v>0</v>
      </c>
      <c r="H55" s="357">
        <v>0</v>
      </c>
      <c r="I55" s="357">
        <v>0</v>
      </c>
      <c r="J55" s="81">
        <v>0</v>
      </c>
      <c r="K55" s="357">
        <v>0</v>
      </c>
      <c r="L55" s="357">
        <v>4.8469589500000003</v>
      </c>
      <c r="M55" s="357">
        <v>9.6939179000000006</v>
      </c>
      <c r="N55" s="357">
        <v>9.6939179000000006</v>
      </c>
      <c r="O55" s="357">
        <v>9.6939179000000006</v>
      </c>
      <c r="P55" s="357">
        <v>9.6939179000000006</v>
      </c>
      <c r="Q55" s="357">
        <v>9.6939179000000006</v>
      </c>
      <c r="R55" s="357">
        <v>9.6939179000000006</v>
      </c>
      <c r="S55" s="357">
        <v>9.6939179000000006</v>
      </c>
      <c r="T55" s="357">
        <v>9.6939179000000006</v>
      </c>
      <c r="U55" s="357">
        <v>14.54087685</v>
      </c>
      <c r="V55" s="357">
        <v>0</v>
      </c>
      <c r="W55" s="357">
        <v>0</v>
      </c>
      <c r="X55" s="357">
        <v>0</v>
      </c>
      <c r="Y55" s="357">
        <v>0</v>
      </c>
      <c r="Z55" s="357">
        <v>0</v>
      </c>
      <c r="AA55" s="357">
        <v>0</v>
      </c>
      <c r="AB55" s="357">
        <v>0</v>
      </c>
      <c r="AC55" s="357">
        <v>0</v>
      </c>
      <c r="AD55" s="357">
        <v>0</v>
      </c>
      <c r="AE55" s="357">
        <v>0</v>
      </c>
      <c r="AF55" s="357">
        <v>0</v>
      </c>
      <c r="AG55" s="357">
        <v>0</v>
      </c>
      <c r="AH55" s="357">
        <v>0</v>
      </c>
      <c r="AI55" s="81">
        <f t="shared" si="13"/>
        <v>96.93917900000001</v>
      </c>
    </row>
    <row r="56" spans="1:35">
      <c r="A56" s="159"/>
      <c r="B56" s="360" t="s">
        <v>243</v>
      </c>
      <c r="C56" s="357">
        <v>0</v>
      </c>
      <c r="D56" s="357">
        <v>0</v>
      </c>
      <c r="E56" s="357">
        <v>0</v>
      </c>
      <c r="F56" s="357">
        <v>0</v>
      </c>
      <c r="G56" s="357">
        <v>0</v>
      </c>
      <c r="H56" s="357">
        <v>0</v>
      </c>
      <c r="I56" s="357">
        <v>0</v>
      </c>
      <c r="J56" s="81">
        <v>0</v>
      </c>
      <c r="K56" s="357">
        <v>0</v>
      </c>
      <c r="L56" s="357">
        <v>3.5719851</v>
      </c>
      <c r="M56" s="357">
        <v>7.1439702</v>
      </c>
      <c r="N56" s="357">
        <v>7.1439702</v>
      </c>
      <c r="O56" s="357">
        <v>7.1439702</v>
      </c>
      <c r="P56" s="357">
        <v>7.1439702</v>
      </c>
      <c r="Q56" s="357">
        <v>7.1439702</v>
      </c>
      <c r="R56" s="357">
        <v>7.1439702</v>
      </c>
      <c r="S56" s="357">
        <v>7.1439702</v>
      </c>
      <c r="T56" s="357">
        <v>7.1439702</v>
      </c>
      <c r="U56" s="357">
        <v>10.715955300000001</v>
      </c>
      <c r="V56" s="357">
        <v>0</v>
      </c>
      <c r="W56" s="357">
        <v>0</v>
      </c>
      <c r="X56" s="357">
        <v>0</v>
      </c>
      <c r="Y56" s="357">
        <v>0</v>
      </c>
      <c r="Z56" s="357">
        <v>0</v>
      </c>
      <c r="AA56" s="357">
        <v>0</v>
      </c>
      <c r="AB56" s="357">
        <v>0</v>
      </c>
      <c r="AC56" s="357">
        <v>0</v>
      </c>
      <c r="AD56" s="357">
        <v>0</v>
      </c>
      <c r="AE56" s="357">
        <v>0</v>
      </c>
      <c r="AF56" s="357">
        <v>0</v>
      </c>
      <c r="AG56" s="357">
        <v>0</v>
      </c>
      <c r="AH56" s="357">
        <v>0</v>
      </c>
      <c r="AI56" s="81">
        <f t="shared" si="13"/>
        <v>71.439701999999997</v>
      </c>
    </row>
    <row r="57" spans="1:35">
      <c r="A57" s="159"/>
      <c r="B57" s="269" t="s">
        <v>21</v>
      </c>
      <c r="C57" s="357">
        <f t="shared" ref="C57:AH57" si="19">+C58+C59</f>
        <v>0</v>
      </c>
      <c r="D57" s="357">
        <f t="shared" si="19"/>
        <v>0</v>
      </c>
      <c r="E57" s="357">
        <f t="shared" si="19"/>
        <v>0</v>
      </c>
      <c r="F57" s="357">
        <f t="shared" si="19"/>
        <v>0</v>
      </c>
      <c r="G57" s="357">
        <f t="shared" si="19"/>
        <v>0</v>
      </c>
      <c r="H57" s="357">
        <f t="shared" si="19"/>
        <v>0</v>
      </c>
      <c r="I57" s="357">
        <f t="shared" si="19"/>
        <v>0</v>
      </c>
      <c r="J57" s="357">
        <f t="shared" si="19"/>
        <v>0</v>
      </c>
      <c r="K57" s="357">
        <f t="shared" si="19"/>
        <v>0</v>
      </c>
      <c r="L57" s="357">
        <f t="shared" si="19"/>
        <v>362.80815480327311</v>
      </c>
      <c r="M57" s="357">
        <f t="shared" si="19"/>
        <v>725.616309606546</v>
      </c>
      <c r="N57" s="357">
        <f t="shared" si="19"/>
        <v>725.616309606546</v>
      </c>
      <c r="O57" s="357">
        <f t="shared" si="19"/>
        <v>725.616309606546</v>
      </c>
      <c r="P57" s="357">
        <f t="shared" si="19"/>
        <v>725.616309606546</v>
      </c>
      <c r="Q57" s="357">
        <f t="shared" si="19"/>
        <v>725.616309606546</v>
      </c>
      <c r="R57" s="357">
        <f t="shared" si="19"/>
        <v>725.616309606546</v>
      </c>
      <c r="S57" s="357">
        <f t="shared" si="19"/>
        <v>725.616309606546</v>
      </c>
      <c r="T57" s="357">
        <f t="shared" si="19"/>
        <v>725.616309606546</v>
      </c>
      <c r="U57" s="357">
        <f t="shared" si="19"/>
        <v>1088.4244644098189</v>
      </c>
      <c r="V57" s="357">
        <f t="shared" si="19"/>
        <v>0</v>
      </c>
      <c r="W57" s="357">
        <f t="shared" si="19"/>
        <v>0</v>
      </c>
      <c r="X57" s="357">
        <f t="shared" si="19"/>
        <v>0</v>
      </c>
      <c r="Y57" s="357">
        <f t="shared" si="19"/>
        <v>0</v>
      </c>
      <c r="Z57" s="357">
        <f t="shared" si="19"/>
        <v>0</v>
      </c>
      <c r="AA57" s="357">
        <f t="shared" si="19"/>
        <v>0</v>
      </c>
      <c r="AB57" s="357">
        <f t="shared" si="19"/>
        <v>0</v>
      </c>
      <c r="AC57" s="357">
        <f t="shared" si="19"/>
        <v>0</v>
      </c>
      <c r="AD57" s="357">
        <f t="shared" si="19"/>
        <v>0</v>
      </c>
      <c r="AE57" s="357">
        <f t="shared" si="19"/>
        <v>0</v>
      </c>
      <c r="AF57" s="357">
        <f t="shared" si="19"/>
        <v>0</v>
      </c>
      <c r="AG57" s="357">
        <f t="shared" si="19"/>
        <v>0</v>
      </c>
      <c r="AH57" s="357">
        <f t="shared" si="19"/>
        <v>0</v>
      </c>
      <c r="AI57" s="81">
        <f t="shared" si="13"/>
        <v>7256.1630960654593</v>
      </c>
    </row>
    <row r="58" spans="1:35">
      <c r="A58" s="159"/>
      <c r="B58" s="358" t="s">
        <v>240</v>
      </c>
      <c r="C58" s="357">
        <v>0</v>
      </c>
      <c r="D58" s="357">
        <v>0</v>
      </c>
      <c r="E58" s="357">
        <v>0</v>
      </c>
      <c r="F58" s="357">
        <v>0</v>
      </c>
      <c r="G58" s="357">
        <v>0</v>
      </c>
      <c r="H58" s="357">
        <v>0</v>
      </c>
      <c r="I58" s="357">
        <v>0</v>
      </c>
      <c r="J58" s="81">
        <v>0</v>
      </c>
      <c r="K58" s="357">
        <v>0</v>
      </c>
      <c r="L58" s="357">
        <v>282.19438224414301</v>
      </c>
      <c r="M58" s="357">
        <v>564.38876448828603</v>
      </c>
      <c r="N58" s="357">
        <v>564.38876448828603</v>
      </c>
      <c r="O58" s="357">
        <v>564.38876448828603</v>
      </c>
      <c r="P58" s="357">
        <v>564.38876448828603</v>
      </c>
      <c r="Q58" s="357">
        <v>564.38876448828603</v>
      </c>
      <c r="R58" s="357">
        <v>564.38876448828603</v>
      </c>
      <c r="S58" s="357">
        <v>564.38876448828603</v>
      </c>
      <c r="T58" s="357">
        <v>564.38876448828603</v>
      </c>
      <c r="U58" s="357">
        <v>846.58314673242899</v>
      </c>
      <c r="V58" s="357">
        <v>0</v>
      </c>
      <c r="W58" s="357">
        <v>0</v>
      </c>
      <c r="X58" s="357">
        <v>0</v>
      </c>
      <c r="Y58" s="357">
        <v>0</v>
      </c>
      <c r="Z58" s="357">
        <v>0</v>
      </c>
      <c r="AA58" s="357">
        <v>0</v>
      </c>
      <c r="AB58" s="357">
        <v>0</v>
      </c>
      <c r="AC58" s="357">
        <v>0</v>
      </c>
      <c r="AD58" s="357">
        <v>0</v>
      </c>
      <c r="AE58" s="357">
        <v>0</v>
      </c>
      <c r="AF58" s="357">
        <v>0</v>
      </c>
      <c r="AG58" s="357">
        <v>0</v>
      </c>
      <c r="AH58" s="357">
        <v>0</v>
      </c>
      <c r="AI58" s="81">
        <f t="shared" si="13"/>
        <v>5643.8876448828605</v>
      </c>
    </row>
    <row r="59" spans="1:35">
      <c r="A59" s="159"/>
      <c r="B59" s="358" t="s">
        <v>241</v>
      </c>
      <c r="C59" s="357">
        <v>0</v>
      </c>
      <c r="D59" s="357">
        <v>0</v>
      </c>
      <c r="E59" s="357">
        <v>0</v>
      </c>
      <c r="F59" s="357">
        <v>0</v>
      </c>
      <c r="G59" s="357">
        <v>0</v>
      </c>
      <c r="H59" s="357">
        <v>0</v>
      </c>
      <c r="I59" s="357">
        <v>0</v>
      </c>
      <c r="J59" s="81">
        <v>0</v>
      </c>
      <c r="K59" s="357">
        <v>0</v>
      </c>
      <c r="L59" s="357">
        <v>80.613772559130098</v>
      </c>
      <c r="M59" s="357">
        <v>161.22754511826</v>
      </c>
      <c r="N59" s="357">
        <v>161.22754511826</v>
      </c>
      <c r="O59" s="357">
        <v>161.22754511826</v>
      </c>
      <c r="P59" s="357">
        <v>161.22754511826</v>
      </c>
      <c r="Q59" s="357">
        <v>161.22754511826</v>
      </c>
      <c r="R59" s="357">
        <v>161.22754511826</v>
      </c>
      <c r="S59" s="357">
        <v>161.22754511826</v>
      </c>
      <c r="T59" s="357">
        <v>161.22754511826</v>
      </c>
      <c r="U59" s="357">
        <v>241.84131767739001</v>
      </c>
      <c r="V59" s="357">
        <v>0</v>
      </c>
      <c r="W59" s="357">
        <v>0</v>
      </c>
      <c r="X59" s="357">
        <v>0</v>
      </c>
      <c r="Y59" s="357">
        <v>0</v>
      </c>
      <c r="Z59" s="357">
        <v>0</v>
      </c>
      <c r="AA59" s="357">
        <v>0</v>
      </c>
      <c r="AB59" s="357">
        <v>0</v>
      </c>
      <c r="AC59" s="357">
        <v>0</v>
      </c>
      <c r="AD59" s="357">
        <v>0</v>
      </c>
      <c r="AE59" s="357">
        <v>0</v>
      </c>
      <c r="AF59" s="357">
        <v>0</v>
      </c>
      <c r="AG59" s="357">
        <v>0</v>
      </c>
      <c r="AH59" s="357">
        <v>0</v>
      </c>
      <c r="AI59" s="81">
        <f t="shared" si="13"/>
        <v>1612.2754511825999</v>
      </c>
    </row>
    <row r="60" spans="1:35">
      <c r="A60" s="159"/>
      <c r="B60" s="269" t="s">
        <v>22</v>
      </c>
      <c r="C60" s="357">
        <f t="shared" ref="C60:AH60" si="20">+C61+C62</f>
        <v>0</v>
      </c>
      <c r="D60" s="357">
        <f t="shared" si="20"/>
        <v>0</v>
      </c>
      <c r="E60" s="357">
        <f t="shared" si="20"/>
        <v>0</v>
      </c>
      <c r="F60" s="357">
        <f t="shared" si="20"/>
        <v>0</v>
      </c>
      <c r="G60" s="357">
        <f t="shared" si="20"/>
        <v>0</v>
      </c>
      <c r="H60" s="357">
        <f t="shared" si="20"/>
        <v>0</v>
      </c>
      <c r="I60" s="357">
        <f t="shared" si="20"/>
        <v>0</v>
      </c>
      <c r="J60" s="357">
        <f t="shared" si="20"/>
        <v>0</v>
      </c>
      <c r="K60" s="357">
        <f t="shared" si="20"/>
        <v>0</v>
      </c>
      <c r="L60" s="357">
        <f t="shared" si="20"/>
        <v>8.341094742657214</v>
      </c>
      <c r="M60" s="357">
        <f t="shared" si="20"/>
        <v>16.68218948531441</v>
      </c>
      <c r="N60" s="357">
        <f t="shared" si="20"/>
        <v>16.68218948531441</v>
      </c>
      <c r="O60" s="357">
        <f t="shared" si="20"/>
        <v>16.68218948531441</v>
      </c>
      <c r="P60" s="357">
        <f t="shared" si="20"/>
        <v>16.68218948531441</v>
      </c>
      <c r="Q60" s="357">
        <f t="shared" si="20"/>
        <v>16.68218948531441</v>
      </c>
      <c r="R60" s="357">
        <f t="shared" si="20"/>
        <v>16.68218948531441</v>
      </c>
      <c r="S60" s="357">
        <f t="shared" si="20"/>
        <v>16.68218948531441</v>
      </c>
      <c r="T60" s="357">
        <f t="shared" si="20"/>
        <v>16.68218948531441</v>
      </c>
      <c r="U60" s="357">
        <f t="shared" si="20"/>
        <v>25.023284227971622</v>
      </c>
      <c r="V60" s="357">
        <f t="shared" si="20"/>
        <v>0</v>
      </c>
      <c r="W60" s="357">
        <f t="shared" si="20"/>
        <v>0</v>
      </c>
      <c r="X60" s="357">
        <f t="shared" si="20"/>
        <v>0</v>
      </c>
      <c r="Y60" s="357">
        <f t="shared" si="20"/>
        <v>0</v>
      </c>
      <c r="Z60" s="357">
        <f t="shared" si="20"/>
        <v>0</v>
      </c>
      <c r="AA60" s="357">
        <f t="shared" si="20"/>
        <v>0</v>
      </c>
      <c r="AB60" s="357">
        <f t="shared" si="20"/>
        <v>0</v>
      </c>
      <c r="AC60" s="357">
        <f t="shared" si="20"/>
        <v>0</v>
      </c>
      <c r="AD60" s="357">
        <f t="shared" si="20"/>
        <v>0</v>
      </c>
      <c r="AE60" s="357">
        <f t="shared" si="20"/>
        <v>0</v>
      </c>
      <c r="AF60" s="357">
        <f t="shared" si="20"/>
        <v>0</v>
      </c>
      <c r="AG60" s="357">
        <f t="shared" si="20"/>
        <v>0</v>
      </c>
      <c r="AH60" s="357">
        <f t="shared" si="20"/>
        <v>0</v>
      </c>
      <c r="AI60" s="81">
        <f t="shared" si="13"/>
        <v>166.82189485314413</v>
      </c>
    </row>
    <row r="61" spans="1:35">
      <c r="A61" s="159"/>
      <c r="B61" s="358" t="s">
        <v>240</v>
      </c>
      <c r="C61" s="357">
        <v>0</v>
      </c>
      <c r="D61" s="357">
        <v>0</v>
      </c>
      <c r="E61" s="357">
        <v>0</v>
      </c>
      <c r="F61" s="357">
        <v>0</v>
      </c>
      <c r="G61" s="357">
        <v>0</v>
      </c>
      <c r="H61" s="357">
        <v>0</v>
      </c>
      <c r="I61" s="357">
        <v>0</v>
      </c>
      <c r="J61" s="81">
        <v>0</v>
      </c>
      <c r="K61" s="357">
        <v>0</v>
      </c>
      <c r="L61" s="357">
        <v>7.9479988030568096</v>
      </c>
      <c r="M61" s="357">
        <v>15.8959976061136</v>
      </c>
      <c r="N61" s="357">
        <v>15.8959976061136</v>
      </c>
      <c r="O61" s="357">
        <v>15.8959976061136</v>
      </c>
      <c r="P61" s="357">
        <v>15.8959976061136</v>
      </c>
      <c r="Q61" s="357">
        <v>15.8959976061136</v>
      </c>
      <c r="R61" s="357">
        <v>15.8959976061136</v>
      </c>
      <c r="S61" s="357">
        <v>15.8959976061136</v>
      </c>
      <c r="T61" s="357">
        <v>15.8959976061136</v>
      </c>
      <c r="U61" s="357">
        <v>23.843996409170401</v>
      </c>
      <c r="V61" s="357">
        <v>0</v>
      </c>
      <c r="W61" s="357">
        <v>0</v>
      </c>
      <c r="X61" s="357">
        <v>0</v>
      </c>
      <c r="Y61" s="357">
        <v>0</v>
      </c>
      <c r="Z61" s="357">
        <v>0</v>
      </c>
      <c r="AA61" s="357">
        <v>0</v>
      </c>
      <c r="AB61" s="357">
        <v>0</v>
      </c>
      <c r="AC61" s="357">
        <v>0</v>
      </c>
      <c r="AD61" s="357">
        <v>0</v>
      </c>
      <c r="AE61" s="357">
        <v>0</v>
      </c>
      <c r="AF61" s="357">
        <v>0</v>
      </c>
      <c r="AG61" s="357">
        <v>0</v>
      </c>
      <c r="AH61" s="357">
        <v>0</v>
      </c>
      <c r="AI61" s="81">
        <f t="shared" si="13"/>
        <v>158.95997606113599</v>
      </c>
    </row>
    <row r="62" spans="1:35">
      <c r="A62" s="159"/>
      <c r="B62" s="358" t="s">
        <v>241</v>
      </c>
      <c r="C62" s="357">
        <v>0</v>
      </c>
      <c r="D62" s="357">
        <v>0</v>
      </c>
      <c r="E62" s="357">
        <v>0</v>
      </c>
      <c r="F62" s="357">
        <v>0</v>
      </c>
      <c r="G62" s="357">
        <v>0</v>
      </c>
      <c r="H62" s="357">
        <v>0</v>
      </c>
      <c r="I62" s="357">
        <v>0</v>
      </c>
      <c r="J62" s="85">
        <v>0</v>
      </c>
      <c r="K62" s="357">
        <v>0</v>
      </c>
      <c r="L62" s="357">
        <v>0.39309593960040501</v>
      </c>
      <c r="M62" s="357">
        <v>0.78619187920081002</v>
      </c>
      <c r="N62" s="357">
        <v>0.78619187920081002</v>
      </c>
      <c r="O62" s="357">
        <v>0.78619187920081002</v>
      </c>
      <c r="P62" s="357">
        <v>0.78619187920081002</v>
      </c>
      <c r="Q62" s="357">
        <v>0.78619187920081002</v>
      </c>
      <c r="R62" s="357">
        <v>0.78619187920081002</v>
      </c>
      <c r="S62" s="357">
        <v>0.78619187920081002</v>
      </c>
      <c r="T62" s="357">
        <v>0.78619187920081002</v>
      </c>
      <c r="U62" s="357">
        <v>1.1792878188012201</v>
      </c>
      <c r="V62" s="357">
        <v>0</v>
      </c>
      <c r="W62" s="357">
        <v>0</v>
      </c>
      <c r="X62" s="357">
        <v>0</v>
      </c>
      <c r="Y62" s="357">
        <v>0</v>
      </c>
      <c r="Z62" s="357">
        <v>0</v>
      </c>
      <c r="AA62" s="357">
        <v>0</v>
      </c>
      <c r="AB62" s="357">
        <v>0</v>
      </c>
      <c r="AC62" s="357">
        <v>0</v>
      </c>
      <c r="AD62" s="357">
        <v>0</v>
      </c>
      <c r="AE62" s="357">
        <v>0</v>
      </c>
      <c r="AF62" s="357">
        <v>0</v>
      </c>
      <c r="AG62" s="357">
        <v>0</v>
      </c>
      <c r="AH62" s="357">
        <v>0</v>
      </c>
      <c r="AI62" s="85">
        <f t="shared" si="13"/>
        <v>7.8619187920081055</v>
      </c>
    </row>
    <row r="63" spans="1:35">
      <c r="A63" s="159"/>
      <c r="B63" s="361" t="s">
        <v>75</v>
      </c>
      <c r="C63" s="362">
        <f t="shared" ref="C63:AH63" si="21">+C64+C67+C74+C77</f>
        <v>0</v>
      </c>
      <c r="D63" s="362">
        <f t="shared" si="21"/>
        <v>0</v>
      </c>
      <c r="E63" s="362">
        <f t="shared" si="21"/>
        <v>0</v>
      </c>
      <c r="F63" s="362">
        <f t="shared" si="21"/>
        <v>0</v>
      </c>
      <c r="G63" s="362">
        <f t="shared" si="21"/>
        <v>2226.0444522263565</v>
      </c>
      <c r="H63" s="362">
        <f t="shared" si="21"/>
        <v>2226.0444522263565</v>
      </c>
      <c r="I63" s="362">
        <f t="shared" si="21"/>
        <v>2226.0444522263565</v>
      </c>
      <c r="J63" s="362">
        <f t="shared" si="21"/>
        <v>2226.0444522263565</v>
      </c>
      <c r="K63" s="362">
        <f t="shared" si="21"/>
        <v>2226.0444522263565</v>
      </c>
      <c r="L63" s="362">
        <f t="shared" si="21"/>
        <v>2226.0444522263565</v>
      </c>
      <c r="M63" s="362">
        <f t="shared" si="21"/>
        <v>2226.0444522263565</v>
      </c>
      <c r="N63" s="362">
        <f t="shared" si="21"/>
        <v>2226.0444522263565</v>
      </c>
      <c r="O63" s="362">
        <f t="shared" si="21"/>
        <v>2226.0444522263565</v>
      </c>
      <c r="P63" s="362">
        <f t="shared" si="21"/>
        <v>2226.0444522263565</v>
      </c>
      <c r="Q63" s="362">
        <f t="shared" si="21"/>
        <v>0</v>
      </c>
      <c r="R63" s="362">
        <f t="shared" si="21"/>
        <v>0</v>
      </c>
      <c r="S63" s="362">
        <f t="shared" si="21"/>
        <v>0</v>
      </c>
      <c r="T63" s="362">
        <f t="shared" si="21"/>
        <v>0</v>
      </c>
      <c r="U63" s="362">
        <f t="shared" si="21"/>
        <v>0</v>
      </c>
      <c r="V63" s="362">
        <f t="shared" si="21"/>
        <v>0</v>
      </c>
      <c r="W63" s="362">
        <f t="shared" si="21"/>
        <v>0</v>
      </c>
      <c r="X63" s="362">
        <f t="shared" si="21"/>
        <v>0</v>
      </c>
      <c r="Y63" s="362">
        <f t="shared" si="21"/>
        <v>0</v>
      </c>
      <c r="Z63" s="362">
        <f t="shared" si="21"/>
        <v>0</v>
      </c>
      <c r="AA63" s="362">
        <f t="shared" si="21"/>
        <v>0</v>
      </c>
      <c r="AB63" s="362">
        <f t="shared" si="21"/>
        <v>0</v>
      </c>
      <c r="AC63" s="362">
        <f t="shared" si="21"/>
        <v>0</v>
      </c>
      <c r="AD63" s="362">
        <f t="shared" si="21"/>
        <v>0</v>
      </c>
      <c r="AE63" s="362">
        <f t="shared" si="21"/>
        <v>0</v>
      </c>
      <c r="AF63" s="362">
        <f t="shared" si="21"/>
        <v>0</v>
      </c>
      <c r="AG63" s="362">
        <f t="shared" si="21"/>
        <v>0</v>
      </c>
      <c r="AH63" s="362">
        <f t="shared" si="21"/>
        <v>0</v>
      </c>
      <c r="AI63" s="80">
        <f t="shared" si="13"/>
        <v>22260.444522263566</v>
      </c>
    </row>
    <row r="64" spans="1:35">
      <c r="A64" s="159"/>
      <c r="B64" s="269" t="s">
        <v>23</v>
      </c>
      <c r="C64" s="357">
        <f t="shared" ref="C64:AH64" si="22">+C65+C66</f>
        <v>0</v>
      </c>
      <c r="D64" s="357">
        <f t="shared" si="22"/>
        <v>0</v>
      </c>
      <c r="E64" s="357">
        <f t="shared" si="22"/>
        <v>0</v>
      </c>
      <c r="F64" s="357">
        <f t="shared" si="22"/>
        <v>0</v>
      </c>
      <c r="G64" s="357">
        <f t="shared" si="22"/>
        <v>287.60208366026211</v>
      </c>
      <c r="H64" s="357">
        <f t="shared" si="22"/>
        <v>287.60208366026211</v>
      </c>
      <c r="I64" s="357">
        <f t="shared" si="22"/>
        <v>287.60208366026211</v>
      </c>
      <c r="J64" s="357">
        <f t="shared" si="22"/>
        <v>287.60208366026211</v>
      </c>
      <c r="K64" s="357">
        <f t="shared" si="22"/>
        <v>287.60208366026211</v>
      </c>
      <c r="L64" s="357">
        <f t="shared" si="22"/>
        <v>287.60208366026211</v>
      </c>
      <c r="M64" s="357">
        <f t="shared" si="22"/>
        <v>287.60208366026211</v>
      </c>
      <c r="N64" s="357">
        <f t="shared" si="22"/>
        <v>287.60208366026211</v>
      </c>
      <c r="O64" s="357">
        <f t="shared" si="22"/>
        <v>287.60208366026211</v>
      </c>
      <c r="P64" s="357">
        <f t="shared" si="22"/>
        <v>287.60208366026211</v>
      </c>
      <c r="Q64" s="357">
        <f t="shared" si="22"/>
        <v>0</v>
      </c>
      <c r="R64" s="357">
        <f t="shared" si="22"/>
        <v>0</v>
      </c>
      <c r="S64" s="357">
        <f t="shared" si="22"/>
        <v>0</v>
      </c>
      <c r="T64" s="357">
        <f t="shared" si="22"/>
        <v>0</v>
      </c>
      <c r="U64" s="357">
        <f t="shared" si="22"/>
        <v>0</v>
      </c>
      <c r="V64" s="357">
        <f t="shared" si="22"/>
        <v>0</v>
      </c>
      <c r="W64" s="357">
        <f t="shared" si="22"/>
        <v>0</v>
      </c>
      <c r="X64" s="357">
        <f t="shared" si="22"/>
        <v>0</v>
      </c>
      <c r="Y64" s="357">
        <f t="shared" si="22"/>
        <v>0</v>
      </c>
      <c r="Z64" s="357">
        <f t="shared" si="22"/>
        <v>0</v>
      </c>
      <c r="AA64" s="357">
        <f t="shared" si="22"/>
        <v>0</v>
      </c>
      <c r="AB64" s="357">
        <f t="shared" si="22"/>
        <v>0</v>
      </c>
      <c r="AC64" s="357">
        <f t="shared" si="22"/>
        <v>0</v>
      </c>
      <c r="AD64" s="357">
        <f t="shared" si="22"/>
        <v>0</v>
      </c>
      <c r="AE64" s="357">
        <f t="shared" si="22"/>
        <v>0</v>
      </c>
      <c r="AF64" s="357">
        <f t="shared" si="22"/>
        <v>0</v>
      </c>
      <c r="AG64" s="357">
        <f t="shared" si="22"/>
        <v>0</v>
      </c>
      <c r="AH64" s="357">
        <f t="shared" si="22"/>
        <v>0</v>
      </c>
      <c r="AI64" s="95">
        <f t="shared" si="13"/>
        <v>2876.0208366026204</v>
      </c>
    </row>
    <row r="65" spans="1:35">
      <c r="A65" s="159"/>
      <c r="B65" s="358" t="s">
        <v>240</v>
      </c>
      <c r="C65" s="357">
        <v>0</v>
      </c>
      <c r="D65" s="357">
        <v>0</v>
      </c>
      <c r="E65" s="357">
        <v>0</v>
      </c>
      <c r="F65" s="357">
        <v>0</v>
      </c>
      <c r="G65" s="357">
        <v>284.18595792352096</v>
      </c>
      <c r="H65" s="357">
        <v>284.18595792352096</v>
      </c>
      <c r="I65" s="357">
        <v>284.18595792352096</v>
      </c>
      <c r="J65" s="81">
        <v>284.18595792352096</v>
      </c>
      <c r="K65" s="357">
        <v>284.18595792352096</v>
      </c>
      <c r="L65" s="357">
        <v>284.18595792352096</v>
      </c>
      <c r="M65" s="357">
        <v>284.18595792352096</v>
      </c>
      <c r="N65" s="357">
        <v>284.18595792352096</v>
      </c>
      <c r="O65" s="357">
        <v>284.18595792352096</v>
      </c>
      <c r="P65" s="357">
        <v>284.18595792352096</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81">
        <f t="shared" si="13"/>
        <v>2841.8595792352103</v>
      </c>
    </row>
    <row r="66" spans="1:35">
      <c r="A66" s="159"/>
      <c r="B66" s="358" t="s">
        <v>241</v>
      </c>
      <c r="C66" s="357">
        <v>0</v>
      </c>
      <c r="D66" s="357">
        <v>0</v>
      </c>
      <c r="E66" s="357">
        <v>0</v>
      </c>
      <c r="F66" s="357">
        <v>0</v>
      </c>
      <c r="G66" s="357">
        <v>3.4161257367411602</v>
      </c>
      <c r="H66" s="357">
        <v>3.4161257367411602</v>
      </c>
      <c r="I66" s="357">
        <v>3.4161257367411602</v>
      </c>
      <c r="J66" s="81">
        <v>3.4161257367411602</v>
      </c>
      <c r="K66" s="357">
        <v>3.4161257367411602</v>
      </c>
      <c r="L66" s="357">
        <v>3.4161257367411602</v>
      </c>
      <c r="M66" s="357">
        <v>3.4161257367411602</v>
      </c>
      <c r="N66" s="357">
        <v>3.4161257367411602</v>
      </c>
      <c r="O66" s="357">
        <v>3.4161257367411602</v>
      </c>
      <c r="P66" s="357">
        <v>3.4161257367411602</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81">
        <f t="shared" si="13"/>
        <v>34.161257367411608</v>
      </c>
    </row>
    <row r="67" spans="1:35">
      <c r="A67" s="159"/>
      <c r="B67" s="269" t="s">
        <v>24</v>
      </c>
      <c r="C67" s="357">
        <f t="shared" ref="C67:AH67" si="23">+C68+C71</f>
        <v>0</v>
      </c>
      <c r="D67" s="357">
        <f t="shared" si="23"/>
        <v>0</v>
      </c>
      <c r="E67" s="357">
        <f t="shared" si="23"/>
        <v>0</v>
      </c>
      <c r="F67" s="357">
        <f t="shared" si="23"/>
        <v>0</v>
      </c>
      <c r="G67" s="357">
        <f t="shared" si="23"/>
        <v>1281.9036951399999</v>
      </c>
      <c r="H67" s="357">
        <f t="shared" si="23"/>
        <v>1281.9036951399999</v>
      </c>
      <c r="I67" s="357">
        <f t="shared" si="23"/>
        <v>1281.9036951399999</v>
      </c>
      <c r="J67" s="357">
        <f t="shared" si="23"/>
        <v>1281.9036951399999</v>
      </c>
      <c r="K67" s="357">
        <f t="shared" si="23"/>
        <v>1281.9036951399999</v>
      </c>
      <c r="L67" s="357">
        <f t="shared" si="23"/>
        <v>1281.9036951399999</v>
      </c>
      <c r="M67" s="357">
        <f t="shared" si="23"/>
        <v>1281.9036951399999</v>
      </c>
      <c r="N67" s="357">
        <f t="shared" si="23"/>
        <v>1281.9036951399999</v>
      </c>
      <c r="O67" s="357">
        <f t="shared" si="23"/>
        <v>1281.9036951399999</v>
      </c>
      <c r="P67" s="357">
        <f t="shared" si="23"/>
        <v>1281.9036951399999</v>
      </c>
      <c r="Q67" s="357">
        <f t="shared" si="23"/>
        <v>0</v>
      </c>
      <c r="R67" s="357">
        <f t="shared" si="23"/>
        <v>0</v>
      </c>
      <c r="S67" s="357">
        <f t="shared" si="23"/>
        <v>0</v>
      </c>
      <c r="T67" s="357">
        <f t="shared" si="23"/>
        <v>0</v>
      </c>
      <c r="U67" s="357">
        <f t="shared" si="23"/>
        <v>0</v>
      </c>
      <c r="V67" s="357">
        <f t="shared" si="23"/>
        <v>0</v>
      </c>
      <c r="W67" s="357">
        <f t="shared" si="23"/>
        <v>0</v>
      </c>
      <c r="X67" s="357">
        <f t="shared" si="23"/>
        <v>0</v>
      </c>
      <c r="Y67" s="357">
        <f t="shared" si="23"/>
        <v>0</v>
      </c>
      <c r="Z67" s="357">
        <f t="shared" si="23"/>
        <v>0</v>
      </c>
      <c r="AA67" s="357">
        <f t="shared" si="23"/>
        <v>0</v>
      </c>
      <c r="AB67" s="357">
        <f t="shared" si="23"/>
        <v>0</v>
      </c>
      <c r="AC67" s="357">
        <f t="shared" si="23"/>
        <v>0</v>
      </c>
      <c r="AD67" s="357">
        <f t="shared" si="23"/>
        <v>0</v>
      </c>
      <c r="AE67" s="357">
        <f t="shared" si="23"/>
        <v>0</v>
      </c>
      <c r="AF67" s="357">
        <f t="shared" si="23"/>
        <v>0</v>
      </c>
      <c r="AG67" s="357">
        <f t="shared" si="23"/>
        <v>0</v>
      </c>
      <c r="AH67" s="357">
        <f t="shared" si="23"/>
        <v>0</v>
      </c>
      <c r="AI67" s="81">
        <f t="shared" si="13"/>
        <v>12819.036951399996</v>
      </c>
    </row>
    <row r="68" spans="1:35">
      <c r="A68" s="159"/>
      <c r="B68" s="358" t="s">
        <v>240</v>
      </c>
      <c r="C68" s="357">
        <f t="shared" ref="C68:AH68" si="24">+C69+C70</f>
        <v>0</v>
      </c>
      <c r="D68" s="357">
        <f t="shared" si="24"/>
        <v>0</v>
      </c>
      <c r="E68" s="357">
        <f t="shared" si="24"/>
        <v>0</v>
      </c>
      <c r="F68" s="357">
        <f t="shared" si="24"/>
        <v>0</v>
      </c>
      <c r="G68" s="357">
        <f t="shared" si="24"/>
        <v>1133.0953413</v>
      </c>
      <c r="H68" s="357">
        <f t="shared" si="24"/>
        <v>1133.0953413</v>
      </c>
      <c r="I68" s="357">
        <f t="shared" si="24"/>
        <v>1133.0953413</v>
      </c>
      <c r="J68" s="357">
        <f t="shared" si="24"/>
        <v>1133.0953413</v>
      </c>
      <c r="K68" s="357">
        <f t="shared" si="24"/>
        <v>1133.0953413</v>
      </c>
      <c r="L68" s="357">
        <f t="shared" si="24"/>
        <v>1133.0953413</v>
      </c>
      <c r="M68" s="357">
        <f t="shared" si="24"/>
        <v>1133.0953413</v>
      </c>
      <c r="N68" s="357">
        <f t="shared" si="24"/>
        <v>1133.0953413</v>
      </c>
      <c r="O68" s="357">
        <f t="shared" si="24"/>
        <v>1133.0953413</v>
      </c>
      <c r="P68" s="357">
        <f t="shared" si="24"/>
        <v>1133.0953413</v>
      </c>
      <c r="Q68" s="357">
        <f t="shared" si="24"/>
        <v>0</v>
      </c>
      <c r="R68" s="357">
        <f t="shared" si="24"/>
        <v>0</v>
      </c>
      <c r="S68" s="357">
        <f t="shared" si="24"/>
        <v>0</v>
      </c>
      <c r="T68" s="357">
        <f t="shared" si="24"/>
        <v>0</v>
      </c>
      <c r="U68" s="357">
        <f t="shared" si="24"/>
        <v>0</v>
      </c>
      <c r="V68" s="357">
        <f t="shared" si="24"/>
        <v>0</v>
      </c>
      <c r="W68" s="357">
        <f t="shared" si="24"/>
        <v>0</v>
      </c>
      <c r="X68" s="357">
        <f t="shared" si="24"/>
        <v>0</v>
      </c>
      <c r="Y68" s="357">
        <f t="shared" si="24"/>
        <v>0</v>
      </c>
      <c r="Z68" s="357">
        <f t="shared" si="24"/>
        <v>0</v>
      </c>
      <c r="AA68" s="357">
        <f t="shared" si="24"/>
        <v>0</v>
      </c>
      <c r="AB68" s="357">
        <f t="shared" si="24"/>
        <v>0</v>
      </c>
      <c r="AC68" s="357">
        <f t="shared" si="24"/>
        <v>0</v>
      </c>
      <c r="AD68" s="357">
        <f t="shared" si="24"/>
        <v>0</v>
      </c>
      <c r="AE68" s="357">
        <f t="shared" si="24"/>
        <v>0</v>
      </c>
      <c r="AF68" s="357">
        <f t="shared" si="24"/>
        <v>0</v>
      </c>
      <c r="AG68" s="357">
        <f t="shared" si="24"/>
        <v>0</v>
      </c>
      <c r="AH68" s="357">
        <f t="shared" si="24"/>
        <v>0</v>
      </c>
      <c r="AI68" s="81">
        <f t="shared" si="13"/>
        <v>11330.953413000001</v>
      </c>
    </row>
    <row r="69" spans="1:35">
      <c r="A69" s="159"/>
      <c r="B69" s="359" t="s">
        <v>242</v>
      </c>
      <c r="C69" s="357">
        <v>0</v>
      </c>
      <c r="D69" s="357">
        <v>0</v>
      </c>
      <c r="E69" s="357">
        <v>0</v>
      </c>
      <c r="F69" s="357">
        <v>0</v>
      </c>
      <c r="G69" s="357">
        <v>426.1542364</v>
      </c>
      <c r="H69" s="357">
        <v>426.1542364</v>
      </c>
      <c r="I69" s="357">
        <v>426.1542364</v>
      </c>
      <c r="J69" s="81">
        <v>426.1542364</v>
      </c>
      <c r="K69" s="357">
        <v>426.1542364</v>
      </c>
      <c r="L69" s="357">
        <v>426.1542364</v>
      </c>
      <c r="M69" s="357">
        <v>426.1542364</v>
      </c>
      <c r="N69" s="357">
        <v>426.1542364</v>
      </c>
      <c r="O69" s="357">
        <v>426.1542364</v>
      </c>
      <c r="P69" s="357">
        <v>426.1542364</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81">
        <f t="shared" si="13"/>
        <v>4261.5423640000008</v>
      </c>
    </row>
    <row r="70" spans="1:35">
      <c r="A70" s="159"/>
      <c r="B70" s="360" t="s">
        <v>243</v>
      </c>
      <c r="C70" s="357">
        <v>0</v>
      </c>
      <c r="D70" s="357">
        <v>0</v>
      </c>
      <c r="E70" s="357">
        <v>0</v>
      </c>
      <c r="F70" s="357">
        <v>0</v>
      </c>
      <c r="G70" s="357">
        <v>706.94110490000003</v>
      </c>
      <c r="H70" s="357">
        <v>706.94110490000003</v>
      </c>
      <c r="I70" s="357">
        <v>706.94110490000003</v>
      </c>
      <c r="J70" s="81">
        <v>706.94110490000003</v>
      </c>
      <c r="K70" s="357">
        <v>706.94110490000003</v>
      </c>
      <c r="L70" s="357">
        <v>706.94110490000003</v>
      </c>
      <c r="M70" s="357">
        <v>706.94110490000003</v>
      </c>
      <c r="N70" s="357">
        <v>706.94110490000003</v>
      </c>
      <c r="O70" s="357">
        <v>706.94110490000003</v>
      </c>
      <c r="P70" s="357">
        <v>706.94110490000003</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81">
        <f t="shared" si="13"/>
        <v>7069.4110490000003</v>
      </c>
    </row>
    <row r="71" spans="1:35">
      <c r="A71" s="159"/>
      <c r="B71" s="358" t="s">
        <v>241</v>
      </c>
      <c r="C71" s="357">
        <f t="shared" ref="C71:AH71" si="25">+C72+C73</f>
        <v>0</v>
      </c>
      <c r="D71" s="357">
        <f t="shared" si="25"/>
        <v>0</v>
      </c>
      <c r="E71" s="357">
        <f t="shared" si="25"/>
        <v>0</v>
      </c>
      <c r="F71" s="357">
        <f t="shared" si="25"/>
        <v>0</v>
      </c>
      <c r="G71" s="357">
        <f t="shared" si="25"/>
        <v>148.80835384</v>
      </c>
      <c r="H71" s="357">
        <f t="shared" si="25"/>
        <v>148.80835384</v>
      </c>
      <c r="I71" s="357">
        <f t="shared" si="25"/>
        <v>148.80835384</v>
      </c>
      <c r="J71" s="357">
        <f t="shared" si="25"/>
        <v>148.80835384</v>
      </c>
      <c r="K71" s="357">
        <f t="shared" si="25"/>
        <v>148.80835384</v>
      </c>
      <c r="L71" s="357">
        <f t="shared" si="25"/>
        <v>148.80835384</v>
      </c>
      <c r="M71" s="357">
        <f t="shared" si="25"/>
        <v>148.80835384</v>
      </c>
      <c r="N71" s="357">
        <f t="shared" si="25"/>
        <v>148.80835384</v>
      </c>
      <c r="O71" s="357">
        <f t="shared" si="25"/>
        <v>148.80835384</v>
      </c>
      <c r="P71" s="357">
        <f t="shared" si="25"/>
        <v>148.80835384</v>
      </c>
      <c r="Q71" s="357">
        <f t="shared" si="25"/>
        <v>0</v>
      </c>
      <c r="R71" s="357">
        <f t="shared" si="25"/>
        <v>0</v>
      </c>
      <c r="S71" s="357">
        <f t="shared" si="25"/>
        <v>0</v>
      </c>
      <c r="T71" s="357">
        <f t="shared" si="25"/>
        <v>0</v>
      </c>
      <c r="U71" s="357">
        <f t="shared" si="25"/>
        <v>0</v>
      </c>
      <c r="V71" s="357">
        <f t="shared" si="25"/>
        <v>0</v>
      </c>
      <c r="W71" s="357">
        <f t="shared" si="25"/>
        <v>0</v>
      </c>
      <c r="X71" s="357">
        <f t="shared" si="25"/>
        <v>0</v>
      </c>
      <c r="Y71" s="357">
        <f t="shared" si="25"/>
        <v>0</v>
      </c>
      <c r="Z71" s="357">
        <f t="shared" si="25"/>
        <v>0</v>
      </c>
      <c r="AA71" s="357">
        <f t="shared" si="25"/>
        <v>0</v>
      </c>
      <c r="AB71" s="357">
        <f t="shared" si="25"/>
        <v>0</v>
      </c>
      <c r="AC71" s="357">
        <f t="shared" si="25"/>
        <v>0</v>
      </c>
      <c r="AD71" s="357">
        <f t="shared" si="25"/>
        <v>0</v>
      </c>
      <c r="AE71" s="357">
        <f t="shared" si="25"/>
        <v>0</v>
      </c>
      <c r="AF71" s="357">
        <f t="shared" si="25"/>
        <v>0</v>
      </c>
      <c r="AG71" s="357">
        <f t="shared" si="25"/>
        <v>0</v>
      </c>
      <c r="AH71" s="357">
        <f t="shared" si="25"/>
        <v>0</v>
      </c>
      <c r="AI71" s="81">
        <f t="shared" si="13"/>
        <v>1488.0835384000002</v>
      </c>
    </row>
    <row r="72" spans="1:35">
      <c r="A72" s="159"/>
      <c r="B72" s="359" t="s">
        <v>242</v>
      </c>
      <c r="C72" s="357">
        <v>0</v>
      </c>
      <c r="D72" s="357">
        <v>0</v>
      </c>
      <c r="E72" s="357">
        <v>0</v>
      </c>
      <c r="F72" s="357">
        <v>0</v>
      </c>
      <c r="G72" s="357">
        <v>130.37493726</v>
      </c>
      <c r="H72" s="357">
        <v>130.37493726</v>
      </c>
      <c r="I72" s="357">
        <v>130.37493726</v>
      </c>
      <c r="J72" s="81">
        <v>130.37493726</v>
      </c>
      <c r="K72" s="357">
        <v>130.37493726</v>
      </c>
      <c r="L72" s="357">
        <v>130.37493726</v>
      </c>
      <c r="M72" s="357">
        <v>130.37493726</v>
      </c>
      <c r="N72" s="357">
        <v>130.37493726</v>
      </c>
      <c r="O72" s="357">
        <v>130.37493726</v>
      </c>
      <c r="P72" s="357">
        <v>130.37493726</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81">
        <f t="shared" si="13"/>
        <v>1303.7493726</v>
      </c>
    </row>
    <row r="73" spans="1:35">
      <c r="A73" s="159"/>
      <c r="B73" s="360" t="s">
        <v>243</v>
      </c>
      <c r="C73" s="357">
        <v>0</v>
      </c>
      <c r="D73" s="357">
        <v>0</v>
      </c>
      <c r="E73" s="357">
        <v>0</v>
      </c>
      <c r="F73" s="357">
        <v>0</v>
      </c>
      <c r="G73" s="357">
        <v>18.433416579999999</v>
      </c>
      <c r="H73" s="357">
        <v>18.433416579999999</v>
      </c>
      <c r="I73" s="357">
        <v>18.433416579999999</v>
      </c>
      <c r="J73" s="81">
        <v>18.433416579999999</v>
      </c>
      <c r="K73" s="357">
        <v>18.433416579999999</v>
      </c>
      <c r="L73" s="357">
        <v>18.433416579999999</v>
      </c>
      <c r="M73" s="357">
        <v>18.433416579999999</v>
      </c>
      <c r="N73" s="357">
        <v>18.433416579999999</v>
      </c>
      <c r="O73" s="357">
        <v>18.433416579999999</v>
      </c>
      <c r="P73" s="357">
        <v>18.433416579999999</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81">
        <f t="shared" si="13"/>
        <v>184.33416579999999</v>
      </c>
    </row>
    <row r="74" spans="1:35">
      <c r="A74" s="159"/>
      <c r="B74" s="269" t="s">
        <v>25</v>
      </c>
      <c r="C74" s="357">
        <f t="shared" ref="C74:AH74" si="26">+C75+C76</f>
        <v>0</v>
      </c>
      <c r="D74" s="357">
        <f t="shared" si="26"/>
        <v>0</v>
      </c>
      <c r="E74" s="357">
        <f t="shared" si="26"/>
        <v>0</v>
      </c>
      <c r="F74" s="357">
        <f t="shared" si="26"/>
        <v>0</v>
      </c>
      <c r="G74" s="357">
        <f t="shared" si="26"/>
        <v>647.49288404887307</v>
      </c>
      <c r="H74" s="357">
        <f t="shared" si="26"/>
        <v>647.49288404887307</v>
      </c>
      <c r="I74" s="357">
        <f t="shared" si="26"/>
        <v>647.49288404887307</v>
      </c>
      <c r="J74" s="357">
        <f t="shared" si="26"/>
        <v>647.49288404887307</v>
      </c>
      <c r="K74" s="357">
        <f t="shared" si="26"/>
        <v>647.49288404887307</v>
      </c>
      <c r="L74" s="357">
        <f t="shared" si="26"/>
        <v>647.49288404887307</v>
      </c>
      <c r="M74" s="357">
        <f t="shared" si="26"/>
        <v>647.49288404887307</v>
      </c>
      <c r="N74" s="357">
        <f t="shared" si="26"/>
        <v>647.49288404887307</v>
      </c>
      <c r="O74" s="357">
        <f t="shared" si="26"/>
        <v>647.49288404887307</v>
      </c>
      <c r="P74" s="357">
        <f t="shared" si="26"/>
        <v>647.49288404887307</v>
      </c>
      <c r="Q74" s="357">
        <f t="shared" si="26"/>
        <v>0</v>
      </c>
      <c r="R74" s="357">
        <f t="shared" si="26"/>
        <v>0</v>
      </c>
      <c r="S74" s="357">
        <f t="shared" si="26"/>
        <v>0</v>
      </c>
      <c r="T74" s="357">
        <f t="shared" si="26"/>
        <v>0</v>
      </c>
      <c r="U74" s="357">
        <f t="shared" si="26"/>
        <v>0</v>
      </c>
      <c r="V74" s="357">
        <f t="shared" si="26"/>
        <v>0</v>
      </c>
      <c r="W74" s="357">
        <f t="shared" si="26"/>
        <v>0</v>
      </c>
      <c r="X74" s="357">
        <f t="shared" si="26"/>
        <v>0</v>
      </c>
      <c r="Y74" s="357">
        <f t="shared" si="26"/>
        <v>0</v>
      </c>
      <c r="Z74" s="357">
        <f t="shared" si="26"/>
        <v>0</v>
      </c>
      <c r="AA74" s="357">
        <f t="shared" si="26"/>
        <v>0</v>
      </c>
      <c r="AB74" s="357">
        <f t="shared" si="26"/>
        <v>0</v>
      </c>
      <c r="AC74" s="357">
        <f t="shared" si="26"/>
        <v>0</v>
      </c>
      <c r="AD74" s="357">
        <f t="shared" si="26"/>
        <v>0</v>
      </c>
      <c r="AE74" s="357">
        <f t="shared" si="26"/>
        <v>0</v>
      </c>
      <c r="AF74" s="357">
        <f t="shared" si="26"/>
        <v>0</v>
      </c>
      <c r="AG74" s="357">
        <f t="shared" si="26"/>
        <v>0</v>
      </c>
      <c r="AH74" s="357">
        <f t="shared" si="26"/>
        <v>0</v>
      </c>
      <c r="AI74" s="81">
        <f t="shared" si="13"/>
        <v>6474.9288404887293</v>
      </c>
    </row>
    <row r="75" spans="1:35">
      <c r="A75" s="159"/>
      <c r="B75" s="358" t="s">
        <v>240</v>
      </c>
      <c r="C75" s="357">
        <v>0</v>
      </c>
      <c r="D75" s="357">
        <v>0</v>
      </c>
      <c r="E75" s="357">
        <v>0</v>
      </c>
      <c r="F75" s="357">
        <v>0</v>
      </c>
      <c r="G75" s="357">
        <v>349.15498047304101</v>
      </c>
      <c r="H75" s="357">
        <v>349.15498047304101</v>
      </c>
      <c r="I75" s="357">
        <v>349.15498047304101</v>
      </c>
      <c r="J75" s="81">
        <v>349.15498047304101</v>
      </c>
      <c r="K75" s="357">
        <v>349.15498047304101</v>
      </c>
      <c r="L75" s="357">
        <v>349.15498047304101</v>
      </c>
      <c r="M75" s="357">
        <v>349.15498047304101</v>
      </c>
      <c r="N75" s="357">
        <v>349.15498047304101</v>
      </c>
      <c r="O75" s="357">
        <v>349.15498047304101</v>
      </c>
      <c r="P75" s="357">
        <v>349.15498047304101</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81">
        <f t="shared" si="13"/>
        <v>3491.5498047304109</v>
      </c>
    </row>
    <row r="76" spans="1:35">
      <c r="A76" s="159"/>
      <c r="B76" s="363" t="s">
        <v>241</v>
      </c>
      <c r="C76" s="357">
        <v>0</v>
      </c>
      <c r="D76" s="357">
        <v>0</v>
      </c>
      <c r="E76" s="357">
        <v>0</v>
      </c>
      <c r="F76" s="357">
        <v>0</v>
      </c>
      <c r="G76" s="357">
        <v>298.337903575832</v>
      </c>
      <c r="H76" s="357">
        <v>298.337903575832</v>
      </c>
      <c r="I76" s="357">
        <v>298.337903575832</v>
      </c>
      <c r="J76" s="81">
        <v>298.337903575832</v>
      </c>
      <c r="K76" s="357">
        <v>298.337903575832</v>
      </c>
      <c r="L76" s="357">
        <v>298.337903575832</v>
      </c>
      <c r="M76" s="357">
        <v>298.337903575832</v>
      </c>
      <c r="N76" s="357">
        <v>298.337903575832</v>
      </c>
      <c r="O76" s="357">
        <v>298.337903575832</v>
      </c>
      <c r="P76" s="357">
        <v>298.337903575832</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81">
        <f t="shared" si="13"/>
        <v>2983.3790357583207</v>
      </c>
    </row>
    <row r="77" spans="1:35">
      <c r="A77" s="159"/>
      <c r="B77" s="457" t="s">
        <v>26</v>
      </c>
      <c r="C77" s="357">
        <f t="shared" ref="C77:AH77" si="27">+C78+C79</f>
        <v>0</v>
      </c>
      <c r="D77" s="357">
        <f t="shared" si="27"/>
        <v>0</v>
      </c>
      <c r="E77" s="357">
        <f t="shared" si="27"/>
        <v>0</v>
      </c>
      <c r="F77" s="357">
        <f t="shared" si="27"/>
        <v>0</v>
      </c>
      <c r="G77" s="357">
        <f t="shared" si="27"/>
        <v>9.0457893772212508</v>
      </c>
      <c r="H77" s="357">
        <f t="shared" si="27"/>
        <v>9.0457893772212508</v>
      </c>
      <c r="I77" s="357">
        <f t="shared" si="27"/>
        <v>9.0457893772212508</v>
      </c>
      <c r="J77" s="357">
        <f t="shared" si="27"/>
        <v>9.0457893772212508</v>
      </c>
      <c r="K77" s="357">
        <f t="shared" si="27"/>
        <v>9.0457893772212508</v>
      </c>
      <c r="L77" s="357">
        <f t="shared" si="27"/>
        <v>9.0457893772212508</v>
      </c>
      <c r="M77" s="357">
        <f t="shared" si="27"/>
        <v>9.0457893772212508</v>
      </c>
      <c r="N77" s="357">
        <f t="shared" si="27"/>
        <v>9.0457893772212508</v>
      </c>
      <c r="O77" s="357">
        <f t="shared" si="27"/>
        <v>9.0457893772212508</v>
      </c>
      <c r="P77" s="357">
        <f t="shared" si="27"/>
        <v>9.0457893772212508</v>
      </c>
      <c r="Q77" s="357">
        <f t="shared" si="27"/>
        <v>0</v>
      </c>
      <c r="R77" s="357">
        <f t="shared" si="27"/>
        <v>0</v>
      </c>
      <c r="S77" s="357">
        <f t="shared" si="27"/>
        <v>0</v>
      </c>
      <c r="T77" s="357">
        <f t="shared" si="27"/>
        <v>0</v>
      </c>
      <c r="U77" s="357">
        <f t="shared" si="27"/>
        <v>0</v>
      </c>
      <c r="V77" s="357">
        <f t="shared" si="27"/>
        <v>0</v>
      </c>
      <c r="W77" s="357">
        <f t="shared" si="27"/>
        <v>0</v>
      </c>
      <c r="X77" s="357">
        <f t="shared" si="27"/>
        <v>0</v>
      </c>
      <c r="Y77" s="357">
        <f t="shared" si="27"/>
        <v>0</v>
      </c>
      <c r="Z77" s="357">
        <f t="shared" si="27"/>
        <v>0</v>
      </c>
      <c r="AA77" s="357">
        <f t="shared" si="27"/>
        <v>0</v>
      </c>
      <c r="AB77" s="357">
        <f t="shared" si="27"/>
        <v>0</v>
      </c>
      <c r="AC77" s="357">
        <f t="shared" si="27"/>
        <v>0</v>
      </c>
      <c r="AD77" s="357">
        <f t="shared" si="27"/>
        <v>0</v>
      </c>
      <c r="AE77" s="357">
        <f t="shared" si="27"/>
        <v>0</v>
      </c>
      <c r="AF77" s="357">
        <f t="shared" si="27"/>
        <v>0</v>
      </c>
      <c r="AG77" s="357">
        <f t="shared" si="27"/>
        <v>0</v>
      </c>
      <c r="AH77" s="357">
        <f t="shared" si="27"/>
        <v>0</v>
      </c>
      <c r="AI77" s="81">
        <f t="shared" ref="AI77:AI108" si="28">SUM(C77:AH77)</f>
        <v>90.457893772212529</v>
      </c>
    </row>
    <row r="78" spans="1:35">
      <c r="A78" s="159"/>
      <c r="B78" s="363" t="s">
        <v>240</v>
      </c>
      <c r="C78" s="357">
        <v>0</v>
      </c>
      <c r="D78" s="357">
        <v>0</v>
      </c>
      <c r="E78" s="357">
        <v>0</v>
      </c>
      <c r="F78" s="357">
        <v>0</v>
      </c>
      <c r="G78" s="357">
        <v>6.2412868082128696</v>
      </c>
      <c r="H78" s="357">
        <v>6.2412868082128696</v>
      </c>
      <c r="I78" s="357">
        <v>6.2412868082128696</v>
      </c>
      <c r="J78" s="81">
        <v>6.2412868082128696</v>
      </c>
      <c r="K78" s="357">
        <v>6.2412868082128696</v>
      </c>
      <c r="L78" s="357">
        <v>6.2412868082128696</v>
      </c>
      <c r="M78" s="357">
        <v>6.2412868082128696</v>
      </c>
      <c r="N78" s="357">
        <v>6.2412868082128696</v>
      </c>
      <c r="O78" s="357">
        <v>6.2412868082128696</v>
      </c>
      <c r="P78" s="357">
        <v>6.2412868082128696</v>
      </c>
      <c r="Q78" s="357">
        <v>0</v>
      </c>
      <c r="R78" s="357">
        <v>0</v>
      </c>
      <c r="S78" s="357">
        <v>0</v>
      </c>
      <c r="T78" s="357">
        <v>0</v>
      </c>
      <c r="U78" s="357">
        <v>0</v>
      </c>
      <c r="V78" s="357">
        <v>0</v>
      </c>
      <c r="W78" s="357">
        <v>0</v>
      </c>
      <c r="X78" s="357">
        <v>0</v>
      </c>
      <c r="Y78" s="357">
        <v>0</v>
      </c>
      <c r="Z78" s="357">
        <v>0</v>
      </c>
      <c r="AA78" s="357">
        <v>0</v>
      </c>
      <c r="AB78" s="357">
        <v>0</v>
      </c>
      <c r="AC78" s="357">
        <v>0</v>
      </c>
      <c r="AD78" s="357">
        <v>0</v>
      </c>
      <c r="AE78" s="357">
        <v>0</v>
      </c>
      <c r="AF78" s="357">
        <v>0</v>
      </c>
      <c r="AG78" s="357">
        <v>0</v>
      </c>
      <c r="AH78" s="357">
        <v>0</v>
      </c>
      <c r="AI78" s="81">
        <f t="shared" si="28"/>
        <v>62.412868082128696</v>
      </c>
    </row>
    <row r="79" spans="1:35">
      <c r="A79" s="159"/>
      <c r="B79" s="363" t="s">
        <v>241</v>
      </c>
      <c r="C79" s="357">
        <v>0</v>
      </c>
      <c r="D79" s="357">
        <v>0</v>
      </c>
      <c r="E79" s="357">
        <v>0</v>
      </c>
      <c r="F79" s="357">
        <v>0</v>
      </c>
      <c r="G79" s="357">
        <v>2.8045025690083802</v>
      </c>
      <c r="H79" s="357">
        <v>2.8045025690083802</v>
      </c>
      <c r="I79" s="357">
        <v>2.8045025690083802</v>
      </c>
      <c r="J79" s="85">
        <v>2.8045025690083802</v>
      </c>
      <c r="K79" s="357">
        <v>2.8045025690083802</v>
      </c>
      <c r="L79" s="357">
        <v>2.8045025690083802</v>
      </c>
      <c r="M79" s="357">
        <v>2.8045025690083802</v>
      </c>
      <c r="N79" s="357">
        <v>2.8045025690083802</v>
      </c>
      <c r="O79" s="357">
        <v>2.8045025690083802</v>
      </c>
      <c r="P79" s="357">
        <v>2.8045025690083802</v>
      </c>
      <c r="Q79" s="357">
        <v>0</v>
      </c>
      <c r="R79" s="357">
        <v>0</v>
      </c>
      <c r="S79" s="357">
        <v>0</v>
      </c>
      <c r="T79" s="357">
        <v>0</v>
      </c>
      <c r="U79" s="357">
        <v>0</v>
      </c>
      <c r="V79" s="357">
        <v>0</v>
      </c>
      <c r="W79" s="357">
        <v>0</v>
      </c>
      <c r="X79" s="357">
        <v>0</v>
      </c>
      <c r="Y79" s="357">
        <v>0</v>
      </c>
      <c r="Z79" s="357">
        <v>0</v>
      </c>
      <c r="AA79" s="357">
        <v>0</v>
      </c>
      <c r="AB79" s="357">
        <v>0</v>
      </c>
      <c r="AC79" s="357">
        <v>0</v>
      </c>
      <c r="AD79" s="357">
        <v>0</v>
      </c>
      <c r="AE79" s="357">
        <v>0</v>
      </c>
      <c r="AF79" s="357">
        <v>0</v>
      </c>
      <c r="AG79" s="357">
        <v>0</v>
      </c>
      <c r="AH79" s="357">
        <v>0</v>
      </c>
      <c r="AI79" s="85">
        <f t="shared" si="28"/>
        <v>28.045025690083808</v>
      </c>
    </row>
    <row r="80" spans="1:35">
      <c r="A80" s="159"/>
      <c r="B80" s="364" t="s">
        <v>27</v>
      </c>
      <c r="C80" s="340">
        <v>0</v>
      </c>
      <c r="D80" s="340">
        <v>0</v>
      </c>
      <c r="E80" s="340">
        <v>0</v>
      </c>
      <c r="F80" s="340">
        <v>0</v>
      </c>
      <c r="G80" s="340">
        <v>0</v>
      </c>
      <c r="H80" s="340">
        <v>0</v>
      </c>
      <c r="I80" s="340">
        <v>0</v>
      </c>
      <c r="J80" s="80">
        <v>0</v>
      </c>
      <c r="K80" s="340">
        <v>0</v>
      </c>
      <c r="L80" s="340">
        <v>0</v>
      </c>
      <c r="M80" s="340">
        <v>0</v>
      </c>
      <c r="N80" s="340">
        <v>0</v>
      </c>
      <c r="O80" s="340">
        <v>0</v>
      </c>
      <c r="P80" s="340">
        <v>0</v>
      </c>
      <c r="Q80" s="340">
        <v>0</v>
      </c>
      <c r="R80" s="340">
        <v>0</v>
      </c>
      <c r="S80" s="340">
        <v>697.41921520226003</v>
      </c>
      <c r="T80" s="340">
        <v>697.41921520226003</v>
      </c>
      <c r="U80" s="340">
        <v>697.41921520226003</v>
      </c>
      <c r="V80" s="340">
        <v>697.41921520226003</v>
      </c>
      <c r="W80" s="340">
        <v>697.41921520226003</v>
      </c>
      <c r="X80" s="340">
        <v>697.41921520226003</v>
      </c>
      <c r="Y80" s="340">
        <v>697.41921520226003</v>
      </c>
      <c r="Z80" s="340">
        <v>697.41921520226003</v>
      </c>
      <c r="AA80" s="340">
        <v>697.41921520226003</v>
      </c>
      <c r="AB80" s="340">
        <v>697.41921520226003</v>
      </c>
      <c r="AC80" s="340">
        <v>0</v>
      </c>
      <c r="AD80" s="340">
        <v>0</v>
      </c>
      <c r="AE80" s="340">
        <v>0</v>
      </c>
      <c r="AF80" s="340">
        <v>0</v>
      </c>
      <c r="AG80" s="340">
        <v>0</v>
      </c>
      <c r="AH80" s="340">
        <v>0</v>
      </c>
      <c r="AI80" s="80">
        <f t="shared" si="28"/>
        <v>6974.1921520225987</v>
      </c>
    </row>
    <row r="81" spans="1:35">
      <c r="A81" s="159"/>
      <c r="B81" s="364" t="s">
        <v>621</v>
      </c>
      <c r="C81" s="340">
        <v>0</v>
      </c>
      <c r="D81" s="340">
        <v>0</v>
      </c>
      <c r="E81" s="340">
        <v>0</v>
      </c>
      <c r="F81" s="340">
        <v>1750</v>
      </c>
      <c r="G81" s="340">
        <v>0</v>
      </c>
      <c r="H81" s="340">
        <v>0</v>
      </c>
      <c r="I81" s="340">
        <v>0</v>
      </c>
      <c r="J81" s="80">
        <v>0</v>
      </c>
      <c r="K81" s="340">
        <v>0</v>
      </c>
      <c r="L81" s="340">
        <v>0</v>
      </c>
      <c r="M81" s="340">
        <v>0</v>
      </c>
      <c r="N81" s="340">
        <v>0</v>
      </c>
      <c r="O81" s="340">
        <v>0</v>
      </c>
      <c r="P81" s="340">
        <v>0</v>
      </c>
      <c r="Q81" s="340">
        <v>0</v>
      </c>
      <c r="R81" s="340">
        <v>0</v>
      </c>
      <c r="S81" s="340">
        <v>0</v>
      </c>
      <c r="T81" s="340">
        <v>0</v>
      </c>
      <c r="U81" s="340">
        <v>0</v>
      </c>
      <c r="V81" s="340">
        <v>0</v>
      </c>
      <c r="W81" s="340">
        <v>0</v>
      </c>
      <c r="X81" s="340">
        <v>0</v>
      </c>
      <c r="Y81" s="340">
        <v>0</v>
      </c>
      <c r="Z81" s="340">
        <v>0</v>
      </c>
      <c r="AA81" s="340">
        <v>0</v>
      </c>
      <c r="AB81" s="340">
        <v>0</v>
      </c>
      <c r="AC81" s="340">
        <v>0</v>
      </c>
      <c r="AD81" s="340">
        <v>0</v>
      </c>
      <c r="AE81" s="340">
        <v>0</v>
      </c>
      <c r="AF81" s="340">
        <v>0</v>
      </c>
      <c r="AG81" s="340">
        <v>0</v>
      </c>
      <c r="AH81" s="340">
        <v>0</v>
      </c>
      <c r="AI81" s="80">
        <f t="shared" si="28"/>
        <v>1750</v>
      </c>
    </row>
    <row r="82" spans="1:35">
      <c r="A82" s="159"/>
      <c r="B82" s="339" t="s">
        <v>517</v>
      </c>
      <c r="C82" s="365">
        <v>0</v>
      </c>
      <c r="D82" s="365">
        <v>0</v>
      </c>
      <c r="E82" s="365">
        <v>3250</v>
      </c>
      <c r="F82" s="365">
        <v>0</v>
      </c>
      <c r="G82" s="365">
        <v>0</v>
      </c>
      <c r="H82" s="365">
        <v>0</v>
      </c>
      <c r="I82" s="365">
        <v>0</v>
      </c>
      <c r="J82" s="80">
        <v>0</v>
      </c>
      <c r="K82" s="365">
        <v>0</v>
      </c>
      <c r="L82" s="365">
        <v>0</v>
      </c>
      <c r="M82" s="365">
        <v>0</v>
      </c>
      <c r="N82" s="365">
        <v>0</v>
      </c>
      <c r="O82" s="365">
        <v>0</v>
      </c>
      <c r="P82" s="365">
        <v>0</v>
      </c>
      <c r="Q82" s="365">
        <v>0</v>
      </c>
      <c r="R82" s="365">
        <v>0</v>
      </c>
      <c r="S82" s="365">
        <v>0</v>
      </c>
      <c r="T82" s="365">
        <v>0</v>
      </c>
      <c r="U82" s="365">
        <v>0</v>
      </c>
      <c r="V82" s="365">
        <v>0</v>
      </c>
      <c r="W82" s="365">
        <v>0</v>
      </c>
      <c r="X82" s="365">
        <v>0</v>
      </c>
      <c r="Y82" s="365">
        <v>0</v>
      </c>
      <c r="Z82" s="365">
        <v>0</v>
      </c>
      <c r="AA82" s="365">
        <v>0</v>
      </c>
      <c r="AB82" s="365">
        <v>0</v>
      </c>
      <c r="AC82" s="365">
        <v>0</v>
      </c>
      <c r="AD82" s="365">
        <v>0</v>
      </c>
      <c r="AE82" s="365">
        <v>0</v>
      </c>
      <c r="AF82" s="365">
        <v>0</v>
      </c>
      <c r="AG82" s="365">
        <v>0</v>
      </c>
      <c r="AH82" s="365">
        <v>0</v>
      </c>
      <c r="AI82" s="80">
        <f t="shared" si="28"/>
        <v>3250</v>
      </c>
    </row>
    <row r="83" spans="1:35">
      <c r="A83" s="159"/>
      <c r="B83" s="339" t="s">
        <v>622</v>
      </c>
      <c r="C83" s="365">
        <v>0</v>
      </c>
      <c r="D83" s="365">
        <v>0</v>
      </c>
      <c r="E83" s="365">
        <v>0</v>
      </c>
      <c r="F83" s="365">
        <v>0</v>
      </c>
      <c r="G83" s="365">
        <v>0</v>
      </c>
      <c r="H83" s="365">
        <v>0</v>
      </c>
      <c r="I83" s="365">
        <v>0</v>
      </c>
      <c r="J83" s="80">
        <v>0</v>
      </c>
      <c r="K83" s="365">
        <v>4250</v>
      </c>
      <c r="L83" s="365">
        <v>0</v>
      </c>
      <c r="M83" s="365">
        <v>0</v>
      </c>
      <c r="N83" s="365">
        <v>0</v>
      </c>
      <c r="O83" s="365">
        <v>0</v>
      </c>
      <c r="P83" s="365">
        <v>0</v>
      </c>
      <c r="Q83" s="365">
        <v>0</v>
      </c>
      <c r="R83" s="365">
        <v>0</v>
      </c>
      <c r="S83" s="365">
        <v>0</v>
      </c>
      <c r="T83" s="365">
        <v>0</v>
      </c>
      <c r="U83" s="365">
        <v>0</v>
      </c>
      <c r="V83" s="365">
        <v>0</v>
      </c>
      <c r="W83" s="365">
        <v>0</v>
      </c>
      <c r="X83" s="365">
        <v>0</v>
      </c>
      <c r="Y83" s="365">
        <v>0</v>
      </c>
      <c r="Z83" s="365">
        <v>0</v>
      </c>
      <c r="AA83" s="365">
        <v>0</v>
      </c>
      <c r="AB83" s="365">
        <v>0</v>
      </c>
      <c r="AC83" s="365">
        <v>0</v>
      </c>
      <c r="AD83" s="365">
        <v>0</v>
      </c>
      <c r="AE83" s="365">
        <v>0</v>
      </c>
      <c r="AF83" s="365">
        <v>0</v>
      </c>
      <c r="AG83" s="365">
        <v>0</v>
      </c>
      <c r="AH83" s="365">
        <v>0</v>
      </c>
      <c r="AI83" s="80">
        <f t="shared" si="28"/>
        <v>4250</v>
      </c>
    </row>
    <row r="84" spans="1:35">
      <c r="A84" s="159"/>
      <c r="B84" s="339" t="s">
        <v>858</v>
      </c>
      <c r="C84" s="365">
        <v>0</v>
      </c>
      <c r="D84" s="365">
        <v>0</v>
      </c>
      <c r="E84" s="365">
        <v>0</v>
      </c>
      <c r="F84" s="365">
        <v>0</v>
      </c>
      <c r="G84" s="365">
        <v>0</v>
      </c>
      <c r="H84" s="365">
        <v>0</v>
      </c>
      <c r="I84" s="365">
        <v>0</v>
      </c>
      <c r="J84" s="80">
        <v>0</v>
      </c>
      <c r="K84" s="365">
        <v>0</v>
      </c>
      <c r="L84" s="365">
        <v>0</v>
      </c>
      <c r="M84" s="365">
        <v>0</v>
      </c>
      <c r="N84" s="365">
        <v>0</v>
      </c>
      <c r="O84" s="365">
        <v>0</v>
      </c>
      <c r="P84" s="365">
        <v>0</v>
      </c>
      <c r="Q84" s="365">
        <v>0</v>
      </c>
      <c r="R84" s="365">
        <v>0</v>
      </c>
      <c r="S84" s="365">
        <v>0</v>
      </c>
      <c r="T84" s="365">
        <v>0</v>
      </c>
      <c r="U84" s="365">
        <v>0</v>
      </c>
      <c r="V84" s="365">
        <v>0</v>
      </c>
      <c r="W84" s="365">
        <v>0</v>
      </c>
      <c r="X84" s="365">
        <v>0</v>
      </c>
      <c r="Y84" s="365">
        <v>0</v>
      </c>
      <c r="Z84" s="365">
        <v>0</v>
      </c>
      <c r="AA84" s="365">
        <v>0</v>
      </c>
      <c r="AB84" s="365">
        <v>0</v>
      </c>
      <c r="AC84" s="365">
        <v>0</v>
      </c>
      <c r="AD84" s="365">
        <v>0</v>
      </c>
      <c r="AE84" s="365">
        <v>0</v>
      </c>
      <c r="AF84" s="365">
        <v>0</v>
      </c>
      <c r="AG84" s="365">
        <v>0</v>
      </c>
      <c r="AH84" s="365">
        <v>0</v>
      </c>
      <c r="AI84" s="80">
        <f t="shared" si="28"/>
        <v>0</v>
      </c>
    </row>
    <row r="85" spans="1:35">
      <c r="A85" s="159"/>
      <c r="B85" s="339" t="s">
        <v>426</v>
      </c>
      <c r="C85" s="365">
        <v>0</v>
      </c>
      <c r="D85" s="365">
        <v>0</v>
      </c>
      <c r="E85" s="365">
        <v>0</v>
      </c>
      <c r="F85" s="365">
        <v>0</v>
      </c>
      <c r="G85" s="365">
        <v>0</v>
      </c>
      <c r="H85" s="365">
        <v>0</v>
      </c>
      <c r="I85" s="365">
        <v>0</v>
      </c>
      <c r="J85" s="80">
        <v>0</v>
      </c>
      <c r="K85" s="365">
        <v>1000</v>
      </c>
      <c r="L85" s="365">
        <v>0</v>
      </c>
      <c r="M85" s="365">
        <v>0</v>
      </c>
      <c r="N85" s="365">
        <v>0</v>
      </c>
      <c r="O85" s="365">
        <v>0</v>
      </c>
      <c r="P85" s="365">
        <v>0</v>
      </c>
      <c r="Q85" s="365">
        <v>0</v>
      </c>
      <c r="R85" s="365">
        <v>0</v>
      </c>
      <c r="S85" s="365">
        <v>0</v>
      </c>
      <c r="T85" s="365">
        <v>0</v>
      </c>
      <c r="U85" s="365">
        <v>0</v>
      </c>
      <c r="V85" s="365">
        <v>0</v>
      </c>
      <c r="W85" s="365">
        <v>0</v>
      </c>
      <c r="X85" s="365">
        <v>0</v>
      </c>
      <c r="Y85" s="365">
        <v>0</v>
      </c>
      <c r="Z85" s="365">
        <v>0</v>
      </c>
      <c r="AA85" s="365">
        <v>0</v>
      </c>
      <c r="AB85" s="365">
        <v>0</v>
      </c>
      <c r="AC85" s="365">
        <v>0</v>
      </c>
      <c r="AD85" s="365">
        <v>0</v>
      </c>
      <c r="AE85" s="365">
        <v>0</v>
      </c>
      <c r="AF85" s="365">
        <v>0</v>
      </c>
      <c r="AG85" s="365">
        <v>0</v>
      </c>
      <c r="AH85" s="365">
        <v>0</v>
      </c>
      <c r="AI85" s="80">
        <f t="shared" si="28"/>
        <v>1000</v>
      </c>
    </row>
    <row r="86" spans="1:35">
      <c r="A86" s="159"/>
      <c r="B86" s="339" t="s">
        <v>623</v>
      </c>
      <c r="C86" s="365">
        <v>0</v>
      </c>
      <c r="D86" s="365">
        <v>0</v>
      </c>
      <c r="E86" s="365">
        <v>0</v>
      </c>
      <c r="F86" s="365">
        <v>0</v>
      </c>
      <c r="G86" s="365">
        <v>0</v>
      </c>
      <c r="H86" s="365">
        <v>0</v>
      </c>
      <c r="I86" s="365">
        <v>0</v>
      </c>
      <c r="J86" s="80">
        <v>0</v>
      </c>
      <c r="K86" s="365">
        <v>0</v>
      </c>
      <c r="L86" s="365">
        <v>0</v>
      </c>
      <c r="M86" s="365">
        <v>0</v>
      </c>
      <c r="N86" s="365">
        <v>0</v>
      </c>
      <c r="O86" s="365">
        <v>0</v>
      </c>
      <c r="P86" s="365">
        <v>0</v>
      </c>
      <c r="Q86" s="365">
        <v>0</v>
      </c>
      <c r="R86" s="365">
        <v>0</v>
      </c>
      <c r="S86" s="365">
        <v>0</v>
      </c>
      <c r="T86" s="365">
        <v>0</v>
      </c>
      <c r="U86" s="365">
        <v>0</v>
      </c>
      <c r="V86" s="365">
        <v>0</v>
      </c>
      <c r="W86" s="365">
        <v>0</v>
      </c>
      <c r="X86" s="365">
        <v>0</v>
      </c>
      <c r="Y86" s="365">
        <v>0</v>
      </c>
      <c r="Z86" s="365">
        <v>0</v>
      </c>
      <c r="AA86" s="365">
        <v>0</v>
      </c>
      <c r="AB86" s="365">
        <v>0</v>
      </c>
      <c r="AC86" s="365">
        <v>0</v>
      </c>
      <c r="AD86" s="365">
        <v>0</v>
      </c>
      <c r="AE86" s="365">
        <v>3000</v>
      </c>
      <c r="AF86" s="365">
        <v>0</v>
      </c>
      <c r="AG86" s="365">
        <v>0</v>
      </c>
      <c r="AH86" s="365">
        <v>0</v>
      </c>
      <c r="AI86" s="80">
        <f t="shared" si="28"/>
        <v>3000</v>
      </c>
    </row>
    <row r="87" spans="1:35">
      <c r="A87" s="159"/>
      <c r="B87" s="339" t="s">
        <v>419</v>
      </c>
      <c r="C87" s="365">
        <v>0</v>
      </c>
      <c r="D87" s="365">
        <v>4500</v>
      </c>
      <c r="E87" s="365">
        <v>0</v>
      </c>
      <c r="F87" s="365">
        <v>0</v>
      </c>
      <c r="G87" s="365">
        <v>0</v>
      </c>
      <c r="H87" s="365">
        <v>0</v>
      </c>
      <c r="I87" s="365">
        <v>0</v>
      </c>
      <c r="J87" s="80">
        <v>0</v>
      </c>
      <c r="K87" s="365">
        <v>0</v>
      </c>
      <c r="L87" s="365">
        <v>0</v>
      </c>
      <c r="M87" s="365">
        <v>0</v>
      </c>
      <c r="N87" s="365">
        <v>0</v>
      </c>
      <c r="O87" s="365">
        <v>0</v>
      </c>
      <c r="P87" s="365">
        <v>0</v>
      </c>
      <c r="Q87" s="365">
        <v>0</v>
      </c>
      <c r="R87" s="365">
        <v>0</v>
      </c>
      <c r="S87" s="365">
        <v>0</v>
      </c>
      <c r="T87" s="365">
        <v>0</v>
      </c>
      <c r="U87" s="365">
        <v>0</v>
      </c>
      <c r="V87" s="365">
        <v>0</v>
      </c>
      <c r="W87" s="365">
        <v>0</v>
      </c>
      <c r="X87" s="365">
        <v>0</v>
      </c>
      <c r="Y87" s="365">
        <v>0</v>
      </c>
      <c r="Z87" s="365">
        <v>0</v>
      </c>
      <c r="AA87" s="365">
        <v>0</v>
      </c>
      <c r="AB87" s="365">
        <v>0</v>
      </c>
      <c r="AC87" s="365">
        <v>0</v>
      </c>
      <c r="AD87" s="365">
        <v>0</v>
      </c>
      <c r="AE87" s="365">
        <v>0</v>
      </c>
      <c r="AF87" s="365">
        <v>0</v>
      </c>
      <c r="AG87" s="365">
        <v>0</v>
      </c>
      <c r="AH87" s="365">
        <v>0</v>
      </c>
      <c r="AI87" s="80">
        <f t="shared" si="28"/>
        <v>4500</v>
      </c>
    </row>
    <row r="88" spans="1:35">
      <c r="A88" s="159"/>
      <c r="B88" s="364" t="s">
        <v>518</v>
      </c>
      <c r="C88" s="365">
        <v>0</v>
      </c>
      <c r="D88" s="365">
        <v>0</v>
      </c>
      <c r="E88" s="365">
        <v>0</v>
      </c>
      <c r="F88" s="365">
        <v>0</v>
      </c>
      <c r="G88" s="365">
        <v>0</v>
      </c>
      <c r="H88" s="365">
        <v>0</v>
      </c>
      <c r="I88" s="365">
        <v>0</v>
      </c>
      <c r="J88" s="80">
        <v>3750</v>
      </c>
      <c r="K88" s="365">
        <v>0</v>
      </c>
      <c r="L88" s="365">
        <v>0</v>
      </c>
      <c r="M88" s="365">
        <v>0</v>
      </c>
      <c r="N88" s="365">
        <v>0</v>
      </c>
      <c r="O88" s="365">
        <v>0</v>
      </c>
      <c r="P88" s="365">
        <v>0</v>
      </c>
      <c r="Q88" s="365">
        <v>0</v>
      </c>
      <c r="R88" s="365">
        <v>0</v>
      </c>
      <c r="S88" s="365">
        <v>0</v>
      </c>
      <c r="T88" s="365">
        <v>0</v>
      </c>
      <c r="U88" s="365">
        <v>0</v>
      </c>
      <c r="V88" s="365">
        <v>0</v>
      </c>
      <c r="W88" s="365">
        <v>0</v>
      </c>
      <c r="X88" s="365">
        <v>0</v>
      </c>
      <c r="Y88" s="365">
        <v>0</v>
      </c>
      <c r="Z88" s="365">
        <v>0</v>
      </c>
      <c r="AA88" s="365">
        <v>0</v>
      </c>
      <c r="AB88" s="365">
        <v>0</v>
      </c>
      <c r="AC88" s="365">
        <v>0</v>
      </c>
      <c r="AD88" s="365">
        <v>0</v>
      </c>
      <c r="AE88" s="365">
        <v>0</v>
      </c>
      <c r="AF88" s="365">
        <v>0</v>
      </c>
      <c r="AG88" s="365">
        <v>0</v>
      </c>
      <c r="AH88" s="365">
        <v>0</v>
      </c>
      <c r="AI88" s="80">
        <f t="shared" si="28"/>
        <v>3750</v>
      </c>
    </row>
    <row r="89" spans="1:35">
      <c r="A89" s="159"/>
      <c r="B89" s="364" t="s">
        <v>427</v>
      </c>
      <c r="C89" s="365">
        <v>0</v>
      </c>
      <c r="D89" s="365">
        <v>0</v>
      </c>
      <c r="E89" s="365">
        <v>0</v>
      </c>
      <c r="F89" s="365">
        <v>0</v>
      </c>
      <c r="G89" s="365">
        <v>0</v>
      </c>
      <c r="H89" s="365">
        <v>0</v>
      </c>
      <c r="I89" s="365">
        <v>0</v>
      </c>
      <c r="J89" s="80">
        <v>0</v>
      </c>
      <c r="K89" s="365">
        <v>0</v>
      </c>
      <c r="L89" s="365">
        <v>0</v>
      </c>
      <c r="M89" s="365">
        <v>0</v>
      </c>
      <c r="N89" s="365">
        <v>0</v>
      </c>
      <c r="O89" s="365">
        <v>0</v>
      </c>
      <c r="P89" s="365">
        <v>0</v>
      </c>
      <c r="Q89" s="365">
        <v>0</v>
      </c>
      <c r="R89" s="365">
        <v>0</v>
      </c>
      <c r="S89" s="365">
        <v>1750</v>
      </c>
      <c r="T89" s="365">
        <v>0</v>
      </c>
      <c r="U89" s="365">
        <v>0</v>
      </c>
      <c r="V89" s="365">
        <v>0</v>
      </c>
      <c r="W89" s="365">
        <v>0</v>
      </c>
      <c r="X89" s="365">
        <v>0</v>
      </c>
      <c r="Y89" s="365">
        <v>0</v>
      </c>
      <c r="Z89" s="365">
        <v>0</v>
      </c>
      <c r="AA89" s="365">
        <v>0</v>
      </c>
      <c r="AB89" s="365">
        <v>0</v>
      </c>
      <c r="AC89" s="365">
        <v>0</v>
      </c>
      <c r="AD89" s="365">
        <v>0</v>
      </c>
      <c r="AE89" s="365">
        <v>0</v>
      </c>
      <c r="AF89" s="365">
        <v>0</v>
      </c>
      <c r="AG89" s="365">
        <v>0</v>
      </c>
      <c r="AH89" s="365">
        <v>0</v>
      </c>
      <c r="AI89" s="80">
        <f t="shared" si="28"/>
        <v>1750</v>
      </c>
    </row>
    <row r="90" spans="1:35">
      <c r="A90" s="159"/>
      <c r="B90" s="339" t="s">
        <v>538</v>
      </c>
      <c r="C90" s="365">
        <v>0</v>
      </c>
      <c r="D90" s="365">
        <v>0</v>
      </c>
      <c r="E90" s="365">
        <v>0</v>
      </c>
      <c r="F90" s="365">
        <v>0</v>
      </c>
      <c r="G90" s="365">
        <v>0</v>
      </c>
      <c r="H90" s="365">
        <v>0</v>
      </c>
      <c r="I90" s="365">
        <v>0</v>
      </c>
      <c r="J90" s="80">
        <v>0</v>
      </c>
      <c r="K90" s="365">
        <v>0</v>
      </c>
      <c r="L90" s="365">
        <v>0</v>
      </c>
      <c r="M90" s="365">
        <v>0</v>
      </c>
      <c r="N90" s="365">
        <v>0</v>
      </c>
      <c r="O90" s="365">
        <v>0</v>
      </c>
      <c r="P90" s="365">
        <v>0</v>
      </c>
      <c r="Q90" s="365">
        <v>0</v>
      </c>
      <c r="R90" s="365">
        <v>0</v>
      </c>
      <c r="S90" s="365">
        <v>0</v>
      </c>
      <c r="T90" s="365">
        <v>0</v>
      </c>
      <c r="U90" s="365">
        <v>0</v>
      </c>
      <c r="V90" s="365">
        <v>0</v>
      </c>
      <c r="W90" s="365">
        <v>0</v>
      </c>
      <c r="X90" s="365">
        <v>0</v>
      </c>
      <c r="Y90" s="365">
        <v>0</v>
      </c>
      <c r="Z90" s="365">
        <v>0</v>
      </c>
      <c r="AA90" s="365">
        <v>0</v>
      </c>
      <c r="AB90" s="365">
        <v>0</v>
      </c>
      <c r="AC90" s="365">
        <v>0</v>
      </c>
      <c r="AD90" s="365">
        <v>0</v>
      </c>
      <c r="AE90" s="365">
        <v>0</v>
      </c>
      <c r="AF90" s="365">
        <v>0</v>
      </c>
      <c r="AG90" s="365">
        <v>0</v>
      </c>
      <c r="AH90" s="365">
        <v>2750</v>
      </c>
      <c r="AI90" s="80">
        <f t="shared" si="28"/>
        <v>2750</v>
      </c>
    </row>
    <row r="91" spans="1:35">
      <c r="A91" s="159"/>
      <c r="B91" s="364" t="s">
        <v>420</v>
      </c>
      <c r="C91" s="365">
        <v>0</v>
      </c>
      <c r="D91" s="365">
        <v>0</v>
      </c>
      <c r="E91" s="365">
        <v>0</v>
      </c>
      <c r="F91" s="365">
        <v>0</v>
      </c>
      <c r="G91" s="365">
        <v>0</v>
      </c>
      <c r="H91" s="365">
        <v>0</v>
      </c>
      <c r="I91" s="365">
        <v>6500</v>
      </c>
      <c r="J91" s="80">
        <v>0</v>
      </c>
      <c r="K91" s="365">
        <v>0</v>
      </c>
      <c r="L91" s="365">
        <v>0</v>
      </c>
      <c r="M91" s="365">
        <v>0</v>
      </c>
      <c r="N91" s="365">
        <v>0</v>
      </c>
      <c r="O91" s="365">
        <v>0</v>
      </c>
      <c r="P91" s="365">
        <v>0</v>
      </c>
      <c r="Q91" s="365">
        <v>0</v>
      </c>
      <c r="R91" s="365">
        <v>0</v>
      </c>
      <c r="S91" s="365">
        <v>0</v>
      </c>
      <c r="T91" s="365">
        <v>0</v>
      </c>
      <c r="U91" s="365">
        <v>0</v>
      </c>
      <c r="V91" s="365">
        <v>0</v>
      </c>
      <c r="W91" s="365">
        <v>0</v>
      </c>
      <c r="X91" s="365">
        <v>0</v>
      </c>
      <c r="Y91" s="365">
        <v>0</v>
      </c>
      <c r="Z91" s="365">
        <v>0</v>
      </c>
      <c r="AA91" s="365">
        <v>0</v>
      </c>
      <c r="AB91" s="365">
        <v>0</v>
      </c>
      <c r="AC91" s="365">
        <v>0</v>
      </c>
      <c r="AD91" s="365">
        <v>0</v>
      </c>
      <c r="AE91" s="365">
        <v>0</v>
      </c>
      <c r="AF91" s="365">
        <v>0</v>
      </c>
      <c r="AG91" s="365">
        <v>0</v>
      </c>
      <c r="AH91" s="365">
        <v>0</v>
      </c>
      <c r="AI91" s="80">
        <f t="shared" si="28"/>
        <v>6500</v>
      </c>
    </row>
    <row r="92" spans="1:35">
      <c r="A92" s="159"/>
      <c r="B92" s="364" t="s">
        <v>421</v>
      </c>
      <c r="C92" s="365">
        <v>0</v>
      </c>
      <c r="D92" s="365">
        <v>0</v>
      </c>
      <c r="E92" s="365">
        <v>0</v>
      </c>
      <c r="F92" s="365">
        <v>0</v>
      </c>
      <c r="G92" s="365">
        <v>0</v>
      </c>
      <c r="H92" s="365">
        <v>0</v>
      </c>
      <c r="I92" s="365">
        <v>0</v>
      </c>
      <c r="J92" s="80">
        <v>0</v>
      </c>
      <c r="K92" s="365">
        <v>0</v>
      </c>
      <c r="L92" s="365">
        <v>0</v>
      </c>
      <c r="M92" s="365">
        <v>0</v>
      </c>
      <c r="N92" s="365">
        <v>0</v>
      </c>
      <c r="O92" s="365">
        <v>0</v>
      </c>
      <c r="P92" s="365">
        <v>0</v>
      </c>
      <c r="Q92" s="365">
        <v>0</v>
      </c>
      <c r="R92" s="365">
        <v>0</v>
      </c>
      <c r="S92" s="365">
        <v>0</v>
      </c>
      <c r="T92" s="365">
        <v>0</v>
      </c>
      <c r="U92" s="365">
        <v>0</v>
      </c>
      <c r="V92" s="365">
        <v>0</v>
      </c>
      <c r="W92" s="365">
        <v>0</v>
      </c>
      <c r="X92" s="365">
        <v>0</v>
      </c>
      <c r="Y92" s="365">
        <v>0</v>
      </c>
      <c r="Z92" s="365">
        <v>0</v>
      </c>
      <c r="AA92" s="365">
        <v>0</v>
      </c>
      <c r="AB92" s="365">
        <v>0</v>
      </c>
      <c r="AC92" s="365">
        <v>2750</v>
      </c>
      <c r="AD92" s="365">
        <v>0</v>
      </c>
      <c r="AE92" s="365">
        <v>0</v>
      </c>
      <c r="AF92" s="365">
        <v>0</v>
      </c>
      <c r="AG92" s="365">
        <v>0</v>
      </c>
      <c r="AH92" s="365">
        <v>0</v>
      </c>
      <c r="AI92" s="80">
        <f t="shared" si="28"/>
        <v>2750</v>
      </c>
    </row>
    <row r="93" spans="1:35">
      <c r="A93" s="159"/>
      <c r="B93" s="339" t="s">
        <v>573</v>
      </c>
      <c r="C93" s="366">
        <v>0</v>
      </c>
      <c r="D93" s="366">
        <v>0</v>
      </c>
      <c r="E93" s="366">
        <v>0</v>
      </c>
      <c r="F93" s="366">
        <v>1120.9505660800401</v>
      </c>
      <c r="G93" s="366">
        <v>0</v>
      </c>
      <c r="H93" s="366">
        <v>0</v>
      </c>
      <c r="I93" s="366">
        <v>0</v>
      </c>
      <c r="J93" s="80">
        <v>0</v>
      </c>
      <c r="K93" s="366">
        <v>0</v>
      </c>
      <c r="L93" s="366">
        <v>0</v>
      </c>
      <c r="M93" s="366">
        <v>0</v>
      </c>
      <c r="N93" s="366">
        <v>0</v>
      </c>
      <c r="O93" s="366">
        <v>0</v>
      </c>
      <c r="P93" s="366">
        <v>0</v>
      </c>
      <c r="Q93" s="366">
        <v>0</v>
      </c>
      <c r="R93" s="366">
        <v>0</v>
      </c>
      <c r="S93" s="366">
        <v>0</v>
      </c>
      <c r="T93" s="366">
        <v>0</v>
      </c>
      <c r="U93" s="366">
        <v>0</v>
      </c>
      <c r="V93" s="366">
        <v>0</v>
      </c>
      <c r="W93" s="366">
        <v>0</v>
      </c>
      <c r="X93" s="366">
        <v>0</v>
      </c>
      <c r="Y93" s="366">
        <v>0</v>
      </c>
      <c r="Z93" s="366">
        <v>0</v>
      </c>
      <c r="AA93" s="366">
        <v>0</v>
      </c>
      <c r="AB93" s="366">
        <v>0</v>
      </c>
      <c r="AC93" s="366">
        <v>0</v>
      </c>
      <c r="AD93" s="366">
        <v>0</v>
      </c>
      <c r="AE93" s="366">
        <v>0</v>
      </c>
      <c r="AF93" s="366">
        <v>0</v>
      </c>
      <c r="AG93" s="366">
        <v>0</v>
      </c>
      <c r="AH93" s="366">
        <v>0</v>
      </c>
      <c r="AI93" s="80">
        <f t="shared" si="28"/>
        <v>1120.9505660800401</v>
      </c>
    </row>
    <row r="94" spans="1:35">
      <c r="A94" s="159"/>
      <c r="B94" s="339" t="s">
        <v>511</v>
      </c>
      <c r="C94" s="366">
        <v>0</v>
      </c>
      <c r="D94" s="366">
        <v>0</v>
      </c>
      <c r="E94" s="366">
        <v>1401.18820760004</v>
      </c>
      <c r="F94" s="366">
        <v>0</v>
      </c>
      <c r="G94" s="366">
        <v>0</v>
      </c>
      <c r="H94" s="366">
        <v>0</v>
      </c>
      <c r="I94" s="366">
        <v>0</v>
      </c>
      <c r="J94" s="80">
        <v>0</v>
      </c>
      <c r="K94" s="366">
        <v>0</v>
      </c>
      <c r="L94" s="366">
        <v>0</v>
      </c>
      <c r="M94" s="366">
        <v>0</v>
      </c>
      <c r="N94" s="366">
        <v>0</v>
      </c>
      <c r="O94" s="366">
        <v>0</v>
      </c>
      <c r="P94" s="366">
        <v>0</v>
      </c>
      <c r="Q94" s="366">
        <v>0</v>
      </c>
      <c r="R94" s="366">
        <v>0</v>
      </c>
      <c r="S94" s="366">
        <v>0</v>
      </c>
      <c r="T94" s="366">
        <v>0</v>
      </c>
      <c r="U94" s="366">
        <v>0</v>
      </c>
      <c r="V94" s="366">
        <v>0</v>
      </c>
      <c r="W94" s="366">
        <v>0</v>
      </c>
      <c r="X94" s="366">
        <v>0</v>
      </c>
      <c r="Y94" s="366">
        <v>0</v>
      </c>
      <c r="Z94" s="366">
        <v>0</v>
      </c>
      <c r="AA94" s="366">
        <v>0</v>
      </c>
      <c r="AB94" s="366">
        <v>0</v>
      </c>
      <c r="AC94" s="366">
        <v>0</v>
      </c>
      <c r="AD94" s="366">
        <v>0</v>
      </c>
      <c r="AE94" s="366">
        <v>0</v>
      </c>
      <c r="AF94" s="366">
        <v>0</v>
      </c>
      <c r="AG94" s="366">
        <v>0</v>
      </c>
      <c r="AH94" s="366">
        <v>0</v>
      </c>
      <c r="AI94" s="80">
        <f t="shared" si="28"/>
        <v>1401.18820760004</v>
      </c>
    </row>
    <row r="95" spans="1:35">
      <c r="A95" s="159"/>
      <c r="B95" s="364" t="s">
        <v>512</v>
      </c>
      <c r="C95" s="365">
        <v>0</v>
      </c>
      <c r="D95" s="365">
        <v>0</v>
      </c>
      <c r="E95" s="365">
        <v>0</v>
      </c>
      <c r="F95" s="365">
        <v>0</v>
      </c>
      <c r="G95" s="365">
        <v>0</v>
      </c>
      <c r="H95" s="365">
        <v>0</v>
      </c>
      <c r="I95" s="365">
        <v>0</v>
      </c>
      <c r="J95" s="80">
        <v>1401.18820760004</v>
      </c>
      <c r="K95" s="365">
        <v>0</v>
      </c>
      <c r="L95" s="365">
        <v>0</v>
      </c>
      <c r="M95" s="365">
        <v>0</v>
      </c>
      <c r="N95" s="365">
        <v>0</v>
      </c>
      <c r="O95" s="365">
        <v>0</v>
      </c>
      <c r="P95" s="365">
        <v>0</v>
      </c>
      <c r="Q95" s="365">
        <v>0</v>
      </c>
      <c r="R95" s="365">
        <v>0</v>
      </c>
      <c r="S95" s="365">
        <v>0</v>
      </c>
      <c r="T95" s="365">
        <v>0</v>
      </c>
      <c r="U95" s="365">
        <v>0</v>
      </c>
      <c r="V95" s="365">
        <v>0</v>
      </c>
      <c r="W95" s="365">
        <v>0</v>
      </c>
      <c r="X95" s="365">
        <v>0</v>
      </c>
      <c r="Y95" s="365">
        <v>0</v>
      </c>
      <c r="Z95" s="365">
        <v>0</v>
      </c>
      <c r="AA95" s="365">
        <v>0</v>
      </c>
      <c r="AB95" s="365">
        <v>0</v>
      </c>
      <c r="AC95" s="365">
        <v>0</v>
      </c>
      <c r="AD95" s="365">
        <v>0</v>
      </c>
      <c r="AE95" s="365">
        <v>0</v>
      </c>
      <c r="AF95" s="365">
        <v>0</v>
      </c>
      <c r="AG95" s="365">
        <v>0</v>
      </c>
      <c r="AH95" s="365">
        <v>0</v>
      </c>
      <c r="AI95" s="80">
        <f t="shared" si="28"/>
        <v>1401.18820760004</v>
      </c>
    </row>
    <row r="96" spans="1:35">
      <c r="A96" s="159"/>
      <c r="B96" s="364" t="s">
        <v>574</v>
      </c>
      <c r="C96" s="365">
        <v>0</v>
      </c>
      <c r="D96" s="365">
        <v>0</v>
      </c>
      <c r="E96" s="365">
        <v>0</v>
      </c>
      <c r="F96" s="365">
        <v>0</v>
      </c>
      <c r="G96" s="365">
        <v>0</v>
      </c>
      <c r="H96" s="365">
        <v>0</v>
      </c>
      <c r="I96" s="365">
        <v>0</v>
      </c>
      <c r="J96" s="80">
        <v>0</v>
      </c>
      <c r="K96" s="365">
        <v>1120.9505660800401</v>
      </c>
      <c r="L96" s="365">
        <v>0</v>
      </c>
      <c r="M96" s="365">
        <v>0</v>
      </c>
      <c r="N96" s="365">
        <v>0</v>
      </c>
      <c r="O96" s="365">
        <v>0</v>
      </c>
      <c r="P96" s="365">
        <v>0</v>
      </c>
      <c r="Q96" s="365">
        <v>0</v>
      </c>
      <c r="R96" s="365">
        <v>0</v>
      </c>
      <c r="S96" s="365">
        <v>0</v>
      </c>
      <c r="T96" s="365">
        <v>0</v>
      </c>
      <c r="U96" s="365">
        <v>0</v>
      </c>
      <c r="V96" s="365">
        <v>0</v>
      </c>
      <c r="W96" s="365">
        <v>0</v>
      </c>
      <c r="X96" s="365">
        <v>0</v>
      </c>
      <c r="Y96" s="365">
        <v>0</v>
      </c>
      <c r="Z96" s="365">
        <v>0</v>
      </c>
      <c r="AA96" s="365">
        <v>0</v>
      </c>
      <c r="AB96" s="365">
        <v>0</v>
      </c>
      <c r="AC96" s="365">
        <v>0</v>
      </c>
      <c r="AD96" s="365">
        <v>0</v>
      </c>
      <c r="AE96" s="365">
        <v>0</v>
      </c>
      <c r="AF96" s="365">
        <v>0</v>
      </c>
      <c r="AG96" s="365">
        <v>0</v>
      </c>
      <c r="AH96" s="365">
        <v>0</v>
      </c>
      <c r="AI96" s="80">
        <f t="shared" si="28"/>
        <v>1120.9505660800401</v>
      </c>
    </row>
    <row r="97" spans="1:35">
      <c r="A97" s="159"/>
      <c r="B97" s="339" t="s">
        <v>575</v>
      </c>
      <c r="C97" s="95">
        <v>0</v>
      </c>
      <c r="D97" s="95">
        <v>0</v>
      </c>
      <c r="E97" s="95">
        <v>0</v>
      </c>
      <c r="F97" s="95">
        <v>0</v>
      </c>
      <c r="G97" s="95">
        <v>0</v>
      </c>
      <c r="H97" s="95">
        <v>0</v>
      </c>
      <c r="I97" s="95">
        <v>0</v>
      </c>
      <c r="J97" s="80">
        <v>0</v>
      </c>
      <c r="K97" s="95">
        <v>0</v>
      </c>
      <c r="L97" s="95">
        <v>0</v>
      </c>
      <c r="M97" s="95">
        <v>0</v>
      </c>
      <c r="N97" s="95">
        <v>0</v>
      </c>
      <c r="O97" s="95">
        <v>0</v>
      </c>
      <c r="P97" s="95">
        <v>0</v>
      </c>
      <c r="Q97" s="95">
        <v>0</v>
      </c>
      <c r="R97" s="95">
        <v>0</v>
      </c>
      <c r="S97" s="95">
        <v>0</v>
      </c>
      <c r="T97" s="95">
        <v>0</v>
      </c>
      <c r="U97" s="95">
        <v>0</v>
      </c>
      <c r="V97" s="95">
        <v>0</v>
      </c>
      <c r="W97" s="95">
        <v>0</v>
      </c>
      <c r="X97" s="95">
        <v>0</v>
      </c>
      <c r="Y97" s="95">
        <v>0</v>
      </c>
      <c r="Z97" s="95">
        <v>0</v>
      </c>
      <c r="AA97" s="95">
        <v>0</v>
      </c>
      <c r="AB97" s="95">
        <v>0</v>
      </c>
      <c r="AC97" s="95">
        <v>0</v>
      </c>
      <c r="AD97" s="95">
        <v>840.71292456002698</v>
      </c>
      <c r="AE97" s="95">
        <v>0</v>
      </c>
      <c r="AF97" s="95">
        <v>0</v>
      </c>
      <c r="AG97" s="95">
        <v>0</v>
      </c>
      <c r="AH97" s="95">
        <v>0</v>
      </c>
      <c r="AI97" s="80">
        <f t="shared" si="28"/>
        <v>840.71292456002698</v>
      </c>
    </row>
    <row r="98" spans="1:35">
      <c r="A98" s="159"/>
      <c r="B98" s="339" t="s">
        <v>539</v>
      </c>
      <c r="C98" s="95">
        <v>413.308534821244</v>
      </c>
      <c r="D98" s="95">
        <v>0</v>
      </c>
      <c r="E98" s="95">
        <v>0</v>
      </c>
      <c r="F98" s="95">
        <v>0</v>
      </c>
      <c r="G98" s="95">
        <v>0</v>
      </c>
      <c r="H98" s="95">
        <v>0</v>
      </c>
      <c r="I98" s="95">
        <v>0</v>
      </c>
      <c r="J98" s="80">
        <v>0</v>
      </c>
      <c r="K98" s="95">
        <v>0</v>
      </c>
      <c r="L98" s="95">
        <v>0</v>
      </c>
      <c r="M98" s="95">
        <v>0</v>
      </c>
      <c r="N98" s="95">
        <v>0</v>
      </c>
      <c r="O98" s="95">
        <v>0</v>
      </c>
      <c r="P98" s="95">
        <v>0</v>
      </c>
      <c r="Q98" s="95">
        <v>0</v>
      </c>
      <c r="R98" s="95">
        <v>0</v>
      </c>
      <c r="S98" s="95">
        <v>0</v>
      </c>
      <c r="T98" s="95">
        <v>0</v>
      </c>
      <c r="U98" s="95">
        <v>0</v>
      </c>
      <c r="V98" s="95">
        <v>0</v>
      </c>
      <c r="W98" s="95">
        <v>0</v>
      </c>
      <c r="X98" s="95">
        <v>0</v>
      </c>
      <c r="Y98" s="95">
        <v>0</v>
      </c>
      <c r="Z98" s="95">
        <v>0</v>
      </c>
      <c r="AA98" s="95">
        <v>0</v>
      </c>
      <c r="AB98" s="95">
        <v>0</v>
      </c>
      <c r="AC98" s="95">
        <v>0</v>
      </c>
      <c r="AD98" s="95">
        <v>0</v>
      </c>
      <c r="AE98" s="95">
        <v>0</v>
      </c>
      <c r="AF98" s="95">
        <v>0</v>
      </c>
      <c r="AG98" s="95">
        <v>0</v>
      </c>
      <c r="AH98" s="95">
        <v>0</v>
      </c>
      <c r="AI98" s="80">
        <f t="shared" si="28"/>
        <v>413.308534821244</v>
      </c>
    </row>
    <row r="99" spans="1:35">
      <c r="A99" s="159"/>
      <c r="B99" s="364" t="s">
        <v>619</v>
      </c>
      <c r="C99" s="80">
        <v>1096.7152886057302</v>
      </c>
      <c r="D99" s="80">
        <v>0</v>
      </c>
      <c r="E99" s="80">
        <v>0</v>
      </c>
      <c r="F99" s="80">
        <v>0</v>
      </c>
      <c r="G99" s="80">
        <v>0</v>
      </c>
      <c r="H99" s="80">
        <v>0</v>
      </c>
      <c r="I99" s="80">
        <v>0</v>
      </c>
      <c r="J99" s="80">
        <v>0</v>
      </c>
      <c r="K99" s="80">
        <v>0</v>
      </c>
      <c r="L99" s="80">
        <v>0</v>
      </c>
      <c r="M99" s="80">
        <v>0</v>
      </c>
      <c r="N99" s="80">
        <v>0</v>
      </c>
      <c r="O99" s="80">
        <v>0</v>
      </c>
      <c r="P99" s="80">
        <v>0</v>
      </c>
      <c r="Q99" s="80">
        <v>0</v>
      </c>
      <c r="R99" s="80">
        <v>0</v>
      </c>
      <c r="S99" s="80">
        <v>0</v>
      </c>
      <c r="T99" s="80">
        <v>0</v>
      </c>
      <c r="U99" s="80">
        <v>0</v>
      </c>
      <c r="V99" s="80">
        <v>0</v>
      </c>
      <c r="W99" s="80">
        <v>0</v>
      </c>
      <c r="X99" s="80">
        <v>0</v>
      </c>
      <c r="Y99" s="80">
        <v>0</v>
      </c>
      <c r="Z99" s="80">
        <v>0</v>
      </c>
      <c r="AA99" s="80">
        <v>0</v>
      </c>
      <c r="AB99" s="80">
        <v>0</v>
      </c>
      <c r="AC99" s="80">
        <v>0</v>
      </c>
      <c r="AD99" s="80">
        <v>0</v>
      </c>
      <c r="AE99" s="80">
        <v>0</v>
      </c>
      <c r="AF99" s="80">
        <v>0</v>
      </c>
      <c r="AG99" s="80">
        <v>0</v>
      </c>
      <c r="AH99" s="80">
        <v>0</v>
      </c>
      <c r="AI99" s="80">
        <f t="shared" si="28"/>
        <v>1096.7152886057302</v>
      </c>
    </row>
    <row r="100" spans="1:35">
      <c r="A100" s="159"/>
      <c r="B100" s="339" t="s">
        <v>702</v>
      </c>
      <c r="C100" s="80">
        <v>2120.2848490000001</v>
      </c>
      <c r="D100" s="80">
        <v>0</v>
      </c>
      <c r="E100" s="80">
        <v>0</v>
      </c>
      <c r="F100" s="80">
        <v>0</v>
      </c>
      <c r="G100" s="80">
        <v>0</v>
      </c>
      <c r="H100" s="80">
        <v>0</v>
      </c>
      <c r="I100" s="80">
        <v>0</v>
      </c>
      <c r="J100" s="80">
        <v>0</v>
      </c>
      <c r="K100" s="80">
        <v>0</v>
      </c>
      <c r="L100" s="80">
        <v>0</v>
      </c>
      <c r="M100" s="80">
        <v>0</v>
      </c>
      <c r="N100" s="80">
        <v>0</v>
      </c>
      <c r="O100" s="80">
        <v>0</v>
      </c>
      <c r="P100" s="80">
        <v>0</v>
      </c>
      <c r="Q100" s="80">
        <v>0</v>
      </c>
      <c r="R100" s="80">
        <v>0</v>
      </c>
      <c r="S100" s="80">
        <v>0</v>
      </c>
      <c r="T100" s="80">
        <v>0</v>
      </c>
      <c r="U100" s="80">
        <v>0</v>
      </c>
      <c r="V100" s="80">
        <v>0</v>
      </c>
      <c r="W100" s="80">
        <v>0</v>
      </c>
      <c r="X100" s="80">
        <v>0</v>
      </c>
      <c r="Y100" s="80">
        <v>0</v>
      </c>
      <c r="Z100" s="80">
        <v>0</v>
      </c>
      <c r="AA100" s="80">
        <v>0</v>
      </c>
      <c r="AB100" s="80">
        <v>0</v>
      </c>
      <c r="AC100" s="80">
        <v>0</v>
      </c>
      <c r="AD100" s="80">
        <v>0</v>
      </c>
      <c r="AE100" s="80">
        <v>0</v>
      </c>
      <c r="AF100" s="80">
        <v>0</v>
      </c>
      <c r="AG100" s="80">
        <v>0</v>
      </c>
      <c r="AH100" s="80">
        <v>0</v>
      </c>
      <c r="AI100" s="80">
        <f t="shared" si="28"/>
        <v>2120.2848490000001</v>
      </c>
    </row>
    <row r="101" spans="1:35">
      <c r="A101" s="159"/>
      <c r="B101" s="339" t="s">
        <v>704</v>
      </c>
      <c r="C101" s="80">
        <v>1637.7714940000001</v>
      </c>
      <c r="D101" s="80">
        <v>0</v>
      </c>
      <c r="E101" s="80">
        <v>0</v>
      </c>
      <c r="F101" s="80">
        <v>0</v>
      </c>
      <c r="G101" s="80">
        <v>0</v>
      </c>
      <c r="H101" s="80">
        <v>0</v>
      </c>
      <c r="I101" s="80">
        <v>0</v>
      </c>
      <c r="J101" s="80">
        <v>0</v>
      </c>
      <c r="K101" s="80">
        <v>0</v>
      </c>
      <c r="L101" s="80">
        <v>0</v>
      </c>
      <c r="M101" s="80">
        <v>0</v>
      </c>
      <c r="N101" s="80">
        <v>0</v>
      </c>
      <c r="O101" s="80">
        <v>0</v>
      </c>
      <c r="P101" s="80">
        <v>0</v>
      </c>
      <c r="Q101" s="80">
        <v>0</v>
      </c>
      <c r="R101" s="80">
        <v>0</v>
      </c>
      <c r="S101" s="80">
        <v>0</v>
      </c>
      <c r="T101" s="80">
        <v>0</v>
      </c>
      <c r="U101" s="80">
        <v>0</v>
      </c>
      <c r="V101" s="80">
        <v>0</v>
      </c>
      <c r="W101" s="80">
        <v>0</v>
      </c>
      <c r="X101" s="80">
        <v>0</v>
      </c>
      <c r="Y101" s="80">
        <v>0</v>
      </c>
      <c r="Z101" s="80">
        <v>0</v>
      </c>
      <c r="AA101" s="80">
        <v>0</v>
      </c>
      <c r="AB101" s="80">
        <v>0</v>
      </c>
      <c r="AC101" s="80">
        <v>0</v>
      </c>
      <c r="AD101" s="80">
        <v>0</v>
      </c>
      <c r="AE101" s="80">
        <v>0</v>
      </c>
      <c r="AF101" s="80">
        <v>0</v>
      </c>
      <c r="AG101" s="80">
        <v>0</v>
      </c>
      <c r="AH101" s="80">
        <v>0</v>
      </c>
      <c r="AI101" s="80">
        <f t="shared" si="28"/>
        <v>1637.7714940000001</v>
      </c>
    </row>
    <row r="102" spans="1:35">
      <c r="A102" s="159"/>
      <c r="B102" s="364" t="s">
        <v>656</v>
      </c>
      <c r="C102" s="80">
        <v>58.995175932715604</v>
      </c>
      <c r="D102" s="80">
        <v>63.215649100091802</v>
      </c>
      <c r="E102" s="80">
        <v>67.589623161365708</v>
      </c>
      <c r="F102" s="80">
        <v>72.266238251940905</v>
      </c>
      <c r="G102" s="80">
        <v>77.180006079806304</v>
      </c>
      <c r="H102" s="80">
        <v>82.606620825444509</v>
      </c>
      <c r="I102" s="80">
        <v>88.322281772602096</v>
      </c>
      <c r="J102" s="80">
        <v>94.433416832122901</v>
      </c>
      <c r="K102" s="80">
        <v>100.949047815177</v>
      </c>
      <c r="L102" s="80">
        <v>0</v>
      </c>
      <c r="M102" s="80">
        <v>0</v>
      </c>
      <c r="N102" s="80">
        <v>0</v>
      </c>
      <c r="O102" s="80">
        <v>0</v>
      </c>
      <c r="P102" s="80">
        <v>0</v>
      </c>
      <c r="Q102" s="80">
        <v>0</v>
      </c>
      <c r="R102" s="80">
        <v>0</v>
      </c>
      <c r="S102" s="80">
        <v>0</v>
      </c>
      <c r="T102" s="80">
        <v>0</v>
      </c>
      <c r="U102" s="80">
        <v>0</v>
      </c>
      <c r="V102" s="80">
        <v>0</v>
      </c>
      <c r="W102" s="80">
        <v>0</v>
      </c>
      <c r="X102" s="80">
        <v>0</v>
      </c>
      <c r="Y102" s="80">
        <v>0</v>
      </c>
      <c r="Z102" s="80">
        <v>0</v>
      </c>
      <c r="AA102" s="80">
        <v>0</v>
      </c>
      <c r="AB102" s="80">
        <v>0</v>
      </c>
      <c r="AC102" s="80">
        <v>0</v>
      </c>
      <c r="AD102" s="80">
        <v>0</v>
      </c>
      <c r="AE102" s="80">
        <v>0</v>
      </c>
      <c r="AF102" s="80">
        <v>0</v>
      </c>
      <c r="AG102" s="80">
        <v>0</v>
      </c>
      <c r="AH102" s="80">
        <v>0</v>
      </c>
      <c r="AI102" s="80">
        <f t="shared" si="28"/>
        <v>705.5580597712667</v>
      </c>
    </row>
    <row r="103" spans="1:35">
      <c r="A103" s="159"/>
      <c r="B103" s="339" t="s">
        <v>534</v>
      </c>
      <c r="C103" s="80">
        <v>0</v>
      </c>
      <c r="D103" s="80">
        <v>0</v>
      </c>
      <c r="E103" s="80">
        <v>895.31918878036595</v>
      </c>
      <c r="F103" s="80">
        <v>0</v>
      </c>
      <c r="G103" s="80">
        <v>0</v>
      </c>
      <c r="H103" s="80">
        <v>0</v>
      </c>
      <c r="I103" s="80">
        <v>0</v>
      </c>
      <c r="J103" s="80">
        <v>0</v>
      </c>
      <c r="K103" s="80">
        <v>0</v>
      </c>
      <c r="L103" s="80">
        <v>0</v>
      </c>
      <c r="M103" s="80">
        <v>0</v>
      </c>
      <c r="N103" s="80">
        <v>0</v>
      </c>
      <c r="O103" s="80">
        <v>0</v>
      </c>
      <c r="P103" s="80">
        <v>0</v>
      </c>
      <c r="Q103" s="80">
        <v>0</v>
      </c>
      <c r="R103" s="80">
        <v>0</v>
      </c>
      <c r="S103" s="80">
        <v>0</v>
      </c>
      <c r="T103" s="80">
        <v>0</v>
      </c>
      <c r="U103" s="80">
        <v>0</v>
      </c>
      <c r="V103" s="80">
        <v>0</v>
      </c>
      <c r="W103" s="80">
        <v>0</v>
      </c>
      <c r="X103" s="80">
        <v>0</v>
      </c>
      <c r="Y103" s="80">
        <v>0</v>
      </c>
      <c r="Z103" s="80">
        <v>0</v>
      </c>
      <c r="AA103" s="80">
        <v>0</v>
      </c>
      <c r="AB103" s="80">
        <v>0</v>
      </c>
      <c r="AC103" s="80">
        <v>0</v>
      </c>
      <c r="AD103" s="80">
        <v>0</v>
      </c>
      <c r="AE103" s="80">
        <v>0</v>
      </c>
      <c r="AF103" s="80">
        <v>0</v>
      </c>
      <c r="AG103" s="80">
        <v>0</v>
      </c>
      <c r="AH103" s="80">
        <v>0</v>
      </c>
      <c r="AI103" s="80">
        <f t="shared" si="28"/>
        <v>895.31918878036595</v>
      </c>
    </row>
    <row r="104" spans="1:35">
      <c r="A104" s="159"/>
      <c r="B104" s="339" t="s">
        <v>690</v>
      </c>
      <c r="C104" s="80">
        <v>591.44727917188391</v>
      </c>
      <c r="D104" s="80">
        <v>0</v>
      </c>
      <c r="E104" s="80">
        <v>0</v>
      </c>
      <c r="F104" s="80">
        <v>0</v>
      </c>
      <c r="G104" s="80">
        <v>0</v>
      </c>
      <c r="H104" s="80">
        <v>0</v>
      </c>
      <c r="I104" s="80">
        <v>0</v>
      </c>
      <c r="J104" s="80">
        <v>0</v>
      </c>
      <c r="K104" s="80">
        <v>0</v>
      </c>
      <c r="L104" s="80">
        <v>0</v>
      </c>
      <c r="M104" s="80">
        <v>0</v>
      </c>
      <c r="N104" s="80">
        <v>0</v>
      </c>
      <c r="O104" s="80">
        <v>0</v>
      </c>
      <c r="P104" s="80">
        <v>0</v>
      </c>
      <c r="Q104" s="80">
        <v>0</v>
      </c>
      <c r="R104" s="80">
        <v>0</v>
      </c>
      <c r="S104" s="80">
        <v>0</v>
      </c>
      <c r="T104" s="80">
        <v>0</v>
      </c>
      <c r="U104" s="80">
        <v>0</v>
      </c>
      <c r="V104" s="80">
        <v>0</v>
      </c>
      <c r="W104" s="80">
        <v>0</v>
      </c>
      <c r="X104" s="80">
        <v>0</v>
      </c>
      <c r="Y104" s="80">
        <v>0</v>
      </c>
      <c r="Z104" s="80">
        <v>0</v>
      </c>
      <c r="AA104" s="80">
        <v>0</v>
      </c>
      <c r="AB104" s="80">
        <v>0</v>
      </c>
      <c r="AC104" s="80">
        <v>0</v>
      </c>
      <c r="AD104" s="80">
        <v>0</v>
      </c>
      <c r="AE104" s="80">
        <v>0</v>
      </c>
      <c r="AF104" s="80">
        <v>0</v>
      </c>
      <c r="AG104" s="80">
        <v>0</v>
      </c>
      <c r="AH104" s="80">
        <v>0</v>
      </c>
      <c r="AI104" s="80">
        <f t="shared" si="28"/>
        <v>591.44727917188391</v>
      </c>
    </row>
    <row r="105" spans="1:35">
      <c r="A105" s="159"/>
      <c r="B105" s="339" t="s">
        <v>387</v>
      </c>
      <c r="C105" s="80">
        <v>279.28188102512701</v>
      </c>
      <c r="D105" s="80">
        <v>0</v>
      </c>
      <c r="E105" s="80">
        <v>0</v>
      </c>
      <c r="F105" s="80">
        <v>0</v>
      </c>
      <c r="G105" s="80">
        <v>0</v>
      </c>
      <c r="H105" s="80">
        <v>0</v>
      </c>
      <c r="I105" s="80">
        <v>0</v>
      </c>
      <c r="J105" s="80">
        <v>0</v>
      </c>
      <c r="K105" s="80">
        <v>0</v>
      </c>
      <c r="L105" s="80">
        <v>0</v>
      </c>
      <c r="M105" s="80">
        <v>0</v>
      </c>
      <c r="N105" s="80">
        <v>0</v>
      </c>
      <c r="O105" s="80">
        <v>0</v>
      </c>
      <c r="P105" s="80">
        <v>0</v>
      </c>
      <c r="Q105" s="80">
        <v>0</v>
      </c>
      <c r="R105" s="80">
        <v>0</v>
      </c>
      <c r="S105" s="80">
        <v>0</v>
      </c>
      <c r="T105" s="80">
        <v>0</v>
      </c>
      <c r="U105" s="80">
        <v>0</v>
      </c>
      <c r="V105" s="80">
        <v>0</v>
      </c>
      <c r="W105" s="80">
        <v>0</v>
      </c>
      <c r="X105" s="80">
        <v>0</v>
      </c>
      <c r="Y105" s="80">
        <v>0</v>
      </c>
      <c r="Z105" s="80">
        <v>0</v>
      </c>
      <c r="AA105" s="80">
        <v>0</v>
      </c>
      <c r="AB105" s="80">
        <v>0</v>
      </c>
      <c r="AC105" s="80">
        <v>0</v>
      </c>
      <c r="AD105" s="80">
        <v>0</v>
      </c>
      <c r="AE105" s="80">
        <v>0</v>
      </c>
      <c r="AF105" s="80">
        <v>0</v>
      </c>
      <c r="AG105" s="80">
        <v>0</v>
      </c>
      <c r="AH105" s="80">
        <v>0</v>
      </c>
      <c r="AI105" s="80">
        <f t="shared" si="28"/>
        <v>279.28188102512701</v>
      </c>
    </row>
    <row r="106" spans="1:35">
      <c r="A106" s="159"/>
      <c r="B106" s="339" t="s">
        <v>425</v>
      </c>
      <c r="C106" s="80">
        <v>0</v>
      </c>
      <c r="D106" s="80">
        <v>0</v>
      </c>
      <c r="E106" s="80">
        <v>0</v>
      </c>
      <c r="F106" s="80">
        <v>694.68719399999998</v>
      </c>
      <c r="G106" s="80">
        <v>0</v>
      </c>
      <c r="H106" s="80">
        <v>0</v>
      </c>
      <c r="I106" s="80">
        <v>0</v>
      </c>
      <c r="J106" s="80">
        <v>0</v>
      </c>
      <c r="K106" s="80">
        <v>0</v>
      </c>
      <c r="L106" s="80">
        <v>0</v>
      </c>
      <c r="M106" s="80">
        <v>0</v>
      </c>
      <c r="N106" s="80">
        <v>0</v>
      </c>
      <c r="O106" s="80">
        <v>0</v>
      </c>
      <c r="P106" s="80">
        <v>0</v>
      </c>
      <c r="Q106" s="80">
        <v>0</v>
      </c>
      <c r="R106" s="80">
        <v>0</v>
      </c>
      <c r="S106" s="80">
        <v>0</v>
      </c>
      <c r="T106" s="80">
        <v>0</v>
      </c>
      <c r="U106" s="80">
        <v>0</v>
      </c>
      <c r="V106" s="80">
        <v>0</v>
      </c>
      <c r="W106" s="80">
        <v>0</v>
      </c>
      <c r="X106" s="80">
        <v>0</v>
      </c>
      <c r="Y106" s="80">
        <v>0</v>
      </c>
      <c r="Z106" s="80">
        <v>0</v>
      </c>
      <c r="AA106" s="80">
        <v>0</v>
      </c>
      <c r="AB106" s="80">
        <v>0</v>
      </c>
      <c r="AC106" s="80">
        <v>0</v>
      </c>
      <c r="AD106" s="80">
        <v>0</v>
      </c>
      <c r="AE106" s="80">
        <v>0</v>
      </c>
      <c r="AF106" s="80">
        <v>0</v>
      </c>
      <c r="AG106" s="80">
        <v>0</v>
      </c>
      <c r="AH106" s="80">
        <v>0</v>
      </c>
      <c r="AI106" s="80">
        <f t="shared" si="28"/>
        <v>694.68719399999998</v>
      </c>
    </row>
    <row r="107" spans="1:35">
      <c r="A107" s="159"/>
      <c r="B107" s="339" t="s">
        <v>540</v>
      </c>
      <c r="C107" s="340">
        <v>0</v>
      </c>
      <c r="D107" s="340">
        <v>0</v>
      </c>
      <c r="E107" s="340">
        <v>0</v>
      </c>
      <c r="F107" s="340">
        <v>506.81861801999997</v>
      </c>
      <c r="G107" s="340">
        <v>506.81861801999997</v>
      </c>
      <c r="H107" s="340">
        <v>522.17675796000003</v>
      </c>
      <c r="I107" s="340">
        <v>0</v>
      </c>
      <c r="J107" s="80">
        <v>0</v>
      </c>
      <c r="K107" s="340">
        <v>0</v>
      </c>
      <c r="L107" s="340">
        <v>0</v>
      </c>
      <c r="M107" s="340">
        <v>0</v>
      </c>
      <c r="N107" s="340">
        <v>0</v>
      </c>
      <c r="O107" s="340">
        <v>0</v>
      </c>
      <c r="P107" s="340">
        <v>0</v>
      </c>
      <c r="Q107" s="340">
        <v>0</v>
      </c>
      <c r="R107" s="340">
        <v>0</v>
      </c>
      <c r="S107" s="340">
        <v>0</v>
      </c>
      <c r="T107" s="340">
        <v>0</v>
      </c>
      <c r="U107" s="340">
        <v>0</v>
      </c>
      <c r="V107" s="340">
        <v>0</v>
      </c>
      <c r="W107" s="340">
        <v>0</v>
      </c>
      <c r="X107" s="340">
        <v>0</v>
      </c>
      <c r="Y107" s="340">
        <v>0</v>
      </c>
      <c r="Z107" s="340">
        <v>0</v>
      </c>
      <c r="AA107" s="340">
        <v>0</v>
      </c>
      <c r="AB107" s="340">
        <v>0</v>
      </c>
      <c r="AC107" s="340">
        <v>0</v>
      </c>
      <c r="AD107" s="340">
        <v>0</v>
      </c>
      <c r="AE107" s="340">
        <v>0</v>
      </c>
      <c r="AF107" s="340">
        <v>0</v>
      </c>
      <c r="AG107" s="340">
        <v>0</v>
      </c>
      <c r="AH107" s="340">
        <v>0</v>
      </c>
      <c r="AI107" s="80">
        <f t="shared" si="28"/>
        <v>1535.8139940000001</v>
      </c>
    </row>
    <row r="108" spans="1:35">
      <c r="A108" s="159"/>
      <c r="B108" s="1008" t="s">
        <v>856</v>
      </c>
      <c r="C108" s="1011">
        <v>0</v>
      </c>
      <c r="D108" s="1011">
        <v>0</v>
      </c>
      <c r="E108" s="1011">
        <v>0</v>
      </c>
      <c r="F108" s="1011">
        <v>0</v>
      </c>
      <c r="G108" s="1011">
        <v>0</v>
      </c>
      <c r="H108" s="1011">
        <v>0</v>
      </c>
      <c r="I108" s="1011">
        <v>0</v>
      </c>
      <c r="J108" s="1007">
        <v>0</v>
      </c>
      <c r="K108" s="1011">
        <v>0</v>
      </c>
      <c r="L108" s="1011">
        <v>0</v>
      </c>
      <c r="M108" s="1011">
        <v>0</v>
      </c>
      <c r="N108" s="1011">
        <v>0</v>
      </c>
      <c r="O108" s="1011">
        <v>0</v>
      </c>
      <c r="P108" s="1011">
        <v>0</v>
      </c>
      <c r="Q108" s="1011">
        <v>0</v>
      </c>
      <c r="R108" s="1011">
        <v>897.85789995000005</v>
      </c>
      <c r="S108" s="1011">
        <v>897.85789995000005</v>
      </c>
      <c r="T108" s="1011">
        <v>925.06571510000003</v>
      </c>
      <c r="U108" s="1011">
        <v>0</v>
      </c>
      <c r="V108" s="1011">
        <v>0</v>
      </c>
      <c r="W108" s="1011">
        <v>0</v>
      </c>
      <c r="X108" s="1011">
        <v>0</v>
      </c>
      <c r="Y108" s="1011">
        <v>0</v>
      </c>
      <c r="Z108" s="1011">
        <v>0</v>
      </c>
      <c r="AA108" s="1011">
        <v>0</v>
      </c>
      <c r="AB108" s="1011">
        <v>0</v>
      </c>
      <c r="AC108" s="1011">
        <v>0</v>
      </c>
      <c r="AD108" s="1011">
        <v>0</v>
      </c>
      <c r="AE108" s="1011">
        <v>0</v>
      </c>
      <c r="AF108" s="1011">
        <v>0</v>
      </c>
      <c r="AG108" s="1011">
        <v>0</v>
      </c>
      <c r="AH108" s="1011">
        <v>0</v>
      </c>
      <c r="AI108" s="1007">
        <f t="shared" si="28"/>
        <v>2720.7815150000001</v>
      </c>
    </row>
    <row r="109" spans="1:35">
      <c r="A109" s="159"/>
      <c r="B109" s="339" t="s">
        <v>494</v>
      </c>
      <c r="C109" s="340">
        <v>0</v>
      </c>
      <c r="D109" s="340">
        <v>0</v>
      </c>
      <c r="E109" s="340">
        <v>4497.7534109999997</v>
      </c>
      <c r="F109" s="340">
        <v>0</v>
      </c>
      <c r="G109" s="340">
        <v>0</v>
      </c>
      <c r="H109" s="340">
        <v>0</v>
      </c>
      <c r="I109" s="340">
        <v>0</v>
      </c>
      <c r="J109" s="80">
        <v>0</v>
      </c>
      <c r="K109" s="340">
        <v>0</v>
      </c>
      <c r="L109" s="340">
        <v>0</v>
      </c>
      <c r="M109" s="340">
        <v>0</v>
      </c>
      <c r="N109" s="340">
        <v>0</v>
      </c>
      <c r="O109" s="340">
        <v>0</v>
      </c>
      <c r="P109" s="340">
        <v>0</v>
      </c>
      <c r="Q109" s="340">
        <v>0</v>
      </c>
      <c r="R109" s="340">
        <v>0</v>
      </c>
      <c r="S109" s="340">
        <v>0</v>
      </c>
      <c r="T109" s="340">
        <v>0</v>
      </c>
      <c r="U109" s="340">
        <v>0</v>
      </c>
      <c r="V109" s="340">
        <v>0</v>
      </c>
      <c r="W109" s="340">
        <v>0</v>
      </c>
      <c r="X109" s="340">
        <v>0</v>
      </c>
      <c r="Y109" s="340">
        <v>0</v>
      </c>
      <c r="Z109" s="340">
        <v>0</v>
      </c>
      <c r="AA109" s="340">
        <v>0</v>
      </c>
      <c r="AB109" s="340">
        <v>0</v>
      </c>
      <c r="AC109" s="340">
        <v>0</v>
      </c>
      <c r="AD109" s="340">
        <v>0</v>
      </c>
      <c r="AE109" s="340">
        <v>0</v>
      </c>
      <c r="AF109" s="340">
        <v>0</v>
      </c>
      <c r="AG109" s="340">
        <v>0</v>
      </c>
      <c r="AH109" s="340">
        <v>0</v>
      </c>
      <c r="AI109" s="80">
        <f t="shared" ref="AI109:AI140" si="29">SUM(C109:AH109)</f>
        <v>4497.7534109999997</v>
      </c>
    </row>
    <row r="110" spans="1:35">
      <c r="A110" s="159"/>
      <c r="B110" s="364" t="s">
        <v>495</v>
      </c>
      <c r="C110" s="340">
        <v>0</v>
      </c>
      <c r="D110" s="340">
        <v>0</v>
      </c>
      <c r="E110" s="340">
        <v>0</v>
      </c>
      <c r="F110" s="340">
        <v>0</v>
      </c>
      <c r="G110" s="340">
        <v>0</v>
      </c>
      <c r="H110" s="340">
        <v>4510.4625749999996</v>
      </c>
      <c r="I110" s="340">
        <v>0</v>
      </c>
      <c r="J110" s="80">
        <v>0</v>
      </c>
      <c r="K110" s="340">
        <v>0</v>
      </c>
      <c r="L110" s="340">
        <v>0</v>
      </c>
      <c r="M110" s="340">
        <v>0</v>
      </c>
      <c r="N110" s="340">
        <v>0</v>
      </c>
      <c r="O110" s="340">
        <v>0</v>
      </c>
      <c r="P110" s="340">
        <v>0</v>
      </c>
      <c r="Q110" s="340">
        <v>0</v>
      </c>
      <c r="R110" s="340">
        <v>0</v>
      </c>
      <c r="S110" s="340">
        <v>0</v>
      </c>
      <c r="T110" s="340">
        <v>0</v>
      </c>
      <c r="U110" s="340">
        <v>0</v>
      </c>
      <c r="V110" s="340">
        <v>0</v>
      </c>
      <c r="W110" s="340">
        <v>0</v>
      </c>
      <c r="X110" s="340">
        <v>0</v>
      </c>
      <c r="Y110" s="340">
        <v>0</v>
      </c>
      <c r="Z110" s="340">
        <v>0</v>
      </c>
      <c r="AA110" s="340">
        <v>0</v>
      </c>
      <c r="AB110" s="340">
        <v>0</v>
      </c>
      <c r="AC110" s="340">
        <v>0</v>
      </c>
      <c r="AD110" s="340">
        <v>0</v>
      </c>
      <c r="AE110" s="340">
        <v>0</v>
      </c>
      <c r="AF110" s="340">
        <v>0</v>
      </c>
      <c r="AG110" s="340">
        <v>0</v>
      </c>
      <c r="AH110" s="340">
        <v>0</v>
      </c>
      <c r="AI110" s="80">
        <f t="shared" si="29"/>
        <v>4510.4625749999996</v>
      </c>
    </row>
    <row r="111" spans="1:35">
      <c r="A111" s="159"/>
      <c r="B111" s="364" t="s">
        <v>496</v>
      </c>
      <c r="C111" s="1011">
        <v>0</v>
      </c>
      <c r="D111" s="1011">
        <v>0</v>
      </c>
      <c r="E111" s="1011">
        <v>0</v>
      </c>
      <c r="F111" s="340">
        <v>0</v>
      </c>
      <c r="G111" s="340">
        <v>0</v>
      </c>
      <c r="H111" s="340">
        <v>0</v>
      </c>
      <c r="I111" s="340">
        <v>0</v>
      </c>
      <c r="J111" s="80">
        <v>4690.4995630000003</v>
      </c>
      <c r="K111" s="340">
        <v>0</v>
      </c>
      <c r="L111" s="340">
        <v>0</v>
      </c>
      <c r="M111" s="340">
        <v>0</v>
      </c>
      <c r="N111" s="340">
        <v>0</v>
      </c>
      <c r="O111" s="340">
        <v>0</v>
      </c>
      <c r="P111" s="340">
        <v>0</v>
      </c>
      <c r="Q111" s="340">
        <v>0</v>
      </c>
      <c r="R111" s="340">
        <v>0</v>
      </c>
      <c r="S111" s="340">
        <v>0</v>
      </c>
      <c r="T111" s="340">
        <v>0</v>
      </c>
      <c r="U111" s="340">
        <v>0</v>
      </c>
      <c r="V111" s="340">
        <v>0</v>
      </c>
      <c r="W111" s="340">
        <v>0</v>
      </c>
      <c r="X111" s="340">
        <v>0</v>
      </c>
      <c r="Y111" s="340">
        <v>0</v>
      </c>
      <c r="Z111" s="340">
        <v>0</v>
      </c>
      <c r="AA111" s="340">
        <v>0</v>
      </c>
      <c r="AB111" s="340">
        <v>0</v>
      </c>
      <c r="AC111" s="340">
        <v>0</v>
      </c>
      <c r="AD111" s="340">
        <v>0</v>
      </c>
      <c r="AE111" s="340">
        <v>0</v>
      </c>
      <c r="AF111" s="340">
        <v>0</v>
      </c>
      <c r="AG111" s="340">
        <v>0</v>
      </c>
      <c r="AH111" s="340">
        <v>0</v>
      </c>
      <c r="AI111" s="80">
        <f t="shared" si="29"/>
        <v>4690.4995630000003</v>
      </c>
    </row>
    <row r="112" spans="1:35">
      <c r="A112" s="159"/>
      <c r="B112" s="339" t="s">
        <v>379</v>
      </c>
      <c r="C112" s="1011">
        <v>2947.5606670000002</v>
      </c>
      <c r="D112" s="1011">
        <v>0</v>
      </c>
      <c r="E112" s="1011">
        <v>0</v>
      </c>
      <c r="F112" s="340">
        <v>0</v>
      </c>
      <c r="G112" s="340">
        <v>0</v>
      </c>
      <c r="H112" s="340">
        <v>0</v>
      </c>
      <c r="I112" s="340">
        <v>0</v>
      </c>
      <c r="J112" s="80">
        <v>0</v>
      </c>
      <c r="K112" s="340">
        <v>0</v>
      </c>
      <c r="L112" s="340">
        <v>0</v>
      </c>
      <c r="M112" s="340">
        <v>0</v>
      </c>
      <c r="N112" s="340">
        <v>0</v>
      </c>
      <c r="O112" s="340">
        <v>0</v>
      </c>
      <c r="P112" s="340">
        <v>0</v>
      </c>
      <c r="Q112" s="340">
        <v>0</v>
      </c>
      <c r="R112" s="340">
        <v>0</v>
      </c>
      <c r="S112" s="340">
        <v>0</v>
      </c>
      <c r="T112" s="340">
        <v>0</v>
      </c>
      <c r="U112" s="340">
        <v>0</v>
      </c>
      <c r="V112" s="340">
        <v>0</v>
      </c>
      <c r="W112" s="340">
        <v>0</v>
      </c>
      <c r="X112" s="340">
        <v>0</v>
      </c>
      <c r="Y112" s="340">
        <v>0</v>
      </c>
      <c r="Z112" s="340">
        <v>0</v>
      </c>
      <c r="AA112" s="340">
        <v>0</v>
      </c>
      <c r="AB112" s="340">
        <v>0</v>
      </c>
      <c r="AC112" s="340">
        <v>0</v>
      </c>
      <c r="AD112" s="340">
        <v>0</v>
      </c>
      <c r="AE112" s="340">
        <v>0</v>
      </c>
      <c r="AF112" s="340">
        <v>0</v>
      </c>
      <c r="AG112" s="340">
        <v>0</v>
      </c>
      <c r="AH112" s="340">
        <v>0</v>
      </c>
      <c r="AI112" s="80">
        <f t="shared" si="29"/>
        <v>2947.5606670000002</v>
      </c>
    </row>
    <row r="113" spans="1:35">
      <c r="A113" s="159"/>
      <c r="B113" s="364" t="s">
        <v>714</v>
      </c>
      <c r="C113" s="1011">
        <v>0</v>
      </c>
      <c r="D113" s="1011">
        <v>667.83537857917997</v>
      </c>
      <c r="E113" s="1011">
        <v>0</v>
      </c>
      <c r="F113" s="340">
        <v>0</v>
      </c>
      <c r="G113" s="340">
        <v>0</v>
      </c>
      <c r="H113" s="340">
        <v>0</v>
      </c>
      <c r="I113" s="340">
        <v>0</v>
      </c>
      <c r="J113" s="80">
        <v>0</v>
      </c>
      <c r="K113" s="340">
        <v>0</v>
      </c>
      <c r="L113" s="340">
        <v>0</v>
      </c>
      <c r="M113" s="340">
        <v>0</v>
      </c>
      <c r="N113" s="340">
        <v>0</v>
      </c>
      <c r="O113" s="340">
        <v>0</v>
      </c>
      <c r="P113" s="340">
        <v>0</v>
      </c>
      <c r="Q113" s="340">
        <v>0</v>
      </c>
      <c r="R113" s="340">
        <v>0</v>
      </c>
      <c r="S113" s="340">
        <v>0</v>
      </c>
      <c r="T113" s="340">
        <v>0</v>
      </c>
      <c r="U113" s="340">
        <v>0</v>
      </c>
      <c r="V113" s="340">
        <v>0</v>
      </c>
      <c r="W113" s="340">
        <v>0</v>
      </c>
      <c r="X113" s="340">
        <v>0</v>
      </c>
      <c r="Y113" s="340">
        <v>0</v>
      </c>
      <c r="Z113" s="340">
        <v>0</v>
      </c>
      <c r="AA113" s="340">
        <v>0</v>
      </c>
      <c r="AB113" s="340">
        <v>0</v>
      </c>
      <c r="AC113" s="340">
        <v>0</v>
      </c>
      <c r="AD113" s="340">
        <v>0</v>
      </c>
      <c r="AE113" s="340">
        <v>0</v>
      </c>
      <c r="AF113" s="340">
        <v>0</v>
      </c>
      <c r="AG113" s="340">
        <v>0</v>
      </c>
      <c r="AH113" s="340">
        <v>0</v>
      </c>
      <c r="AI113" s="80">
        <f t="shared" si="29"/>
        <v>667.83537857917997</v>
      </c>
    </row>
    <row r="114" spans="1:35">
      <c r="A114" s="159"/>
      <c r="B114" s="364" t="s">
        <v>631</v>
      </c>
      <c r="C114" s="1007">
        <v>1326.20572343</v>
      </c>
      <c r="D114" s="1007">
        <v>1326.20572343</v>
      </c>
      <c r="E114" s="1007">
        <v>1326.20572343</v>
      </c>
      <c r="F114" s="80">
        <v>1326.20572343</v>
      </c>
      <c r="G114" s="80">
        <v>1329.3898908399999</v>
      </c>
      <c r="H114" s="80">
        <v>0</v>
      </c>
      <c r="I114" s="80">
        <v>0</v>
      </c>
      <c r="J114" s="80">
        <v>0</v>
      </c>
      <c r="K114" s="80">
        <v>0</v>
      </c>
      <c r="L114" s="80">
        <v>0</v>
      </c>
      <c r="M114" s="80">
        <v>0</v>
      </c>
      <c r="N114" s="80">
        <v>0</v>
      </c>
      <c r="O114" s="80">
        <v>0</v>
      </c>
      <c r="P114" s="80">
        <v>0</v>
      </c>
      <c r="Q114" s="80">
        <v>0</v>
      </c>
      <c r="R114" s="80">
        <v>0</v>
      </c>
      <c r="S114" s="80">
        <v>0</v>
      </c>
      <c r="T114" s="80">
        <v>0</v>
      </c>
      <c r="U114" s="80">
        <v>0</v>
      </c>
      <c r="V114" s="80">
        <v>0</v>
      </c>
      <c r="W114" s="80">
        <v>0</v>
      </c>
      <c r="X114" s="80">
        <v>0</v>
      </c>
      <c r="Y114" s="80">
        <v>0</v>
      </c>
      <c r="Z114" s="80">
        <v>0</v>
      </c>
      <c r="AA114" s="80">
        <v>0</v>
      </c>
      <c r="AB114" s="80">
        <v>0</v>
      </c>
      <c r="AC114" s="80">
        <v>0</v>
      </c>
      <c r="AD114" s="80">
        <v>0</v>
      </c>
      <c r="AE114" s="80">
        <v>0</v>
      </c>
      <c r="AF114" s="80">
        <v>0</v>
      </c>
      <c r="AG114" s="80">
        <v>0</v>
      </c>
      <c r="AH114" s="80">
        <v>0</v>
      </c>
      <c r="AI114" s="80">
        <f t="shared" si="29"/>
        <v>6634.2127845599998</v>
      </c>
    </row>
    <row r="115" spans="1:35">
      <c r="A115" s="159"/>
      <c r="B115" s="339" t="s">
        <v>510</v>
      </c>
      <c r="C115" s="1011">
        <v>5238.9710271522899</v>
      </c>
      <c r="D115" s="1011">
        <v>0</v>
      </c>
      <c r="E115" s="1011">
        <v>0</v>
      </c>
      <c r="F115" s="340">
        <v>0</v>
      </c>
      <c r="G115" s="340">
        <v>0</v>
      </c>
      <c r="H115" s="340">
        <v>0</v>
      </c>
      <c r="I115" s="340">
        <v>0</v>
      </c>
      <c r="J115" s="80">
        <v>0</v>
      </c>
      <c r="K115" s="340">
        <v>0</v>
      </c>
      <c r="L115" s="340">
        <v>0</v>
      </c>
      <c r="M115" s="340">
        <v>0</v>
      </c>
      <c r="N115" s="340">
        <v>0</v>
      </c>
      <c r="O115" s="340">
        <v>0</v>
      </c>
      <c r="P115" s="340">
        <v>0</v>
      </c>
      <c r="Q115" s="340">
        <v>0</v>
      </c>
      <c r="R115" s="340">
        <v>0</v>
      </c>
      <c r="S115" s="340">
        <v>0</v>
      </c>
      <c r="T115" s="340">
        <v>0</v>
      </c>
      <c r="U115" s="340">
        <v>0</v>
      </c>
      <c r="V115" s="340">
        <v>0</v>
      </c>
      <c r="W115" s="340">
        <v>0</v>
      </c>
      <c r="X115" s="340">
        <v>0</v>
      </c>
      <c r="Y115" s="340">
        <v>0</v>
      </c>
      <c r="Z115" s="340">
        <v>0</v>
      </c>
      <c r="AA115" s="340">
        <v>0</v>
      </c>
      <c r="AB115" s="340">
        <v>0</v>
      </c>
      <c r="AC115" s="340">
        <v>0</v>
      </c>
      <c r="AD115" s="340">
        <v>0</v>
      </c>
      <c r="AE115" s="340">
        <v>0</v>
      </c>
      <c r="AF115" s="340">
        <v>0</v>
      </c>
      <c r="AG115" s="340">
        <v>0</v>
      </c>
      <c r="AH115" s="340">
        <v>0</v>
      </c>
      <c r="AI115" s="80">
        <f t="shared" si="29"/>
        <v>5238.9710271522899</v>
      </c>
    </row>
    <row r="116" spans="1:35">
      <c r="A116" s="159"/>
      <c r="B116" s="339" t="s">
        <v>428</v>
      </c>
      <c r="C116" s="1011">
        <v>0</v>
      </c>
      <c r="D116" s="1011">
        <v>2860.6175742314399</v>
      </c>
      <c r="E116" s="1011">
        <v>0</v>
      </c>
      <c r="F116" s="340">
        <v>0</v>
      </c>
      <c r="G116" s="340">
        <v>0</v>
      </c>
      <c r="H116" s="340">
        <v>0</v>
      </c>
      <c r="I116" s="340">
        <v>0</v>
      </c>
      <c r="J116" s="80">
        <v>0</v>
      </c>
      <c r="K116" s="340">
        <v>0</v>
      </c>
      <c r="L116" s="340">
        <v>0</v>
      </c>
      <c r="M116" s="340">
        <v>0</v>
      </c>
      <c r="N116" s="340">
        <v>0</v>
      </c>
      <c r="O116" s="340">
        <v>0</v>
      </c>
      <c r="P116" s="340">
        <v>0</v>
      </c>
      <c r="Q116" s="340">
        <v>0</v>
      </c>
      <c r="R116" s="340">
        <v>0</v>
      </c>
      <c r="S116" s="340">
        <v>0</v>
      </c>
      <c r="T116" s="340">
        <v>0</v>
      </c>
      <c r="U116" s="340">
        <v>0</v>
      </c>
      <c r="V116" s="340">
        <v>0</v>
      </c>
      <c r="W116" s="340">
        <v>0</v>
      </c>
      <c r="X116" s="340">
        <v>0</v>
      </c>
      <c r="Y116" s="340">
        <v>0</v>
      </c>
      <c r="Z116" s="340">
        <v>0</v>
      </c>
      <c r="AA116" s="340">
        <v>0</v>
      </c>
      <c r="AB116" s="340">
        <v>0</v>
      </c>
      <c r="AC116" s="340">
        <v>0</v>
      </c>
      <c r="AD116" s="340">
        <v>0</v>
      </c>
      <c r="AE116" s="340">
        <v>0</v>
      </c>
      <c r="AF116" s="340">
        <v>0</v>
      </c>
      <c r="AG116" s="340">
        <v>0</v>
      </c>
      <c r="AH116" s="340">
        <v>0</v>
      </c>
      <c r="AI116" s="80">
        <f t="shared" si="29"/>
        <v>2860.6175742314399</v>
      </c>
    </row>
    <row r="117" spans="1:35">
      <c r="A117" s="159"/>
      <c r="B117" s="364" t="s">
        <v>624</v>
      </c>
      <c r="C117" s="340">
        <v>0</v>
      </c>
      <c r="D117" s="340">
        <v>0</v>
      </c>
      <c r="E117" s="340">
        <v>0</v>
      </c>
      <c r="F117" s="340">
        <v>1002.48629326583</v>
      </c>
      <c r="G117" s="340">
        <v>0</v>
      </c>
      <c r="H117" s="340">
        <v>0</v>
      </c>
      <c r="I117" s="340">
        <v>0</v>
      </c>
      <c r="J117" s="80">
        <v>0</v>
      </c>
      <c r="K117" s="340">
        <v>0</v>
      </c>
      <c r="L117" s="340">
        <v>0</v>
      </c>
      <c r="M117" s="340">
        <v>0</v>
      </c>
      <c r="N117" s="340">
        <v>0</v>
      </c>
      <c r="O117" s="340">
        <v>0</v>
      </c>
      <c r="P117" s="340">
        <v>0</v>
      </c>
      <c r="Q117" s="340">
        <v>0</v>
      </c>
      <c r="R117" s="340">
        <v>0</v>
      </c>
      <c r="S117" s="340">
        <v>0</v>
      </c>
      <c r="T117" s="340">
        <v>0</v>
      </c>
      <c r="U117" s="340">
        <v>0</v>
      </c>
      <c r="V117" s="340">
        <v>0</v>
      </c>
      <c r="W117" s="340">
        <v>0</v>
      </c>
      <c r="X117" s="340">
        <v>0</v>
      </c>
      <c r="Y117" s="340">
        <v>0</v>
      </c>
      <c r="Z117" s="340">
        <v>0</v>
      </c>
      <c r="AA117" s="340">
        <v>0</v>
      </c>
      <c r="AB117" s="340">
        <v>0</v>
      </c>
      <c r="AC117" s="340">
        <v>0</v>
      </c>
      <c r="AD117" s="340">
        <v>0</v>
      </c>
      <c r="AE117" s="340">
        <v>0</v>
      </c>
      <c r="AF117" s="340">
        <v>0</v>
      </c>
      <c r="AG117" s="340">
        <v>0</v>
      </c>
      <c r="AH117" s="340">
        <v>0</v>
      </c>
      <c r="AI117" s="80">
        <f t="shared" si="29"/>
        <v>1002.48629326583</v>
      </c>
    </row>
    <row r="118" spans="1:35">
      <c r="A118" s="159"/>
      <c r="B118" s="339" t="s">
        <v>668</v>
      </c>
      <c r="C118" s="80">
        <v>0</v>
      </c>
      <c r="D118" s="80">
        <v>0</v>
      </c>
      <c r="E118" s="80">
        <v>0</v>
      </c>
      <c r="F118" s="80">
        <v>0</v>
      </c>
      <c r="G118" s="80">
        <v>0</v>
      </c>
      <c r="H118" s="80">
        <v>991.94763843490102</v>
      </c>
      <c r="I118" s="80">
        <v>0</v>
      </c>
      <c r="J118" s="80">
        <v>0</v>
      </c>
      <c r="K118" s="80">
        <v>0</v>
      </c>
      <c r="L118" s="80">
        <v>0</v>
      </c>
      <c r="M118" s="80">
        <v>0</v>
      </c>
      <c r="N118" s="80">
        <v>0</v>
      </c>
      <c r="O118" s="80">
        <v>0</v>
      </c>
      <c r="P118" s="80">
        <v>0</v>
      </c>
      <c r="Q118" s="80">
        <v>0</v>
      </c>
      <c r="R118" s="80">
        <v>0</v>
      </c>
      <c r="S118" s="80">
        <v>0</v>
      </c>
      <c r="T118" s="80">
        <v>0</v>
      </c>
      <c r="U118" s="80">
        <v>0</v>
      </c>
      <c r="V118" s="80">
        <v>0</v>
      </c>
      <c r="W118" s="80">
        <v>0</v>
      </c>
      <c r="X118" s="80">
        <v>0</v>
      </c>
      <c r="Y118" s="80">
        <v>0</v>
      </c>
      <c r="Z118" s="80">
        <v>0</v>
      </c>
      <c r="AA118" s="80">
        <v>0</v>
      </c>
      <c r="AB118" s="80">
        <v>0</v>
      </c>
      <c r="AC118" s="80">
        <v>0</v>
      </c>
      <c r="AD118" s="80">
        <v>0</v>
      </c>
      <c r="AE118" s="80">
        <v>0</v>
      </c>
      <c r="AF118" s="80">
        <v>0</v>
      </c>
      <c r="AG118" s="80">
        <v>0</v>
      </c>
      <c r="AH118" s="80">
        <v>0</v>
      </c>
      <c r="AI118" s="80">
        <f t="shared" si="29"/>
        <v>991.94763843490102</v>
      </c>
    </row>
    <row r="119" spans="1:35">
      <c r="A119" s="159"/>
      <c r="B119" s="339" t="s">
        <v>703</v>
      </c>
      <c r="C119" s="80">
        <v>0</v>
      </c>
      <c r="D119" s="80">
        <v>0</v>
      </c>
      <c r="E119" s="80">
        <v>898.39024549556393</v>
      </c>
      <c r="F119" s="80">
        <v>0</v>
      </c>
      <c r="G119" s="80">
        <v>0</v>
      </c>
      <c r="H119" s="80">
        <v>0</v>
      </c>
      <c r="I119" s="80">
        <v>0</v>
      </c>
      <c r="J119" s="80">
        <v>0</v>
      </c>
      <c r="K119" s="80">
        <v>0</v>
      </c>
      <c r="L119" s="80">
        <v>0</v>
      </c>
      <c r="M119" s="80">
        <v>0</v>
      </c>
      <c r="N119" s="80">
        <v>0</v>
      </c>
      <c r="O119" s="80">
        <v>0</v>
      </c>
      <c r="P119" s="80">
        <v>0</v>
      </c>
      <c r="Q119" s="80">
        <v>0</v>
      </c>
      <c r="R119" s="80">
        <v>0</v>
      </c>
      <c r="S119" s="80">
        <v>0</v>
      </c>
      <c r="T119" s="80">
        <v>0</v>
      </c>
      <c r="U119" s="80">
        <v>0</v>
      </c>
      <c r="V119" s="80">
        <v>0</v>
      </c>
      <c r="W119" s="80">
        <v>0</v>
      </c>
      <c r="X119" s="80">
        <v>0</v>
      </c>
      <c r="Y119" s="80">
        <v>0</v>
      </c>
      <c r="Z119" s="80">
        <v>0</v>
      </c>
      <c r="AA119" s="80">
        <v>0</v>
      </c>
      <c r="AB119" s="80">
        <v>0</v>
      </c>
      <c r="AC119" s="80">
        <v>0</v>
      </c>
      <c r="AD119" s="80">
        <v>0</v>
      </c>
      <c r="AE119" s="80">
        <v>0</v>
      </c>
      <c r="AF119" s="80">
        <v>0</v>
      </c>
      <c r="AG119" s="80">
        <v>0</v>
      </c>
      <c r="AH119" s="80">
        <v>0</v>
      </c>
      <c r="AI119" s="80">
        <f t="shared" si="29"/>
        <v>898.39024549556393</v>
      </c>
    </row>
    <row r="120" spans="1:35">
      <c r="A120" s="159"/>
      <c r="B120" s="1129" t="s">
        <v>830</v>
      </c>
      <c r="C120" s="1007">
        <v>632.89904639700001</v>
      </c>
      <c r="D120" s="1007">
        <v>317.08242224400004</v>
      </c>
      <c r="E120" s="1007">
        <v>0</v>
      </c>
      <c r="F120" s="1007">
        <v>0</v>
      </c>
      <c r="G120" s="1007">
        <v>0</v>
      </c>
      <c r="H120" s="1007">
        <v>0</v>
      </c>
      <c r="I120" s="1007">
        <v>0</v>
      </c>
      <c r="J120" s="1007">
        <v>0</v>
      </c>
      <c r="K120" s="1007">
        <v>0</v>
      </c>
      <c r="L120" s="1007">
        <v>0</v>
      </c>
      <c r="M120" s="1007">
        <v>0</v>
      </c>
      <c r="N120" s="1007">
        <v>0</v>
      </c>
      <c r="O120" s="1007">
        <v>0</v>
      </c>
      <c r="P120" s="1007">
        <v>0</v>
      </c>
      <c r="Q120" s="1007">
        <v>0</v>
      </c>
      <c r="R120" s="1007">
        <v>0</v>
      </c>
      <c r="S120" s="1007">
        <v>0</v>
      </c>
      <c r="T120" s="1007">
        <v>0</v>
      </c>
      <c r="U120" s="1007">
        <v>0</v>
      </c>
      <c r="V120" s="1007">
        <v>0</v>
      </c>
      <c r="W120" s="1007">
        <v>0</v>
      </c>
      <c r="X120" s="1007">
        <v>0</v>
      </c>
      <c r="Y120" s="1007">
        <v>0</v>
      </c>
      <c r="Z120" s="1007">
        <v>0</v>
      </c>
      <c r="AA120" s="1007">
        <v>0</v>
      </c>
      <c r="AB120" s="1007">
        <v>0</v>
      </c>
      <c r="AC120" s="1007">
        <v>0</v>
      </c>
      <c r="AD120" s="1007">
        <v>0</v>
      </c>
      <c r="AE120" s="1007">
        <v>0</v>
      </c>
      <c r="AF120" s="1007">
        <v>0</v>
      </c>
      <c r="AG120" s="1007">
        <v>0</v>
      </c>
      <c r="AH120" s="1007">
        <v>0</v>
      </c>
      <c r="AI120" s="1007">
        <f t="shared" si="29"/>
        <v>949.98146864099999</v>
      </c>
    </row>
    <row r="121" spans="1:35">
      <c r="A121" s="159"/>
      <c r="B121" s="364" t="s">
        <v>682</v>
      </c>
      <c r="C121" s="80">
        <v>2083.7910106352797</v>
      </c>
      <c r="D121" s="80">
        <v>0</v>
      </c>
      <c r="E121" s="80">
        <v>0</v>
      </c>
      <c r="F121" s="80">
        <v>0</v>
      </c>
      <c r="G121" s="80">
        <v>0</v>
      </c>
      <c r="H121" s="80">
        <v>0</v>
      </c>
      <c r="I121" s="80">
        <v>0</v>
      </c>
      <c r="J121" s="80">
        <v>0</v>
      </c>
      <c r="K121" s="80">
        <v>0</v>
      </c>
      <c r="L121" s="80">
        <v>0</v>
      </c>
      <c r="M121" s="80">
        <v>0</v>
      </c>
      <c r="N121" s="80">
        <v>0</v>
      </c>
      <c r="O121" s="80">
        <v>0</v>
      </c>
      <c r="P121" s="80">
        <v>0</v>
      </c>
      <c r="Q121" s="80">
        <v>0</v>
      </c>
      <c r="R121" s="80">
        <v>0</v>
      </c>
      <c r="S121" s="80">
        <v>0</v>
      </c>
      <c r="T121" s="80">
        <v>0</v>
      </c>
      <c r="U121" s="80">
        <v>0</v>
      </c>
      <c r="V121" s="80">
        <v>0</v>
      </c>
      <c r="W121" s="80">
        <v>0</v>
      </c>
      <c r="X121" s="80">
        <v>0</v>
      </c>
      <c r="Y121" s="80">
        <v>0</v>
      </c>
      <c r="Z121" s="80">
        <v>0</v>
      </c>
      <c r="AA121" s="80">
        <v>0</v>
      </c>
      <c r="AB121" s="80">
        <v>0</v>
      </c>
      <c r="AC121" s="80">
        <v>0</v>
      </c>
      <c r="AD121" s="80">
        <v>0</v>
      </c>
      <c r="AE121" s="80">
        <v>0</v>
      </c>
      <c r="AF121" s="80">
        <v>0</v>
      </c>
      <c r="AG121" s="80">
        <v>0</v>
      </c>
      <c r="AH121" s="80">
        <v>0</v>
      </c>
      <c r="AI121" s="80">
        <f t="shared" si="29"/>
        <v>2083.7910106352797</v>
      </c>
    </row>
    <row r="122" spans="1:35">
      <c r="A122" s="159"/>
      <c r="B122" s="364" t="s">
        <v>507</v>
      </c>
      <c r="C122" s="85">
        <v>0</v>
      </c>
      <c r="D122" s="85">
        <v>0</v>
      </c>
      <c r="E122" s="85">
        <v>0</v>
      </c>
      <c r="F122" s="85">
        <v>0</v>
      </c>
      <c r="G122" s="85">
        <v>0</v>
      </c>
      <c r="H122" s="85">
        <v>0</v>
      </c>
      <c r="I122" s="85">
        <v>1612.3167833708999</v>
      </c>
      <c r="J122" s="80">
        <v>0</v>
      </c>
      <c r="K122" s="85">
        <v>0</v>
      </c>
      <c r="L122" s="85">
        <v>0</v>
      </c>
      <c r="M122" s="85">
        <v>0</v>
      </c>
      <c r="N122" s="85">
        <v>0</v>
      </c>
      <c r="O122" s="85">
        <v>0</v>
      </c>
      <c r="P122" s="85">
        <v>0</v>
      </c>
      <c r="Q122" s="85">
        <v>0</v>
      </c>
      <c r="R122" s="85">
        <v>0</v>
      </c>
      <c r="S122" s="85">
        <v>0</v>
      </c>
      <c r="T122" s="85">
        <v>0</v>
      </c>
      <c r="U122" s="85">
        <v>0</v>
      </c>
      <c r="V122" s="85">
        <v>0</v>
      </c>
      <c r="W122" s="85">
        <v>0</v>
      </c>
      <c r="X122" s="85">
        <v>0</v>
      </c>
      <c r="Y122" s="85">
        <v>0</v>
      </c>
      <c r="Z122" s="85">
        <v>0</v>
      </c>
      <c r="AA122" s="85">
        <v>0</v>
      </c>
      <c r="AB122" s="85">
        <v>0</v>
      </c>
      <c r="AC122" s="85">
        <v>0</v>
      </c>
      <c r="AD122" s="85">
        <v>0</v>
      </c>
      <c r="AE122" s="85">
        <v>0</v>
      </c>
      <c r="AF122" s="85">
        <v>0</v>
      </c>
      <c r="AG122" s="85">
        <v>0</v>
      </c>
      <c r="AH122" s="85">
        <v>0</v>
      </c>
      <c r="AI122" s="80">
        <f t="shared" si="29"/>
        <v>1612.3167833708999</v>
      </c>
    </row>
    <row r="123" spans="1:35">
      <c r="A123" s="159"/>
      <c r="B123" s="339" t="s">
        <v>508</v>
      </c>
      <c r="C123" s="356">
        <v>0</v>
      </c>
      <c r="D123" s="356">
        <v>0</v>
      </c>
      <c r="E123" s="356">
        <v>0</v>
      </c>
      <c r="F123" s="356">
        <v>1071.04688297855</v>
      </c>
      <c r="G123" s="356">
        <v>0</v>
      </c>
      <c r="H123" s="356">
        <v>0</v>
      </c>
      <c r="I123" s="356">
        <v>0</v>
      </c>
      <c r="J123" s="80">
        <v>0</v>
      </c>
      <c r="K123" s="356">
        <v>0</v>
      </c>
      <c r="L123" s="356">
        <v>0</v>
      </c>
      <c r="M123" s="356">
        <v>0</v>
      </c>
      <c r="N123" s="356">
        <v>0</v>
      </c>
      <c r="O123" s="356">
        <v>0</v>
      </c>
      <c r="P123" s="356">
        <v>0</v>
      </c>
      <c r="Q123" s="356">
        <v>0</v>
      </c>
      <c r="R123" s="356">
        <v>0</v>
      </c>
      <c r="S123" s="356">
        <v>0</v>
      </c>
      <c r="T123" s="356">
        <v>0</v>
      </c>
      <c r="U123" s="356">
        <v>0</v>
      </c>
      <c r="V123" s="356">
        <v>0</v>
      </c>
      <c r="W123" s="356">
        <v>0</v>
      </c>
      <c r="X123" s="356">
        <v>0</v>
      </c>
      <c r="Y123" s="356">
        <v>0</v>
      </c>
      <c r="Z123" s="356">
        <v>0</v>
      </c>
      <c r="AA123" s="356">
        <v>0</v>
      </c>
      <c r="AB123" s="356">
        <v>0</v>
      </c>
      <c r="AC123" s="356">
        <v>0</v>
      </c>
      <c r="AD123" s="356">
        <v>0</v>
      </c>
      <c r="AE123" s="356">
        <v>0</v>
      </c>
      <c r="AF123" s="356">
        <v>0</v>
      </c>
      <c r="AG123" s="356">
        <v>0</v>
      </c>
      <c r="AH123" s="356">
        <v>0</v>
      </c>
      <c r="AI123" s="80">
        <f t="shared" si="29"/>
        <v>1071.04688297855</v>
      </c>
    </row>
    <row r="124" spans="1:35">
      <c r="A124" s="159"/>
      <c r="B124" s="339" t="s">
        <v>620</v>
      </c>
      <c r="C124" s="356">
        <v>0</v>
      </c>
      <c r="D124" s="356">
        <v>1889.6149356762701</v>
      </c>
      <c r="E124" s="356">
        <v>0</v>
      </c>
      <c r="F124" s="356">
        <v>0</v>
      </c>
      <c r="G124" s="356">
        <v>0</v>
      </c>
      <c r="H124" s="356">
        <v>0</v>
      </c>
      <c r="I124" s="356">
        <v>0</v>
      </c>
      <c r="J124" s="80">
        <v>0</v>
      </c>
      <c r="K124" s="356">
        <v>0</v>
      </c>
      <c r="L124" s="356">
        <v>0</v>
      </c>
      <c r="M124" s="356">
        <v>0</v>
      </c>
      <c r="N124" s="356">
        <v>0</v>
      </c>
      <c r="O124" s="356">
        <v>0</v>
      </c>
      <c r="P124" s="356">
        <v>0</v>
      </c>
      <c r="Q124" s="356">
        <v>0</v>
      </c>
      <c r="R124" s="356">
        <v>0</v>
      </c>
      <c r="S124" s="356">
        <v>0</v>
      </c>
      <c r="T124" s="356">
        <v>0</v>
      </c>
      <c r="U124" s="356">
        <v>0</v>
      </c>
      <c r="V124" s="356">
        <v>0</v>
      </c>
      <c r="W124" s="356">
        <v>0</v>
      </c>
      <c r="X124" s="356">
        <v>0</v>
      </c>
      <c r="Y124" s="356">
        <v>0</v>
      </c>
      <c r="Z124" s="356">
        <v>0</v>
      </c>
      <c r="AA124" s="356">
        <v>0</v>
      </c>
      <c r="AB124" s="356">
        <v>0</v>
      </c>
      <c r="AC124" s="356">
        <v>0</v>
      </c>
      <c r="AD124" s="356">
        <v>0</v>
      </c>
      <c r="AE124" s="356">
        <v>0</v>
      </c>
      <c r="AF124" s="356">
        <v>0</v>
      </c>
      <c r="AG124" s="356">
        <v>0</v>
      </c>
      <c r="AH124" s="356">
        <v>0</v>
      </c>
      <c r="AI124" s="80">
        <f t="shared" si="29"/>
        <v>1889.6149356762701</v>
      </c>
    </row>
    <row r="125" spans="1:35">
      <c r="A125" s="159"/>
      <c r="B125" s="339" t="s">
        <v>509</v>
      </c>
      <c r="C125" s="356">
        <v>0</v>
      </c>
      <c r="D125" s="356">
        <v>1043.4927788797099</v>
      </c>
      <c r="E125" s="356">
        <v>0</v>
      </c>
      <c r="F125" s="356">
        <v>0</v>
      </c>
      <c r="G125" s="356">
        <v>0</v>
      </c>
      <c r="H125" s="356">
        <v>0</v>
      </c>
      <c r="I125" s="356">
        <v>0</v>
      </c>
      <c r="J125" s="80">
        <v>0</v>
      </c>
      <c r="K125" s="356">
        <v>0</v>
      </c>
      <c r="L125" s="356">
        <v>0</v>
      </c>
      <c r="M125" s="356">
        <v>0</v>
      </c>
      <c r="N125" s="356">
        <v>0</v>
      </c>
      <c r="O125" s="356">
        <v>0</v>
      </c>
      <c r="P125" s="356">
        <v>0</v>
      </c>
      <c r="Q125" s="356">
        <v>0</v>
      </c>
      <c r="R125" s="356">
        <v>0</v>
      </c>
      <c r="S125" s="356">
        <v>0</v>
      </c>
      <c r="T125" s="356">
        <v>0</v>
      </c>
      <c r="U125" s="356">
        <v>0</v>
      </c>
      <c r="V125" s="356">
        <v>0</v>
      </c>
      <c r="W125" s="356">
        <v>0</v>
      </c>
      <c r="X125" s="356">
        <v>0</v>
      </c>
      <c r="Y125" s="356">
        <v>0</v>
      </c>
      <c r="Z125" s="356">
        <v>0</v>
      </c>
      <c r="AA125" s="356">
        <v>0</v>
      </c>
      <c r="AB125" s="356">
        <v>0</v>
      </c>
      <c r="AC125" s="356">
        <v>0</v>
      </c>
      <c r="AD125" s="356">
        <v>0</v>
      </c>
      <c r="AE125" s="356">
        <v>0</v>
      </c>
      <c r="AF125" s="356">
        <v>0</v>
      </c>
      <c r="AG125" s="356">
        <v>0</v>
      </c>
      <c r="AH125" s="356">
        <v>0</v>
      </c>
      <c r="AI125" s="80">
        <f t="shared" si="29"/>
        <v>1043.4927788797099</v>
      </c>
    </row>
    <row r="126" spans="1:35">
      <c r="A126" s="159"/>
      <c r="B126" s="364" t="s">
        <v>569</v>
      </c>
      <c r="C126" s="340">
        <v>2377.1319386927098</v>
      </c>
      <c r="D126" s="340">
        <v>0</v>
      </c>
      <c r="E126" s="340">
        <v>0</v>
      </c>
      <c r="F126" s="340">
        <v>0</v>
      </c>
      <c r="G126" s="340">
        <v>0</v>
      </c>
      <c r="H126" s="340">
        <v>0</v>
      </c>
      <c r="I126" s="340">
        <v>0</v>
      </c>
      <c r="J126" s="80">
        <v>0</v>
      </c>
      <c r="K126" s="340">
        <v>0</v>
      </c>
      <c r="L126" s="340">
        <v>0</v>
      </c>
      <c r="M126" s="340">
        <v>0</v>
      </c>
      <c r="N126" s="340">
        <v>0</v>
      </c>
      <c r="O126" s="340">
        <v>0</v>
      </c>
      <c r="P126" s="340">
        <v>0</v>
      </c>
      <c r="Q126" s="340">
        <v>0</v>
      </c>
      <c r="R126" s="340">
        <v>0</v>
      </c>
      <c r="S126" s="340">
        <v>0</v>
      </c>
      <c r="T126" s="340">
        <v>0</v>
      </c>
      <c r="U126" s="340">
        <v>0</v>
      </c>
      <c r="V126" s="340">
        <v>0</v>
      </c>
      <c r="W126" s="340">
        <v>0</v>
      </c>
      <c r="X126" s="340">
        <v>0</v>
      </c>
      <c r="Y126" s="340">
        <v>0</v>
      </c>
      <c r="Z126" s="340">
        <v>0</v>
      </c>
      <c r="AA126" s="340">
        <v>0</v>
      </c>
      <c r="AB126" s="340">
        <v>0</v>
      </c>
      <c r="AC126" s="340">
        <v>0</v>
      </c>
      <c r="AD126" s="340">
        <v>0</v>
      </c>
      <c r="AE126" s="340">
        <v>0</v>
      </c>
      <c r="AF126" s="340">
        <v>0</v>
      </c>
      <c r="AG126" s="340">
        <v>0</v>
      </c>
      <c r="AH126" s="340">
        <v>0</v>
      </c>
      <c r="AI126" s="80">
        <f t="shared" si="29"/>
        <v>2377.1319386927098</v>
      </c>
    </row>
    <row r="127" spans="1:35">
      <c r="A127" s="159"/>
      <c r="B127" s="364" t="s">
        <v>79</v>
      </c>
      <c r="C127" s="340">
        <v>0</v>
      </c>
      <c r="D127" s="340">
        <v>9625.3864849999991</v>
      </c>
      <c r="E127" s="340">
        <v>7757.6480259999998</v>
      </c>
      <c r="F127" s="340">
        <v>9424.9517798400011</v>
      </c>
      <c r="G127" s="340">
        <v>10939.764891999999</v>
      </c>
      <c r="H127" s="340">
        <v>10562.539717</v>
      </c>
      <c r="I127" s="340">
        <v>376.29992600000003</v>
      </c>
      <c r="J127" s="80">
        <v>0</v>
      </c>
      <c r="K127" s="340">
        <v>0</v>
      </c>
      <c r="L127" s="340">
        <v>1326.5758290000001</v>
      </c>
      <c r="M127" s="340">
        <v>0</v>
      </c>
      <c r="N127" s="340">
        <v>0</v>
      </c>
      <c r="O127" s="340">
        <v>0</v>
      </c>
      <c r="P127" s="340">
        <v>0</v>
      </c>
      <c r="Q127" s="340">
        <v>0</v>
      </c>
      <c r="R127" s="340">
        <v>0</v>
      </c>
      <c r="S127" s="340">
        <v>0</v>
      </c>
      <c r="T127" s="340">
        <v>0</v>
      </c>
      <c r="U127" s="340">
        <v>0</v>
      </c>
      <c r="V127" s="340">
        <v>0</v>
      </c>
      <c r="W127" s="340">
        <v>0</v>
      </c>
      <c r="X127" s="340">
        <v>0</v>
      </c>
      <c r="Y127" s="340">
        <v>0</v>
      </c>
      <c r="Z127" s="340">
        <v>0</v>
      </c>
      <c r="AA127" s="340">
        <v>0</v>
      </c>
      <c r="AB127" s="340">
        <v>0</v>
      </c>
      <c r="AC127" s="340">
        <v>0</v>
      </c>
      <c r="AD127" s="340">
        <v>0</v>
      </c>
      <c r="AE127" s="340">
        <v>0</v>
      </c>
      <c r="AF127" s="340">
        <v>0</v>
      </c>
      <c r="AG127" s="340">
        <v>0</v>
      </c>
      <c r="AH127" s="340">
        <v>0</v>
      </c>
      <c r="AI127" s="80">
        <f t="shared" si="29"/>
        <v>50013.166654840003</v>
      </c>
    </row>
    <row r="128" spans="1:35">
      <c r="A128" s="159"/>
      <c r="B128" s="364" t="s">
        <v>566</v>
      </c>
      <c r="C128" s="340">
        <v>243.89262499999995</v>
      </c>
      <c r="D128" s="340">
        <v>359.39327499999996</v>
      </c>
      <c r="E128" s="340">
        <v>365.23127499999998</v>
      </c>
      <c r="F128" s="340">
        <v>370.85627499999998</v>
      </c>
      <c r="G128" s="340">
        <v>370.85627499999998</v>
      </c>
      <c r="H128" s="340">
        <v>370.85627499999998</v>
      </c>
      <c r="I128" s="340">
        <v>370.85627499999998</v>
      </c>
      <c r="J128" s="80">
        <v>370.85627499999998</v>
      </c>
      <c r="K128" s="340">
        <v>370.85627499999998</v>
      </c>
      <c r="L128" s="340">
        <v>370.85627499999998</v>
      </c>
      <c r="M128" s="340">
        <v>370.85627499999998</v>
      </c>
      <c r="N128" s="340">
        <v>370.85627499999998</v>
      </c>
      <c r="O128" s="340">
        <v>370.85627499999998</v>
      </c>
      <c r="P128" s="340">
        <v>370.85627499999998</v>
      </c>
      <c r="Q128" s="340">
        <v>370.85627499999998</v>
      </c>
      <c r="R128" s="340">
        <v>370.85627499999998</v>
      </c>
      <c r="S128" s="340">
        <v>370.85627499999998</v>
      </c>
      <c r="T128" s="340">
        <v>370.85627499999998</v>
      </c>
      <c r="U128" s="340">
        <v>370.85627499999998</v>
      </c>
      <c r="V128" s="340">
        <v>322.17022499999996</v>
      </c>
      <c r="W128" s="340">
        <v>126.96365000000003</v>
      </c>
      <c r="X128" s="340">
        <v>11.463000000000001</v>
      </c>
      <c r="Y128" s="340">
        <v>5.625</v>
      </c>
      <c r="Z128" s="340">
        <v>0</v>
      </c>
      <c r="AA128" s="340">
        <v>0</v>
      </c>
      <c r="AB128" s="340">
        <v>0</v>
      </c>
      <c r="AC128" s="340">
        <v>0</v>
      </c>
      <c r="AD128" s="340">
        <v>0</v>
      </c>
      <c r="AE128" s="340">
        <v>0</v>
      </c>
      <c r="AF128" s="340">
        <v>0</v>
      </c>
      <c r="AG128" s="340">
        <v>0</v>
      </c>
      <c r="AH128" s="340">
        <v>0</v>
      </c>
      <c r="AI128" s="80">
        <f t="shared" si="29"/>
        <v>7368.4394499999999</v>
      </c>
    </row>
    <row r="129" spans="1:35">
      <c r="A129" s="159"/>
      <c r="B129" s="339" t="s">
        <v>220</v>
      </c>
      <c r="C129" s="340">
        <f t="shared" ref="C129:AH129" si="30">+C130+C131</f>
        <v>22985.734128645327</v>
      </c>
      <c r="D129" s="340">
        <f t="shared" si="30"/>
        <v>232.981393</v>
      </c>
      <c r="E129" s="340">
        <f t="shared" si="30"/>
        <v>211.22348400000001</v>
      </c>
      <c r="F129" s="340">
        <f t="shared" si="30"/>
        <v>448.02578199999999</v>
      </c>
      <c r="G129" s="340">
        <f t="shared" si="30"/>
        <v>45.310327000000001</v>
      </c>
      <c r="H129" s="340">
        <f t="shared" si="30"/>
        <v>0</v>
      </c>
      <c r="I129" s="340">
        <f t="shared" si="30"/>
        <v>0</v>
      </c>
      <c r="J129" s="340">
        <f t="shared" si="30"/>
        <v>0</v>
      </c>
      <c r="K129" s="340">
        <f t="shared" si="30"/>
        <v>0</v>
      </c>
      <c r="L129" s="340">
        <f t="shared" si="30"/>
        <v>0</v>
      </c>
      <c r="M129" s="340">
        <f t="shared" si="30"/>
        <v>0</v>
      </c>
      <c r="N129" s="340">
        <f t="shared" si="30"/>
        <v>0</v>
      </c>
      <c r="O129" s="340">
        <f t="shared" si="30"/>
        <v>0</v>
      </c>
      <c r="P129" s="340">
        <f t="shared" si="30"/>
        <v>0</v>
      </c>
      <c r="Q129" s="340">
        <f t="shared" si="30"/>
        <v>0</v>
      </c>
      <c r="R129" s="340">
        <f t="shared" si="30"/>
        <v>0</v>
      </c>
      <c r="S129" s="340">
        <f t="shared" si="30"/>
        <v>0</v>
      </c>
      <c r="T129" s="340">
        <f t="shared" si="30"/>
        <v>0</v>
      </c>
      <c r="U129" s="340">
        <f t="shared" si="30"/>
        <v>0</v>
      </c>
      <c r="V129" s="340">
        <f t="shared" si="30"/>
        <v>0</v>
      </c>
      <c r="W129" s="340">
        <f t="shared" si="30"/>
        <v>0</v>
      </c>
      <c r="X129" s="340">
        <f t="shared" si="30"/>
        <v>0</v>
      </c>
      <c r="Y129" s="340">
        <f t="shared" si="30"/>
        <v>0</v>
      </c>
      <c r="Z129" s="340">
        <f t="shared" si="30"/>
        <v>0</v>
      </c>
      <c r="AA129" s="340">
        <f t="shared" si="30"/>
        <v>0</v>
      </c>
      <c r="AB129" s="340">
        <f t="shared" si="30"/>
        <v>0</v>
      </c>
      <c r="AC129" s="340">
        <f t="shared" si="30"/>
        <v>0</v>
      </c>
      <c r="AD129" s="340">
        <f t="shared" si="30"/>
        <v>0</v>
      </c>
      <c r="AE129" s="340">
        <f t="shared" si="30"/>
        <v>0</v>
      </c>
      <c r="AF129" s="340">
        <f t="shared" si="30"/>
        <v>0</v>
      </c>
      <c r="AG129" s="340">
        <f t="shared" si="30"/>
        <v>0</v>
      </c>
      <c r="AH129" s="340">
        <f t="shared" si="30"/>
        <v>0</v>
      </c>
      <c r="AI129" s="80">
        <f t="shared" si="29"/>
        <v>23923.275114645323</v>
      </c>
    </row>
    <row r="130" spans="1:35">
      <c r="A130" s="159"/>
      <c r="B130" s="347" t="s">
        <v>72</v>
      </c>
      <c r="C130" s="343">
        <v>13097.031029045327</v>
      </c>
      <c r="D130" s="343">
        <v>0</v>
      </c>
      <c r="E130" s="343">
        <v>0</v>
      </c>
      <c r="F130" s="343">
        <v>0</v>
      </c>
      <c r="G130" s="343">
        <v>0</v>
      </c>
      <c r="H130" s="343">
        <v>0</v>
      </c>
      <c r="I130" s="343">
        <v>0</v>
      </c>
      <c r="J130" s="83">
        <v>0</v>
      </c>
      <c r="K130" s="343">
        <v>0</v>
      </c>
      <c r="L130" s="343">
        <v>0</v>
      </c>
      <c r="M130" s="343">
        <v>0</v>
      </c>
      <c r="N130" s="343">
        <v>0</v>
      </c>
      <c r="O130" s="343">
        <v>0</v>
      </c>
      <c r="P130" s="343">
        <v>0</v>
      </c>
      <c r="Q130" s="343">
        <v>0</v>
      </c>
      <c r="R130" s="343">
        <v>0</v>
      </c>
      <c r="S130" s="343">
        <v>0</v>
      </c>
      <c r="T130" s="343">
        <v>0</v>
      </c>
      <c r="U130" s="343">
        <v>0</v>
      </c>
      <c r="V130" s="343">
        <v>0</v>
      </c>
      <c r="W130" s="343">
        <v>0</v>
      </c>
      <c r="X130" s="343">
        <v>0</v>
      </c>
      <c r="Y130" s="343">
        <v>0</v>
      </c>
      <c r="Z130" s="343">
        <v>0</v>
      </c>
      <c r="AA130" s="343">
        <v>0</v>
      </c>
      <c r="AB130" s="343">
        <v>0</v>
      </c>
      <c r="AC130" s="343">
        <v>0</v>
      </c>
      <c r="AD130" s="343">
        <v>0</v>
      </c>
      <c r="AE130" s="343">
        <v>0</v>
      </c>
      <c r="AF130" s="343">
        <v>0</v>
      </c>
      <c r="AG130" s="343">
        <v>0</v>
      </c>
      <c r="AH130" s="343">
        <v>0</v>
      </c>
      <c r="AI130" s="83">
        <f t="shared" si="29"/>
        <v>13097.031029045327</v>
      </c>
    </row>
    <row r="131" spans="1:35">
      <c r="A131" s="159"/>
      <c r="B131" s="377" t="s">
        <v>70</v>
      </c>
      <c r="C131" s="344">
        <v>9888.7030995999994</v>
      </c>
      <c r="D131" s="344">
        <v>232.981393</v>
      </c>
      <c r="E131" s="344">
        <v>211.22348400000001</v>
      </c>
      <c r="F131" s="344">
        <v>448.02578199999999</v>
      </c>
      <c r="G131" s="344">
        <v>45.310327000000001</v>
      </c>
      <c r="H131" s="344">
        <v>0</v>
      </c>
      <c r="I131" s="344">
        <v>0</v>
      </c>
      <c r="J131" s="82">
        <v>0</v>
      </c>
      <c r="K131" s="344">
        <v>0</v>
      </c>
      <c r="L131" s="344">
        <v>0</v>
      </c>
      <c r="M131" s="344">
        <v>0</v>
      </c>
      <c r="N131" s="344">
        <v>0</v>
      </c>
      <c r="O131" s="344">
        <v>0</v>
      </c>
      <c r="P131" s="344">
        <v>0</v>
      </c>
      <c r="Q131" s="344">
        <v>0</v>
      </c>
      <c r="R131" s="344">
        <v>0</v>
      </c>
      <c r="S131" s="344">
        <v>0</v>
      </c>
      <c r="T131" s="344">
        <v>0</v>
      </c>
      <c r="U131" s="344">
        <v>0</v>
      </c>
      <c r="V131" s="344">
        <v>0</v>
      </c>
      <c r="W131" s="344">
        <v>0</v>
      </c>
      <c r="X131" s="344">
        <v>0</v>
      </c>
      <c r="Y131" s="344">
        <v>0</v>
      </c>
      <c r="Z131" s="344">
        <v>0</v>
      </c>
      <c r="AA131" s="344">
        <v>0</v>
      </c>
      <c r="AB131" s="344">
        <v>0</v>
      </c>
      <c r="AC131" s="344">
        <v>0</v>
      </c>
      <c r="AD131" s="344">
        <v>0</v>
      </c>
      <c r="AE131" s="344">
        <v>0</v>
      </c>
      <c r="AF131" s="344">
        <v>0</v>
      </c>
      <c r="AG131" s="344">
        <v>0</v>
      </c>
      <c r="AH131" s="344">
        <v>0</v>
      </c>
      <c r="AI131" s="82">
        <f t="shared" si="29"/>
        <v>10826.244085599999</v>
      </c>
    </row>
    <row r="132" spans="1:35">
      <c r="A132" s="159"/>
      <c r="B132" s="339" t="s">
        <v>344</v>
      </c>
      <c r="C132" s="340">
        <f t="shared" ref="C132:AH132" si="31">+C133+C140</f>
        <v>108.65734797000736</v>
      </c>
      <c r="D132" s="340">
        <f t="shared" si="31"/>
        <v>94.425717408320338</v>
      </c>
      <c r="E132" s="340">
        <f t="shared" si="31"/>
        <v>103.90648176377573</v>
      </c>
      <c r="F132" s="340">
        <f t="shared" si="31"/>
        <v>50.182150416083942</v>
      </c>
      <c r="G132" s="340">
        <f t="shared" si="31"/>
        <v>14.658703458793344</v>
      </c>
      <c r="H132" s="340">
        <f t="shared" si="31"/>
        <v>0.14716815844394401</v>
      </c>
      <c r="I132" s="340">
        <f t="shared" si="31"/>
        <v>0.14716815844394401</v>
      </c>
      <c r="J132" s="340">
        <f t="shared" si="31"/>
        <v>0.68316816844394401</v>
      </c>
      <c r="K132" s="340">
        <f t="shared" si="31"/>
        <v>0.14716815844394401</v>
      </c>
      <c r="L132" s="340">
        <f t="shared" si="31"/>
        <v>0.14716815844394401</v>
      </c>
      <c r="M132" s="340">
        <f t="shared" si="31"/>
        <v>0.14716815844394401</v>
      </c>
      <c r="N132" s="340">
        <f t="shared" si="31"/>
        <v>0.14716815844394401</v>
      </c>
      <c r="O132" s="340">
        <f t="shared" si="31"/>
        <v>0.14716815844394401</v>
      </c>
      <c r="P132" s="340">
        <f t="shared" si="31"/>
        <v>0.14716815844394401</v>
      </c>
      <c r="Q132" s="340">
        <f t="shared" si="31"/>
        <v>0.14716815844394401</v>
      </c>
      <c r="R132" s="340">
        <f t="shared" si="31"/>
        <v>0.14716815844394401</v>
      </c>
      <c r="S132" s="340">
        <f t="shared" si="31"/>
        <v>0.14716815844394401</v>
      </c>
      <c r="T132" s="340">
        <f t="shared" si="31"/>
        <v>0.14716815844394401</v>
      </c>
      <c r="U132" s="340">
        <f t="shared" si="31"/>
        <v>0.14716815844394401</v>
      </c>
      <c r="V132" s="340">
        <f t="shared" si="31"/>
        <v>0.14716815844394401</v>
      </c>
      <c r="W132" s="340">
        <f t="shared" si="31"/>
        <v>0.14716815844394401</v>
      </c>
      <c r="X132" s="340">
        <f t="shared" si="31"/>
        <v>0.14716815844394401</v>
      </c>
      <c r="Y132" s="340">
        <f t="shared" si="31"/>
        <v>0.14716815844394401</v>
      </c>
      <c r="Z132" s="340">
        <f t="shared" si="31"/>
        <v>0.14716815844394401</v>
      </c>
      <c r="AA132" s="340">
        <f t="shared" si="31"/>
        <v>0.14716815844394401</v>
      </c>
      <c r="AB132" s="340">
        <f t="shared" si="31"/>
        <v>0.14716815844394401</v>
      </c>
      <c r="AC132" s="340">
        <f t="shared" si="31"/>
        <v>0.14716815844394401</v>
      </c>
      <c r="AD132" s="340">
        <f t="shared" si="31"/>
        <v>0.14716815844394401</v>
      </c>
      <c r="AE132" s="340">
        <f t="shared" si="31"/>
        <v>0.14716815844394401</v>
      </c>
      <c r="AF132" s="340">
        <f t="shared" si="31"/>
        <v>0.14716815844394401</v>
      </c>
      <c r="AG132" s="340">
        <f t="shared" si="31"/>
        <v>0.14716815844394401</v>
      </c>
      <c r="AH132" s="340">
        <f t="shared" si="31"/>
        <v>8.6829213491944408</v>
      </c>
      <c r="AI132" s="80">
        <f t="shared" si="29"/>
        <v>384.87569449571777</v>
      </c>
    </row>
    <row r="133" spans="1:35">
      <c r="A133" s="159"/>
      <c r="B133" s="346" t="s">
        <v>72</v>
      </c>
      <c r="C133" s="367">
        <f t="shared" ref="C133:AH133" si="32">+C134+C137</f>
        <v>95.412606820007369</v>
      </c>
      <c r="D133" s="367">
        <f t="shared" si="32"/>
        <v>94.425717408320338</v>
      </c>
      <c r="E133" s="367">
        <f t="shared" si="32"/>
        <v>103.90648176377573</v>
      </c>
      <c r="F133" s="367">
        <f t="shared" si="32"/>
        <v>50.182150416083942</v>
      </c>
      <c r="G133" s="367">
        <f t="shared" si="32"/>
        <v>14.658703458793344</v>
      </c>
      <c r="H133" s="367">
        <f t="shared" si="32"/>
        <v>0.14716815844394401</v>
      </c>
      <c r="I133" s="367">
        <f t="shared" si="32"/>
        <v>0.14716815844394401</v>
      </c>
      <c r="J133" s="367">
        <f t="shared" si="32"/>
        <v>0.14716815844394401</v>
      </c>
      <c r="K133" s="367">
        <f t="shared" si="32"/>
        <v>0.14716815844394401</v>
      </c>
      <c r="L133" s="367">
        <f t="shared" si="32"/>
        <v>0.14716815844394401</v>
      </c>
      <c r="M133" s="367">
        <f t="shared" si="32"/>
        <v>0.14716815844394401</v>
      </c>
      <c r="N133" s="367">
        <f t="shared" si="32"/>
        <v>0.14716815844394401</v>
      </c>
      <c r="O133" s="367">
        <f t="shared" si="32"/>
        <v>0.14716815844394401</v>
      </c>
      <c r="P133" s="367">
        <f t="shared" si="32"/>
        <v>0.14716815844394401</v>
      </c>
      <c r="Q133" s="367">
        <f t="shared" si="32"/>
        <v>0.14716815844394401</v>
      </c>
      <c r="R133" s="367">
        <f t="shared" si="32"/>
        <v>0.14716815844394401</v>
      </c>
      <c r="S133" s="367">
        <f t="shared" si="32"/>
        <v>0.14716815844394401</v>
      </c>
      <c r="T133" s="367">
        <f t="shared" si="32"/>
        <v>0.14716815844394401</v>
      </c>
      <c r="U133" s="367">
        <f t="shared" si="32"/>
        <v>0.14716815844394401</v>
      </c>
      <c r="V133" s="367">
        <f t="shared" si="32"/>
        <v>0.14716815844394401</v>
      </c>
      <c r="W133" s="367">
        <f t="shared" si="32"/>
        <v>0.14716815844394401</v>
      </c>
      <c r="X133" s="367">
        <f t="shared" si="32"/>
        <v>0.14716815844394401</v>
      </c>
      <c r="Y133" s="367">
        <f t="shared" si="32"/>
        <v>0.14716815844394401</v>
      </c>
      <c r="Z133" s="367">
        <f t="shared" si="32"/>
        <v>0.14716815844394401</v>
      </c>
      <c r="AA133" s="367">
        <f t="shared" si="32"/>
        <v>0.14716815844394401</v>
      </c>
      <c r="AB133" s="367">
        <f t="shared" si="32"/>
        <v>0.14716815844394401</v>
      </c>
      <c r="AC133" s="367">
        <f t="shared" si="32"/>
        <v>0.14716815844394401</v>
      </c>
      <c r="AD133" s="367">
        <f t="shared" si="32"/>
        <v>0.14716815844394401</v>
      </c>
      <c r="AE133" s="367">
        <f t="shared" si="32"/>
        <v>0.14716815844394401</v>
      </c>
      <c r="AF133" s="367">
        <f t="shared" si="32"/>
        <v>0.14716815844394401</v>
      </c>
      <c r="AG133" s="367">
        <f t="shared" si="32"/>
        <v>0.14716815844394401</v>
      </c>
      <c r="AH133" s="367">
        <f t="shared" si="32"/>
        <v>8.6829213491944408</v>
      </c>
      <c r="AI133" s="94">
        <f t="shared" si="29"/>
        <v>371.09495333571778</v>
      </c>
    </row>
    <row r="134" spans="1:35">
      <c r="A134" s="159"/>
      <c r="B134" s="350" t="s">
        <v>82</v>
      </c>
      <c r="C134" s="368">
        <f t="shared" ref="C134:AH134" si="33">+C135+C136</f>
        <v>51.019356020241133</v>
      </c>
      <c r="D134" s="368">
        <f t="shared" si="33"/>
        <v>50.034982257639996</v>
      </c>
      <c r="E134" s="368">
        <f t="shared" si="33"/>
        <v>50.034982257639996</v>
      </c>
      <c r="F134" s="368">
        <f t="shared" si="33"/>
        <v>50.034982257639996</v>
      </c>
      <c r="G134" s="368">
        <f t="shared" si="33"/>
        <v>14.511535300349399</v>
      </c>
      <c r="H134" s="368">
        <f t="shared" si="33"/>
        <v>0</v>
      </c>
      <c r="I134" s="368">
        <f t="shared" si="33"/>
        <v>0</v>
      </c>
      <c r="J134" s="368">
        <f t="shared" si="33"/>
        <v>0</v>
      </c>
      <c r="K134" s="368">
        <f t="shared" si="33"/>
        <v>0</v>
      </c>
      <c r="L134" s="368">
        <f t="shared" si="33"/>
        <v>0</v>
      </c>
      <c r="M134" s="368">
        <f t="shared" si="33"/>
        <v>0</v>
      </c>
      <c r="N134" s="368">
        <f t="shared" si="33"/>
        <v>0</v>
      </c>
      <c r="O134" s="368">
        <f t="shared" si="33"/>
        <v>0</v>
      </c>
      <c r="P134" s="368">
        <f t="shared" si="33"/>
        <v>0</v>
      </c>
      <c r="Q134" s="368">
        <f t="shared" si="33"/>
        <v>0</v>
      </c>
      <c r="R134" s="368">
        <f t="shared" si="33"/>
        <v>0</v>
      </c>
      <c r="S134" s="368">
        <f t="shared" si="33"/>
        <v>0</v>
      </c>
      <c r="T134" s="368">
        <f t="shared" si="33"/>
        <v>0</v>
      </c>
      <c r="U134" s="368">
        <f t="shared" si="33"/>
        <v>0</v>
      </c>
      <c r="V134" s="368">
        <f t="shared" si="33"/>
        <v>0</v>
      </c>
      <c r="W134" s="368">
        <f t="shared" si="33"/>
        <v>0</v>
      </c>
      <c r="X134" s="368">
        <f t="shared" si="33"/>
        <v>0</v>
      </c>
      <c r="Y134" s="368">
        <f t="shared" si="33"/>
        <v>0</v>
      </c>
      <c r="Z134" s="368">
        <f t="shared" si="33"/>
        <v>0</v>
      </c>
      <c r="AA134" s="368">
        <f t="shared" si="33"/>
        <v>0</v>
      </c>
      <c r="AB134" s="368">
        <f t="shared" si="33"/>
        <v>0</v>
      </c>
      <c r="AC134" s="368">
        <f t="shared" si="33"/>
        <v>0</v>
      </c>
      <c r="AD134" s="368">
        <f t="shared" si="33"/>
        <v>0</v>
      </c>
      <c r="AE134" s="368">
        <f t="shared" si="33"/>
        <v>0</v>
      </c>
      <c r="AF134" s="368">
        <f t="shared" si="33"/>
        <v>0</v>
      </c>
      <c r="AG134" s="368">
        <f t="shared" si="33"/>
        <v>0</v>
      </c>
      <c r="AH134" s="368">
        <f t="shared" si="33"/>
        <v>0</v>
      </c>
      <c r="AI134" s="81">
        <f t="shared" si="29"/>
        <v>215.63583809351053</v>
      </c>
    </row>
    <row r="135" spans="1:35">
      <c r="A135" s="159"/>
      <c r="B135" s="350" t="s">
        <v>813</v>
      </c>
      <c r="C135" s="368">
        <v>50.889858579418501</v>
      </c>
      <c r="D135" s="368">
        <v>50.034982257639996</v>
      </c>
      <c r="E135" s="368">
        <v>50.034982257639996</v>
      </c>
      <c r="F135" s="368">
        <v>50.034982257639996</v>
      </c>
      <c r="G135" s="368">
        <v>14.511535300349399</v>
      </c>
      <c r="H135" s="368">
        <v>0</v>
      </c>
      <c r="I135" s="368">
        <v>0</v>
      </c>
      <c r="J135" s="81">
        <v>0</v>
      </c>
      <c r="K135" s="368">
        <v>0</v>
      </c>
      <c r="L135" s="368">
        <v>0</v>
      </c>
      <c r="M135" s="368">
        <v>0</v>
      </c>
      <c r="N135" s="368">
        <v>0</v>
      </c>
      <c r="O135" s="368">
        <v>0</v>
      </c>
      <c r="P135" s="368">
        <v>0</v>
      </c>
      <c r="Q135" s="368">
        <v>0</v>
      </c>
      <c r="R135" s="368">
        <v>0</v>
      </c>
      <c r="S135" s="368">
        <v>0</v>
      </c>
      <c r="T135" s="368">
        <v>0</v>
      </c>
      <c r="U135" s="368">
        <v>0</v>
      </c>
      <c r="V135" s="368">
        <v>0</v>
      </c>
      <c r="W135" s="368">
        <v>0</v>
      </c>
      <c r="X135" s="368">
        <v>0</v>
      </c>
      <c r="Y135" s="368">
        <v>0</v>
      </c>
      <c r="Z135" s="368">
        <v>0</v>
      </c>
      <c r="AA135" s="368">
        <v>0</v>
      </c>
      <c r="AB135" s="368">
        <v>0</v>
      </c>
      <c r="AC135" s="368">
        <v>0</v>
      </c>
      <c r="AD135" s="368">
        <v>0</v>
      </c>
      <c r="AE135" s="368">
        <v>0</v>
      </c>
      <c r="AF135" s="368">
        <v>0</v>
      </c>
      <c r="AG135" s="368">
        <v>0</v>
      </c>
      <c r="AH135" s="368">
        <v>0</v>
      </c>
      <c r="AI135" s="81">
        <f t="shared" si="29"/>
        <v>215.5063406526879</v>
      </c>
    </row>
    <row r="136" spans="1:35">
      <c r="A136" s="159"/>
      <c r="B136" s="350" t="s">
        <v>85</v>
      </c>
      <c r="C136" s="368">
        <v>0.1294974408226332</v>
      </c>
      <c r="D136" s="368">
        <v>0</v>
      </c>
      <c r="E136" s="368">
        <v>0</v>
      </c>
      <c r="F136" s="368">
        <v>0</v>
      </c>
      <c r="G136" s="368">
        <v>0</v>
      </c>
      <c r="H136" s="368">
        <v>0</v>
      </c>
      <c r="I136" s="368">
        <v>0</v>
      </c>
      <c r="J136" s="81">
        <v>0</v>
      </c>
      <c r="K136" s="368">
        <v>0</v>
      </c>
      <c r="L136" s="368">
        <v>0</v>
      </c>
      <c r="M136" s="368">
        <v>0</v>
      </c>
      <c r="N136" s="368">
        <v>0</v>
      </c>
      <c r="O136" s="368">
        <v>0</v>
      </c>
      <c r="P136" s="368">
        <v>0</v>
      </c>
      <c r="Q136" s="368">
        <v>0</v>
      </c>
      <c r="R136" s="368">
        <v>0</v>
      </c>
      <c r="S136" s="368">
        <v>0</v>
      </c>
      <c r="T136" s="368">
        <v>0</v>
      </c>
      <c r="U136" s="368">
        <v>0</v>
      </c>
      <c r="V136" s="368">
        <v>0</v>
      </c>
      <c r="W136" s="368">
        <v>0</v>
      </c>
      <c r="X136" s="368">
        <v>0</v>
      </c>
      <c r="Y136" s="368">
        <v>0</v>
      </c>
      <c r="Z136" s="368">
        <v>0</v>
      </c>
      <c r="AA136" s="368">
        <v>0</v>
      </c>
      <c r="AB136" s="368">
        <v>0</v>
      </c>
      <c r="AC136" s="368">
        <v>0</v>
      </c>
      <c r="AD136" s="368">
        <v>0</v>
      </c>
      <c r="AE136" s="368">
        <v>0</v>
      </c>
      <c r="AF136" s="368">
        <v>0</v>
      </c>
      <c r="AG136" s="368">
        <v>0</v>
      </c>
      <c r="AH136" s="368">
        <v>0</v>
      </c>
      <c r="AI136" s="81">
        <f t="shared" si="29"/>
        <v>0.1294974408226332</v>
      </c>
    </row>
    <row r="137" spans="1:35">
      <c r="A137" s="159"/>
      <c r="B137" s="369" t="s">
        <v>86</v>
      </c>
      <c r="C137" s="368">
        <f t="shared" ref="C137:AH137" si="34">+C138+C139</f>
        <v>44.393250799766243</v>
      </c>
      <c r="D137" s="368">
        <f t="shared" si="34"/>
        <v>44.390735150680342</v>
      </c>
      <c r="E137" s="368">
        <f t="shared" si="34"/>
        <v>53.871499506135741</v>
      </c>
      <c r="F137" s="368">
        <f t="shared" si="34"/>
        <v>0.14716815844394401</v>
      </c>
      <c r="G137" s="368">
        <f t="shared" si="34"/>
        <v>0.14716815844394401</v>
      </c>
      <c r="H137" s="368">
        <f t="shared" si="34"/>
        <v>0.14716815844394401</v>
      </c>
      <c r="I137" s="368">
        <f t="shared" si="34"/>
        <v>0.14716815844394401</v>
      </c>
      <c r="J137" s="368">
        <f t="shared" si="34"/>
        <v>0.14716815844394401</v>
      </c>
      <c r="K137" s="368">
        <f t="shared" si="34"/>
        <v>0.14716815844394401</v>
      </c>
      <c r="L137" s="368">
        <f t="shared" si="34"/>
        <v>0.14716815844394401</v>
      </c>
      <c r="M137" s="368">
        <f t="shared" si="34"/>
        <v>0.14716815844394401</v>
      </c>
      <c r="N137" s="368">
        <f t="shared" si="34"/>
        <v>0.14716815844394401</v>
      </c>
      <c r="O137" s="368">
        <f t="shared" si="34"/>
        <v>0.14716815844394401</v>
      </c>
      <c r="P137" s="368">
        <f t="shared" si="34"/>
        <v>0.14716815844394401</v>
      </c>
      <c r="Q137" s="368">
        <f t="shared" si="34"/>
        <v>0.14716815844394401</v>
      </c>
      <c r="R137" s="368">
        <f t="shared" si="34"/>
        <v>0.14716815844394401</v>
      </c>
      <c r="S137" s="368">
        <f t="shared" si="34"/>
        <v>0.14716815844394401</v>
      </c>
      <c r="T137" s="368">
        <f t="shared" si="34"/>
        <v>0.14716815844394401</v>
      </c>
      <c r="U137" s="368">
        <f t="shared" si="34"/>
        <v>0.14716815844394401</v>
      </c>
      <c r="V137" s="368">
        <f t="shared" si="34"/>
        <v>0.14716815844394401</v>
      </c>
      <c r="W137" s="368">
        <f t="shared" si="34"/>
        <v>0.14716815844394401</v>
      </c>
      <c r="X137" s="368">
        <f t="shared" si="34"/>
        <v>0.14716815844394401</v>
      </c>
      <c r="Y137" s="368">
        <f t="shared" si="34"/>
        <v>0.14716815844394401</v>
      </c>
      <c r="Z137" s="368">
        <f t="shared" si="34"/>
        <v>0.14716815844394401</v>
      </c>
      <c r="AA137" s="368">
        <f t="shared" si="34"/>
        <v>0.14716815844394401</v>
      </c>
      <c r="AB137" s="368">
        <f t="shared" si="34"/>
        <v>0.14716815844394401</v>
      </c>
      <c r="AC137" s="368">
        <f t="shared" si="34"/>
        <v>0.14716815844394401</v>
      </c>
      <c r="AD137" s="368">
        <f t="shared" si="34"/>
        <v>0.14716815844394401</v>
      </c>
      <c r="AE137" s="368">
        <f t="shared" si="34"/>
        <v>0.14716815844394401</v>
      </c>
      <c r="AF137" s="368">
        <f t="shared" si="34"/>
        <v>0.14716815844394401</v>
      </c>
      <c r="AG137" s="368">
        <f t="shared" si="34"/>
        <v>0.14716815844394401</v>
      </c>
      <c r="AH137" s="368">
        <f t="shared" si="34"/>
        <v>8.6829213491944408</v>
      </c>
      <c r="AI137" s="81">
        <f t="shared" si="29"/>
        <v>155.45911524220725</v>
      </c>
    </row>
    <row r="138" spans="1:35">
      <c r="A138" s="159"/>
      <c r="B138" s="350" t="s">
        <v>813</v>
      </c>
      <c r="C138" s="368">
        <v>44.246082641322296</v>
      </c>
      <c r="D138" s="368">
        <v>44.243566992236396</v>
      </c>
      <c r="E138" s="368">
        <v>53.724331347691795</v>
      </c>
      <c r="F138" s="368">
        <v>0</v>
      </c>
      <c r="G138" s="368">
        <v>0</v>
      </c>
      <c r="H138" s="368">
        <v>0</v>
      </c>
      <c r="I138" s="368">
        <v>0</v>
      </c>
      <c r="J138" s="81">
        <v>0</v>
      </c>
      <c r="K138" s="368">
        <v>0</v>
      </c>
      <c r="L138" s="368">
        <v>0</v>
      </c>
      <c r="M138" s="368">
        <v>0</v>
      </c>
      <c r="N138" s="368">
        <v>0</v>
      </c>
      <c r="O138" s="368">
        <v>0</v>
      </c>
      <c r="P138" s="368">
        <v>0</v>
      </c>
      <c r="Q138" s="368">
        <v>0</v>
      </c>
      <c r="R138" s="368">
        <v>0</v>
      </c>
      <c r="S138" s="368">
        <v>0</v>
      </c>
      <c r="T138" s="368">
        <v>0</v>
      </c>
      <c r="U138" s="368">
        <v>0</v>
      </c>
      <c r="V138" s="368">
        <v>0</v>
      </c>
      <c r="W138" s="368">
        <v>0</v>
      </c>
      <c r="X138" s="368">
        <v>0</v>
      </c>
      <c r="Y138" s="368">
        <v>0</v>
      </c>
      <c r="Z138" s="368">
        <v>0</v>
      </c>
      <c r="AA138" s="368">
        <v>0</v>
      </c>
      <c r="AB138" s="368">
        <v>0</v>
      </c>
      <c r="AC138" s="368">
        <v>0</v>
      </c>
      <c r="AD138" s="368">
        <v>0</v>
      </c>
      <c r="AE138" s="368">
        <v>0</v>
      </c>
      <c r="AF138" s="368">
        <v>0</v>
      </c>
      <c r="AG138" s="368">
        <v>0</v>
      </c>
      <c r="AH138" s="368">
        <v>0</v>
      </c>
      <c r="AI138" s="81">
        <f t="shared" si="29"/>
        <v>142.21398098125047</v>
      </c>
    </row>
    <row r="139" spans="1:35">
      <c r="A139" s="159"/>
      <c r="B139" s="370" t="s">
        <v>85</v>
      </c>
      <c r="C139" s="371">
        <v>0.14716815844394401</v>
      </c>
      <c r="D139" s="371">
        <v>0.14716815844394401</v>
      </c>
      <c r="E139" s="371">
        <v>0.14716815844394401</v>
      </c>
      <c r="F139" s="371">
        <v>0.14716815844394401</v>
      </c>
      <c r="G139" s="371">
        <v>0.14716815844394401</v>
      </c>
      <c r="H139" s="371">
        <v>0.14716815844394401</v>
      </c>
      <c r="I139" s="371">
        <v>0.14716815844394401</v>
      </c>
      <c r="J139" s="371">
        <v>0.14716815844394401</v>
      </c>
      <c r="K139" s="371">
        <v>0.14716815844394401</v>
      </c>
      <c r="L139" s="371">
        <v>0.14716815844394401</v>
      </c>
      <c r="M139" s="371">
        <v>0.14716815844394401</v>
      </c>
      <c r="N139" s="371">
        <v>0.14716815844394401</v>
      </c>
      <c r="O139" s="371">
        <v>0.14716815844394401</v>
      </c>
      <c r="P139" s="371">
        <v>0.14716815844394401</v>
      </c>
      <c r="Q139" s="371">
        <v>0.14716815844394401</v>
      </c>
      <c r="R139" s="371">
        <v>0.14716815844394401</v>
      </c>
      <c r="S139" s="371">
        <v>0.14716815844394401</v>
      </c>
      <c r="T139" s="371">
        <v>0.14716815844394401</v>
      </c>
      <c r="U139" s="371">
        <v>0.14716815844394401</v>
      </c>
      <c r="V139" s="371">
        <v>0.14716815844394401</v>
      </c>
      <c r="W139" s="371">
        <v>0.14716815844394401</v>
      </c>
      <c r="X139" s="371">
        <v>0.14716815844394401</v>
      </c>
      <c r="Y139" s="371">
        <v>0.14716815844394401</v>
      </c>
      <c r="Z139" s="371">
        <v>0.14716815844394401</v>
      </c>
      <c r="AA139" s="371">
        <v>0.14716815844394401</v>
      </c>
      <c r="AB139" s="371">
        <v>0.14716815844394401</v>
      </c>
      <c r="AC139" s="371">
        <v>0.14716815844394401</v>
      </c>
      <c r="AD139" s="371">
        <v>0.14716815844394401</v>
      </c>
      <c r="AE139" s="371">
        <v>0.14716815844394401</v>
      </c>
      <c r="AF139" s="371">
        <v>0.14716815844394401</v>
      </c>
      <c r="AG139" s="371">
        <v>0.14716815844394401</v>
      </c>
      <c r="AH139" s="368">
        <v>8.6829213491944408</v>
      </c>
      <c r="AI139" s="128">
        <f t="shared" si="29"/>
        <v>13.245134260956704</v>
      </c>
    </row>
    <row r="140" spans="1:35" ht="12" customHeight="1">
      <c r="A140" s="159"/>
      <c r="B140" s="347" t="s">
        <v>70</v>
      </c>
      <c r="C140" s="372">
        <f t="shared" ref="C140:AH140" si="35">+C141+C142</f>
        <v>13.244741150000001</v>
      </c>
      <c r="D140" s="372">
        <f t="shared" si="35"/>
        <v>0</v>
      </c>
      <c r="E140" s="372">
        <f t="shared" si="35"/>
        <v>0</v>
      </c>
      <c r="F140" s="372">
        <f t="shared" si="35"/>
        <v>0</v>
      </c>
      <c r="G140" s="372">
        <f t="shared" si="35"/>
        <v>0</v>
      </c>
      <c r="H140" s="372">
        <f t="shared" si="35"/>
        <v>0</v>
      </c>
      <c r="I140" s="372">
        <f t="shared" si="35"/>
        <v>0</v>
      </c>
      <c r="J140" s="372">
        <f t="shared" si="35"/>
        <v>0.53600000999999997</v>
      </c>
      <c r="K140" s="372">
        <f t="shared" si="35"/>
        <v>0</v>
      </c>
      <c r="L140" s="372">
        <f t="shared" si="35"/>
        <v>0</v>
      </c>
      <c r="M140" s="372">
        <f t="shared" si="35"/>
        <v>0</v>
      </c>
      <c r="N140" s="372">
        <f t="shared" si="35"/>
        <v>0</v>
      </c>
      <c r="O140" s="372">
        <f t="shared" si="35"/>
        <v>0</v>
      </c>
      <c r="P140" s="372">
        <f t="shared" si="35"/>
        <v>0</v>
      </c>
      <c r="Q140" s="372">
        <f t="shared" si="35"/>
        <v>0</v>
      </c>
      <c r="R140" s="372">
        <f t="shared" si="35"/>
        <v>0</v>
      </c>
      <c r="S140" s="372">
        <f t="shared" si="35"/>
        <v>0</v>
      </c>
      <c r="T140" s="372">
        <f t="shared" si="35"/>
        <v>0</v>
      </c>
      <c r="U140" s="372">
        <f t="shared" si="35"/>
        <v>0</v>
      </c>
      <c r="V140" s="372">
        <f t="shared" si="35"/>
        <v>0</v>
      </c>
      <c r="W140" s="372">
        <f t="shared" si="35"/>
        <v>0</v>
      </c>
      <c r="X140" s="372">
        <f t="shared" si="35"/>
        <v>0</v>
      </c>
      <c r="Y140" s="372">
        <f t="shared" si="35"/>
        <v>0</v>
      </c>
      <c r="Z140" s="372">
        <f t="shared" si="35"/>
        <v>0</v>
      </c>
      <c r="AA140" s="372">
        <f t="shared" si="35"/>
        <v>0</v>
      </c>
      <c r="AB140" s="372">
        <f t="shared" si="35"/>
        <v>0</v>
      </c>
      <c r="AC140" s="372">
        <f t="shared" si="35"/>
        <v>0</v>
      </c>
      <c r="AD140" s="372">
        <f t="shared" si="35"/>
        <v>0</v>
      </c>
      <c r="AE140" s="372">
        <f t="shared" si="35"/>
        <v>0</v>
      </c>
      <c r="AF140" s="372">
        <f t="shared" si="35"/>
        <v>0</v>
      </c>
      <c r="AG140" s="372">
        <f t="shared" si="35"/>
        <v>0</v>
      </c>
      <c r="AH140" s="372">
        <f t="shared" si="35"/>
        <v>0</v>
      </c>
      <c r="AI140" s="83">
        <f t="shared" si="29"/>
        <v>13.780741160000002</v>
      </c>
    </row>
    <row r="141" spans="1:35" ht="12" customHeight="1">
      <c r="A141" s="159"/>
      <c r="B141" s="350" t="s">
        <v>813</v>
      </c>
      <c r="C141" s="368">
        <v>3.06876302</v>
      </c>
      <c r="D141" s="368">
        <v>0</v>
      </c>
      <c r="E141" s="368">
        <v>0</v>
      </c>
      <c r="F141" s="368">
        <v>0</v>
      </c>
      <c r="G141" s="368">
        <v>0</v>
      </c>
      <c r="H141" s="368">
        <v>0</v>
      </c>
      <c r="I141" s="368">
        <v>0</v>
      </c>
      <c r="J141" s="81">
        <v>0</v>
      </c>
      <c r="K141" s="368">
        <v>0</v>
      </c>
      <c r="L141" s="368">
        <v>0</v>
      </c>
      <c r="M141" s="368">
        <v>0</v>
      </c>
      <c r="N141" s="368">
        <v>0</v>
      </c>
      <c r="O141" s="368">
        <v>0</v>
      </c>
      <c r="P141" s="368">
        <v>0</v>
      </c>
      <c r="Q141" s="368">
        <v>0</v>
      </c>
      <c r="R141" s="368">
        <v>0</v>
      </c>
      <c r="S141" s="368">
        <v>0</v>
      </c>
      <c r="T141" s="368">
        <v>0</v>
      </c>
      <c r="U141" s="368">
        <v>0</v>
      </c>
      <c r="V141" s="368">
        <v>0</v>
      </c>
      <c r="W141" s="368">
        <v>0</v>
      </c>
      <c r="X141" s="368">
        <v>0</v>
      </c>
      <c r="Y141" s="368">
        <v>0</v>
      </c>
      <c r="Z141" s="368">
        <v>0</v>
      </c>
      <c r="AA141" s="368">
        <v>0</v>
      </c>
      <c r="AB141" s="368">
        <v>0</v>
      </c>
      <c r="AC141" s="368">
        <v>0</v>
      </c>
      <c r="AD141" s="368">
        <v>0</v>
      </c>
      <c r="AE141" s="368">
        <v>0</v>
      </c>
      <c r="AF141" s="368">
        <v>0</v>
      </c>
      <c r="AG141" s="368">
        <v>0</v>
      </c>
      <c r="AH141" s="368">
        <v>0</v>
      </c>
      <c r="AI141" s="81">
        <f t="shared" ref="AI141:AI142" si="36">SUM(C141:AH141)</f>
        <v>3.06876302</v>
      </c>
    </row>
    <row r="142" spans="1:35" ht="12" customHeight="1">
      <c r="A142" s="159"/>
      <c r="B142" s="350" t="s">
        <v>85</v>
      </c>
      <c r="C142" s="368">
        <v>10.175978130000001</v>
      </c>
      <c r="D142" s="368">
        <v>0</v>
      </c>
      <c r="E142" s="368">
        <v>0</v>
      </c>
      <c r="F142" s="368">
        <v>0</v>
      </c>
      <c r="G142" s="368">
        <v>0</v>
      </c>
      <c r="H142" s="368">
        <v>0</v>
      </c>
      <c r="I142" s="368">
        <v>0</v>
      </c>
      <c r="J142" s="81">
        <v>0.53600000999999997</v>
      </c>
      <c r="K142" s="368">
        <v>0</v>
      </c>
      <c r="L142" s="368">
        <v>0</v>
      </c>
      <c r="M142" s="368">
        <v>0</v>
      </c>
      <c r="N142" s="368">
        <v>0</v>
      </c>
      <c r="O142" s="368">
        <v>0</v>
      </c>
      <c r="P142" s="368">
        <v>0</v>
      </c>
      <c r="Q142" s="368">
        <v>0</v>
      </c>
      <c r="R142" s="368">
        <v>0</v>
      </c>
      <c r="S142" s="368">
        <v>0</v>
      </c>
      <c r="T142" s="368">
        <v>0</v>
      </c>
      <c r="U142" s="368">
        <v>0</v>
      </c>
      <c r="V142" s="368">
        <v>0</v>
      </c>
      <c r="W142" s="368">
        <v>0</v>
      </c>
      <c r="X142" s="368">
        <v>0</v>
      </c>
      <c r="Y142" s="368">
        <v>0</v>
      </c>
      <c r="Z142" s="368">
        <v>0</v>
      </c>
      <c r="AA142" s="368">
        <v>0</v>
      </c>
      <c r="AB142" s="368">
        <v>0</v>
      </c>
      <c r="AC142" s="368">
        <v>0</v>
      </c>
      <c r="AD142" s="368">
        <v>0</v>
      </c>
      <c r="AE142" s="368">
        <v>0</v>
      </c>
      <c r="AF142" s="368">
        <v>0</v>
      </c>
      <c r="AG142" s="368">
        <v>0</v>
      </c>
      <c r="AH142" s="368">
        <v>0</v>
      </c>
      <c r="AI142" s="81">
        <f t="shared" si="36"/>
        <v>10.711978140000001</v>
      </c>
    </row>
    <row r="143" spans="1:35">
      <c r="A143" s="89"/>
      <c r="B143" s="373"/>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row>
    <row r="144" spans="1:35">
      <c r="A144" s="159"/>
      <c r="B144" s="337" t="s">
        <v>105</v>
      </c>
      <c r="C144" s="123">
        <f t="shared" ref="C144:AG144" si="37">+C145+C146</f>
        <v>41130.688995979355</v>
      </c>
      <c r="D144" s="123">
        <f t="shared" si="37"/>
        <v>11791.317534205666</v>
      </c>
      <c r="E144" s="123">
        <f t="shared" si="37"/>
        <v>1981.7721863669449</v>
      </c>
      <c r="F144" s="123">
        <f t="shared" si="37"/>
        <v>2205.6440404612822</v>
      </c>
      <c r="G144" s="123">
        <f t="shared" si="37"/>
        <v>379.4407931988618</v>
      </c>
      <c r="H144" s="123">
        <f t="shared" si="37"/>
        <v>1362.3035110790515</v>
      </c>
      <c r="I144" s="123">
        <f t="shared" si="37"/>
        <v>1988.3883169622081</v>
      </c>
      <c r="J144" s="123">
        <f t="shared" si="37"/>
        <v>508.46063122217697</v>
      </c>
      <c r="K144" s="123">
        <f t="shared" si="37"/>
        <v>388.69829963388304</v>
      </c>
      <c r="L144" s="123">
        <f t="shared" si="37"/>
        <v>333.88753287330007</v>
      </c>
      <c r="M144" s="123">
        <f t="shared" si="37"/>
        <v>414.27448209408806</v>
      </c>
      <c r="N144" s="123">
        <f t="shared" si="37"/>
        <v>843.01189384828842</v>
      </c>
      <c r="O144" s="123">
        <f t="shared" si="37"/>
        <v>380.02581392789409</v>
      </c>
      <c r="P144" s="123">
        <f t="shared" si="37"/>
        <v>380.02581392789409</v>
      </c>
      <c r="Q144" s="123">
        <f t="shared" si="37"/>
        <v>92.423730267631996</v>
      </c>
      <c r="R144" s="123">
        <f t="shared" si="37"/>
        <v>92.423730267631996</v>
      </c>
      <c r="S144" s="123">
        <f t="shared" si="37"/>
        <v>789.84294546989202</v>
      </c>
      <c r="T144" s="123">
        <f t="shared" si="37"/>
        <v>789.84294546989202</v>
      </c>
      <c r="U144" s="123">
        <f t="shared" si="37"/>
        <v>835.98122653697521</v>
      </c>
      <c r="V144" s="123">
        <f t="shared" si="37"/>
        <v>697.56638336070398</v>
      </c>
      <c r="W144" s="123">
        <f t="shared" si="37"/>
        <v>697.56638336070398</v>
      </c>
      <c r="X144" s="123">
        <f t="shared" si="37"/>
        <v>697.56638336070398</v>
      </c>
      <c r="Y144" s="123">
        <f t="shared" si="37"/>
        <v>697.56638336070398</v>
      </c>
      <c r="Z144" s="123">
        <f t="shared" si="37"/>
        <v>697.56638336070398</v>
      </c>
      <c r="AA144" s="123">
        <f t="shared" si="37"/>
        <v>697.56638336070398</v>
      </c>
      <c r="AB144" s="123">
        <f t="shared" si="37"/>
        <v>697.56638336070398</v>
      </c>
      <c r="AC144" s="123">
        <f t="shared" si="37"/>
        <v>0.14716815844394401</v>
      </c>
      <c r="AD144" s="123">
        <f>+AD145+AD146</f>
        <v>0.14716815844394401</v>
      </c>
      <c r="AE144" s="123">
        <f t="shared" si="37"/>
        <v>0.14716815844394401</v>
      </c>
      <c r="AF144" s="123">
        <f t="shared" si="37"/>
        <v>0.14716815844394401</v>
      </c>
      <c r="AG144" s="123">
        <f t="shared" si="37"/>
        <v>0.14716815844394401</v>
      </c>
      <c r="AH144" s="123">
        <f>+AH145+AH146</f>
        <v>8.6829213491944408</v>
      </c>
      <c r="AI144" s="123">
        <f>SUM(C144:AH144)</f>
        <v>71580.837869459254</v>
      </c>
    </row>
    <row r="145" spans="1:35">
      <c r="A145" s="159"/>
      <c r="B145" s="374" t="s">
        <v>106</v>
      </c>
      <c r="C145" s="95">
        <v>6039.9446078961864</v>
      </c>
      <c r="D145" s="95">
        <v>2910.6525564890799</v>
      </c>
      <c r="E145" s="95">
        <v>948.4252277532039</v>
      </c>
      <c r="F145" s="95">
        <v>1052.52127552347</v>
      </c>
      <c r="G145" s="95">
        <v>302.11361896061152</v>
      </c>
      <c r="H145" s="95">
        <v>1279.5497220951631</v>
      </c>
      <c r="I145" s="95">
        <v>287.60208366026211</v>
      </c>
      <c r="J145" s="95">
        <v>413.88004623161015</v>
      </c>
      <c r="K145" s="95">
        <v>287.60208366026211</v>
      </c>
      <c r="L145" s="95">
        <v>333.74036471485613</v>
      </c>
      <c r="M145" s="95">
        <v>414.12731393564411</v>
      </c>
      <c r="N145" s="95">
        <v>842.86472568984448</v>
      </c>
      <c r="O145" s="95">
        <v>379.87864576945015</v>
      </c>
      <c r="P145" s="95">
        <v>379.87864576945015</v>
      </c>
      <c r="Q145" s="95">
        <v>92.276562109188049</v>
      </c>
      <c r="R145" s="95">
        <v>92.276562109188049</v>
      </c>
      <c r="S145" s="95">
        <v>789.69577731144807</v>
      </c>
      <c r="T145" s="95">
        <v>789.69577731144807</v>
      </c>
      <c r="U145" s="95">
        <v>835.83405837853127</v>
      </c>
      <c r="V145" s="95">
        <v>697.41921520226003</v>
      </c>
      <c r="W145" s="95">
        <v>697.41921520226003</v>
      </c>
      <c r="X145" s="95">
        <v>697.41921520226003</v>
      </c>
      <c r="Y145" s="95">
        <v>697.41921520226003</v>
      </c>
      <c r="Z145" s="95">
        <v>697.41921520226003</v>
      </c>
      <c r="AA145" s="95">
        <v>697.41921520226003</v>
      </c>
      <c r="AB145" s="95">
        <v>697.41921520226003</v>
      </c>
      <c r="AC145" s="95">
        <v>0</v>
      </c>
      <c r="AD145" s="95">
        <v>0</v>
      </c>
      <c r="AE145" s="95">
        <v>0</v>
      </c>
      <c r="AF145" s="95">
        <v>0</v>
      </c>
      <c r="AG145" s="95">
        <v>0</v>
      </c>
      <c r="AH145" s="95">
        <v>0</v>
      </c>
      <c r="AI145" s="95">
        <f>SUM(C145:AH145)</f>
        <v>23354.494161784707</v>
      </c>
    </row>
    <row r="146" spans="1:35">
      <c r="A146" s="159"/>
      <c r="B146" s="375" t="s">
        <v>542</v>
      </c>
      <c r="C146" s="85">
        <v>35090.744388083171</v>
      </c>
      <c r="D146" s="85">
        <v>8880.6649777165858</v>
      </c>
      <c r="E146" s="85">
        <v>1033.346958613741</v>
      </c>
      <c r="F146" s="85">
        <v>1153.122764937812</v>
      </c>
      <c r="G146" s="85">
        <v>77.327174238250251</v>
      </c>
      <c r="H146" s="85">
        <v>82.753788983888455</v>
      </c>
      <c r="I146" s="85">
        <v>1700.7862333019459</v>
      </c>
      <c r="J146" s="85">
        <v>94.580584990566848</v>
      </c>
      <c r="K146" s="85">
        <v>101.09621597362094</v>
      </c>
      <c r="L146" s="85">
        <v>0.14716815844394401</v>
      </c>
      <c r="M146" s="85">
        <v>0.14716815844394401</v>
      </c>
      <c r="N146" s="85">
        <v>0.14716815844394401</v>
      </c>
      <c r="O146" s="85">
        <v>0.14716815844394401</v>
      </c>
      <c r="P146" s="85">
        <v>0.14716815844394401</v>
      </c>
      <c r="Q146" s="85">
        <v>0.14716815844394401</v>
      </c>
      <c r="R146" s="85">
        <v>0.14716815844394401</v>
      </c>
      <c r="S146" s="85">
        <v>0.14716815844394401</v>
      </c>
      <c r="T146" s="85">
        <v>0.14716815844394401</v>
      </c>
      <c r="U146" s="85">
        <v>0.14716815844394401</v>
      </c>
      <c r="V146" s="85">
        <v>0.14716815844394401</v>
      </c>
      <c r="W146" s="85">
        <v>0.14716815844394401</v>
      </c>
      <c r="X146" s="85">
        <v>0.14716815844394401</v>
      </c>
      <c r="Y146" s="85">
        <v>0.14716815844394401</v>
      </c>
      <c r="Z146" s="85">
        <v>0.14716815844394401</v>
      </c>
      <c r="AA146" s="85">
        <v>0.14716815844394401</v>
      </c>
      <c r="AB146" s="85">
        <v>0.14716815844394401</v>
      </c>
      <c r="AC146" s="85">
        <v>0.14716815844394401</v>
      </c>
      <c r="AD146" s="85">
        <v>0.14716815844394401</v>
      </c>
      <c r="AE146" s="85">
        <v>0.14716815844394401</v>
      </c>
      <c r="AF146" s="85">
        <v>0.14716815844394401</v>
      </c>
      <c r="AG146" s="85">
        <v>0.14716815844394401</v>
      </c>
      <c r="AH146" s="85">
        <v>8.6829213491944408</v>
      </c>
      <c r="AI146" s="85">
        <f>SUM(C146:AH146)</f>
        <v>48226.343707674554</v>
      </c>
    </row>
    <row r="147" spans="1:35">
      <c r="A147" s="159"/>
      <c r="B147" s="337" t="s">
        <v>107</v>
      </c>
      <c r="C147" s="123">
        <v>22483.779564290198</v>
      </c>
      <c r="D147" s="123">
        <v>22017.130664245742</v>
      </c>
      <c r="E147" s="123">
        <v>38252.755924884346</v>
      </c>
      <c r="F147" s="123">
        <v>35997.29515164849</v>
      </c>
      <c r="G147" s="123">
        <v>21847.178783243999</v>
      </c>
      <c r="H147" s="123">
        <v>19812.276079920484</v>
      </c>
      <c r="I147" s="123">
        <v>10904.325572746195</v>
      </c>
      <c r="J147" s="123">
        <v>13789.258551288258</v>
      </c>
      <c r="K147" s="123">
        <v>10233.351632414971</v>
      </c>
      <c r="L147" s="123">
        <v>5840.6466276380334</v>
      </c>
      <c r="M147" s="123">
        <v>4973.4692183556053</v>
      </c>
      <c r="N147" s="123">
        <v>4837.7253798659694</v>
      </c>
      <c r="O147" s="123">
        <v>4677.0145081299688</v>
      </c>
      <c r="P147" s="123">
        <v>4542.0091618240285</v>
      </c>
      <c r="Q147" s="123">
        <v>2560.6415417182907</v>
      </c>
      <c r="R147" s="123">
        <v>3402.9769218449755</v>
      </c>
      <c r="S147" s="123">
        <v>5119.0498658366969</v>
      </c>
      <c r="T147" s="123">
        <v>3315.3426964046967</v>
      </c>
      <c r="U147" s="123">
        <v>2922.5507595106301</v>
      </c>
      <c r="V147" s="123">
        <v>600.4071605550821</v>
      </c>
      <c r="W147" s="123">
        <v>343.72622959832648</v>
      </c>
      <c r="X147" s="123">
        <v>208.76652971876484</v>
      </c>
      <c r="Y147" s="123">
        <v>194.63266784576103</v>
      </c>
      <c r="Z147" s="123">
        <v>171.10412413220632</v>
      </c>
      <c r="AA147" s="123">
        <v>110.87316506400001</v>
      </c>
      <c r="AB147" s="123">
        <v>110.12242563</v>
      </c>
      <c r="AC147" s="123">
        <v>2854.1276083490002</v>
      </c>
      <c r="AD147" s="123">
        <v>929.30301541802692</v>
      </c>
      <c r="AE147" s="123">
        <v>3068.1436880379997</v>
      </c>
      <c r="AF147" s="123">
        <v>40.566744428999996</v>
      </c>
      <c r="AG147" s="123">
        <v>32.887859085999999</v>
      </c>
      <c r="AH147" s="123">
        <v>2751.1758144129999</v>
      </c>
      <c r="AI147" s="123">
        <f>SUM(C147:AH147)</f>
        <v>248944.6156380887</v>
      </c>
    </row>
    <row r="148" spans="1:35">
      <c r="A148" s="1"/>
      <c r="B148" s="379"/>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380"/>
    </row>
    <row r="149" spans="1:35">
      <c r="A149" s="89"/>
      <c r="B149" s="96" t="s">
        <v>345</v>
      </c>
      <c r="C149" s="116"/>
      <c r="D149" s="116"/>
      <c r="E149" s="116"/>
      <c r="F149" s="116"/>
      <c r="G149" s="116"/>
      <c r="H149" s="116"/>
      <c r="I149" s="116"/>
      <c r="J149" s="116"/>
      <c r="K149" s="116"/>
      <c r="L149" s="116"/>
      <c r="M149" s="116"/>
      <c r="N149" s="116"/>
      <c r="O149" s="116"/>
      <c r="P149" s="116"/>
      <c r="Q149" s="116"/>
      <c r="R149" s="116"/>
      <c r="S149" s="116"/>
      <c r="T149" s="116"/>
      <c r="U149" s="116"/>
    </row>
    <row r="150" spans="1:35">
      <c r="A150" s="89"/>
      <c r="B150" s="97" t="s">
        <v>829</v>
      </c>
      <c r="C150" s="116"/>
      <c r="D150" s="116"/>
      <c r="E150" s="116"/>
      <c r="F150" s="116"/>
      <c r="G150" s="116"/>
      <c r="H150" s="116"/>
      <c r="I150" s="116"/>
      <c r="J150" s="116"/>
      <c r="K150" s="116"/>
      <c r="L150" s="116"/>
      <c r="M150" s="116"/>
      <c r="N150" s="116"/>
      <c r="O150" s="116"/>
      <c r="P150" s="116"/>
      <c r="Q150" s="116"/>
      <c r="R150" s="116"/>
      <c r="S150" s="116"/>
      <c r="T150" s="116"/>
      <c r="U150" s="116"/>
    </row>
    <row r="153" spans="1:35">
      <c r="C153" s="1313"/>
      <c r="D153" s="1313"/>
      <c r="E153" s="1313"/>
      <c r="F153" s="1313"/>
      <c r="G153" s="1313"/>
      <c r="H153" s="1313"/>
      <c r="I153" s="1313"/>
      <c r="J153" s="1313"/>
      <c r="K153" s="1313"/>
      <c r="L153" s="1313"/>
      <c r="M153" s="1313"/>
      <c r="N153" s="1313"/>
      <c r="O153" s="1313"/>
      <c r="P153" s="1313"/>
      <c r="Q153" s="1313"/>
      <c r="R153" s="1313"/>
      <c r="S153" s="1313"/>
      <c r="T153" s="1313"/>
      <c r="U153" s="1313"/>
      <c r="V153" s="1313"/>
      <c r="W153" s="1313"/>
      <c r="X153" s="1313"/>
      <c r="Y153" s="1313"/>
      <c r="Z153" s="1313"/>
      <c r="AA153" s="1313"/>
      <c r="AB153" s="1313"/>
      <c r="AC153" s="1313"/>
      <c r="AD153" s="1313"/>
      <c r="AE153" s="1313"/>
      <c r="AF153" s="1313"/>
      <c r="AG153" s="1313"/>
      <c r="AH153" s="1313"/>
      <c r="AI153" s="1313"/>
    </row>
    <row r="154" spans="1:35">
      <c r="C154" s="1313"/>
      <c r="D154" s="1313"/>
      <c r="E154" s="1313"/>
      <c r="F154" s="1313"/>
      <c r="G154" s="1313"/>
      <c r="H154" s="1313"/>
      <c r="I154" s="1313"/>
      <c r="J154" s="1313"/>
      <c r="K154" s="1313"/>
      <c r="L154" s="1313"/>
      <c r="M154" s="1313"/>
      <c r="N154" s="1313"/>
      <c r="O154" s="1313"/>
      <c r="P154" s="1313"/>
      <c r="Q154" s="1313"/>
      <c r="R154" s="1313"/>
      <c r="S154" s="1313"/>
      <c r="T154" s="1313"/>
      <c r="U154" s="1313"/>
      <c r="V154" s="1313"/>
      <c r="W154" s="1313"/>
      <c r="X154" s="1313"/>
      <c r="Y154" s="1313"/>
      <c r="Z154" s="1313"/>
      <c r="AA154" s="1313"/>
      <c r="AB154" s="1313"/>
      <c r="AC154" s="1313"/>
      <c r="AD154" s="1313"/>
      <c r="AE154" s="1313"/>
      <c r="AF154" s="1313"/>
      <c r="AG154" s="1313"/>
      <c r="AH154" s="1313"/>
      <c r="AI154" s="1313"/>
    </row>
    <row r="155" spans="1:35">
      <c r="C155" s="1313"/>
      <c r="D155" s="1313"/>
      <c r="E155" s="1313"/>
      <c r="F155" s="1313"/>
      <c r="G155" s="1313"/>
      <c r="H155" s="1313"/>
      <c r="I155" s="1313"/>
      <c r="J155" s="1313"/>
      <c r="K155" s="1313"/>
      <c r="L155" s="1313"/>
      <c r="M155" s="1313"/>
      <c r="N155" s="1313"/>
      <c r="O155" s="1313"/>
      <c r="P155" s="1313"/>
      <c r="Q155" s="1313"/>
      <c r="R155" s="1313"/>
      <c r="S155" s="1313"/>
      <c r="T155" s="1313"/>
      <c r="U155" s="1313"/>
      <c r="V155" s="1313"/>
      <c r="W155" s="1313"/>
      <c r="X155" s="1313"/>
      <c r="Y155" s="1313"/>
      <c r="Z155" s="1313"/>
      <c r="AA155" s="1313"/>
      <c r="AB155" s="1313"/>
      <c r="AC155" s="1313"/>
      <c r="AD155" s="1313"/>
      <c r="AE155" s="1313"/>
      <c r="AF155" s="1313"/>
      <c r="AG155" s="1313"/>
      <c r="AH155" s="1313"/>
      <c r="AI155" s="1313"/>
    </row>
    <row r="156" spans="1:35">
      <c r="C156" s="1313"/>
      <c r="D156" s="1313"/>
      <c r="E156" s="1313"/>
      <c r="F156" s="1313"/>
      <c r="G156" s="1313"/>
      <c r="H156" s="1313"/>
      <c r="I156" s="1313"/>
      <c r="J156" s="1313"/>
      <c r="K156" s="1313"/>
      <c r="L156" s="1313"/>
      <c r="M156" s="1313"/>
      <c r="N156" s="1313"/>
      <c r="O156" s="1313"/>
      <c r="P156" s="1313"/>
      <c r="Q156" s="1313"/>
      <c r="R156" s="1313"/>
      <c r="S156" s="1313"/>
      <c r="T156" s="1313"/>
      <c r="U156" s="1313"/>
      <c r="V156" s="1313"/>
      <c r="W156" s="1313"/>
      <c r="X156" s="1313"/>
      <c r="Y156" s="1313"/>
      <c r="Z156" s="1313"/>
      <c r="AA156" s="1313"/>
      <c r="AB156" s="1313"/>
      <c r="AC156" s="1313"/>
      <c r="AD156" s="1313"/>
      <c r="AE156" s="1313"/>
      <c r="AF156" s="1313"/>
      <c r="AG156" s="1313"/>
      <c r="AH156" s="1313"/>
      <c r="AI156" s="1313"/>
    </row>
    <row r="157" spans="1:35">
      <c r="C157" s="1313"/>
      <c r="D157" s="1313"/>
      <c r="E157" s="1313"/>
      <c r="F157" s="1313"/>
      <c r="G157" s="1313"/>
      <c r="H157" s="1313"/>
      <c r="I157" s="1313"/>
      <c r="J157" s="1313"/>
      <c r="K157" s="1313"/>
      <c r="L157" s="1313"/>
      <c r="M157" s="1313"/>
      <c r="N157" s="1313"/>
      <c r="O157" s="1313"/>
      <c r="P157" s="1313"/>
      <c r="Q157" s="1313"/>
      <c r="R157" s="1313"/>
      <c r="S157" s="1313"/>
      <c r="T157" s="1313"/>
      <c r="U157" s="1313"/>
      <c r="V157" s="1313"/>
      <c r="W157" s="1313"/>
      <c r="X157" s="1313"/>
      <c r="Y157" s="1313"/>
      <c r="Z157" s="1313"/>
      <c r="AA157" s="1313"/>
      <c r="AB157" s="1313"/>
      <c r="AC157" s="1313"/>
      <c r="AD157" s="1313"/>
      <c r="AE157" s="1313"/>
      <c r="AF157" s="1313"/>
      <c r="AG157" s="1313"/>
      <c r="AH157" s="1313"/>
      <c r="AI157" s="1313"/>
    </row>
    <row r="158" spans="1:35">
      <c r="C158" s="1313"/>
      <c r="D158" s="1313"/>
      <c r="E158" s="1313"/>
      <c r="F158" s="1313"/>
      <c r="G158" s="1313"/>
      <c r="H158" s="1313"/>
      <c r="I158" s="1313"/>
      <c r="J158" s="1313"/>
      <c r="K158" s="1313"/>
      <c r="L158" s="1313"/>
      <c r="M158" s="1313"/>
      <c r="N158" s="1313"/>
      <c r="O158" s="1313"/>
      <c r="P158" s="1313"/>
      <c r="Q158" s="1313"/>
      <c r="R158" s="1313"/>
      <c r="S158" s="1313"/>
      <c r="T158" s="1313"/>
      <c r="U158" s="1313"/>
      <c r="V158" s="1313"/>
      <c r="W158" s="1313"/>
      <c r="X158" s="1313"/>
      <c r="Y158" s="1313"/>
      <c r="Z158" s="1313"/>
      <c r="AA158" s="1313"/>
      <c r="AB158" s="1313"/>
      <c r="AC158" s="1313"/>
      <c r="AD158" s="1313"/>
      <c r="AE158" s="1313"/>
      <c r="AF158" s="1313"/>
      <c r="AG158" s="1313"/>
      <c r="AH158" s="1313"/>
      <c r="AI158" s="1313"/>
    </row>
    <row r="159" spans="1:35">
      <c r="C159" s="1313"/>
      <c r="D159" s="1313"/>
      <c r="E159" s="1313"/>
      <c r="F159" s="1313"/>
      <c r="G159" s="1313"/>
      <c r="H159" s="1313"/>
      <c r="I159" s="1313"/>
      <c r="J159" s="1313"/>
      <c r="K159" s="1313"/>
      <c r="L159" s="1313"/>
      <c r="M159" s="1313"/>
      <c r="N159" s="1313"/>
      <c r="O159" s="1313"/>
      <c r="P159" s="1313"/>
      <c r="Q159" s="1313"/>
      <c r="R159" s="1313"/>
      <c r="S159" s="1313"/>
      <c r="T159" s="1313"/>
      <c r="U159" s="1313"/>
      <c r="V159" s="1313"/>
      <c r="W159" s="1313"/>
      <c r="X159" s="1313"/>
      <c r="Y159" s="1313"/>
      <c r="Z159" s="1313"/>
      <c r="AA159" s="1313"/>
      <c r="AB159" s="1313"/>
      <c r="AC159" s="1313"/>
      <c r="AD159" s="1313"/>
      <c r="AE159" s="1313"/>
      <c r="AF159" s="1313"/>
      <c r="AG159" s="1313"/>
      <c r="AH159" s="1313"/>
      <c r="AI159" s="1313"/>
    </row>
  </sheetData>
  <mergeCells count="2">
    <mergeCell ref="B11:AI11"/>
    <mergeCell ref="B6:AI6"/>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sheetPr>
    <tabColor theme="3" tint="0.79998168889431442"/>
    <pageSetUpPr fitToPage="1"/>
  </sheetPr>
  <dimension ref="A1:CC144"/>
  <sheetViews>
    <sheetView showGridLines="0" zoomScaleNormal="100" zoomScaleSheetLayoutView="80" workbookViewId="0"/>
  </sheetViews>
  <sheetFormatPr baseColWidth="10" defaultColWidth="11.453125" defaultRowHeight="13"/>
  <cols>
    <col min="1" max="1" width="7.1796875" style="5" bestFit="1" customWidth="1"/>
    <col min="2" max="2" width="38.1796875" style="71" customWidth="1"/>
    <col min="3" max="3" width="12.54296875" style="71" customWidth="1"/>
    <col min="4" max="33" width="9.7265625" style="71" customWidth="1"/>
    <col min="34" max="34" width="12.7265625" style="1314" customWidth="1"/>
    <col min="35" max="35" width="11.453125" style="71" bestFit="1" customWidth="1"/>
    <col min="36" max="36" width="11.7265625" style="89" bestFit="1" customWidth="1"/>
    <col min="37" max="16384" width="11.453125" style="89"/>
  </cols>
  <sheetData>
    <row r="1" spans="1:35" ht="14.5">
      <c r="A1" s="738" t="s">
        <v>219</v>
      </c>
      <c r="B1" s="741"/>
    </row>
    <row r="2" spans="1:35" ht="15" customHeight="1">
      <c r="A2" s="42"/>
      <c r="B2" s="386" t="str">
        <f>+INDICE!B2</f>
        <v>MINISTERIO DE ECONOMÍA</v>
      </c>
      <c r="C2" s="73"/>
      <c r="D2" s="73"/>
      <c r="E2" s="73"/>
      <c r="F2" s="799"/>
      <c r="G2" s="73"/>
      <c r="H2" s="73"/>
      <c r="I2" s="73"/>
      <c r="J2" s="73"/>
      <c r="K2" s="73"/>
      <c r="L2" s="73"/>
      <c r="M2" s="72"/>
      <c r="N2" s="73"/>
      <c r="O2" s="73"/>
      <c r="P2" s="73"/>
      <c r="Q2" s="73"/>
      <c r="R2" s="73"/>
      <c r="S2" s="73"/>
      <c r="T2" s="73"/>
      <c r="U2" s="73"/>
      <c r="V2" s="73"/>
      <c r="W2" s="73"/>
      <c r="X2" s="73"/>
      <c r="Y2" s="73"/>
      <c r="Z2" s="73"/>
      <c r="AA2" s="73"/>
      <c r="AB2" s="73"/>
      <c r="AC2" s="73"/>
      <c r="AD2" s="73"/>
    </row>
    <row r="3" spans="1:35" ht="15" customHeight="1">
      <c r="A3" s="42"/>
      <c r="B3" s="386" t="str">
        <f>+A.3.7!B3</f>
        <v>SECRETARÍA DE FINANZAS</v>
      </c>
      <c r="C3" s="73"/>
      <c r="D3" s="73"/>
      <c r="E3" s="72"/>
      <c r="F3" s="73"/>
      <c r="G3" s="73"/>
      <c r="H3" s="73"/>
      <c r="I3" s="73"/>
      <c r="J3" s="73"/>
      <c r="K3" s="73"/>
      <c r="L3" s="73"/>
      <c r="M3" s="73"/>
      <c r="N3" s="73"/>
      <c r="O3" s="73"/>
      <c r="P3" s="73"/>
      <c r="Q3" s="73"/>
      <c r="R3" s="73"/>
      <c r="S3" s="73"/>
      <c r="T3" s="73"/>
      <c r="U3" s="73"/>
      <c r="V3" s="73"/>
      <c r="W3" s="73"/>
      <c r="X3" s="73"/>
      <c r="Y3" s="73"/>
      <c r="Z3" s="73"/>
      <c r="AA3" s="73"/>
      <c r="AB3" s="73"/>
      <c r="AC3" s="73"/>
      <c r="AD3" s="73"/>
      <c r="AH3" s="1315"/>
      <c r="AI3" s="74"/>
    </row>
    <row r="4" spans="1:35" s="90" customFormat="1">
      <c r="A4" s="5"/>
      <c r="B4" s="71"/>
      <c r="C4" s="80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1314"/>
      <c r="AI4" s="71"/>
    </row>
    <row r="5" spans="1:35" s="90" customFormat="1" ht="13.5" thickBot="1">
      <c r="A5" s="5"/>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1314"/>
      <c r="AI5" s="71"/>
    </row>
    <row r="6" spans="1:35" s="90" customFormat="1" ht="17.5" thickBot="1">
      <c r="A6" s="5"/>
      <c r="B6" s="1487" t="s">
        <v>787</v>
      </c>
      <c r="C6" s="1488"/>
      <c r="D6" s="1488"/>
      <c r="E6" s="1488"/>
      <c r="F6" s="1488"/>
      <c r="G6" s="1488"/>
      <c r="H6" s="1488"/>
      <c r="I6" s="1488"/>
      <c r="J6" s="1488"/>
      <c r="K6" s="1488"/>
      <c r="L6" s="1488"/>
      <c r="M6" s="1488"/>
      <c r="N6" s="1488"/>
      <c r="O6" s="1488"/>
      <c r="P6" s="1488"/>
      <c r="Q6" s="1488"/>
      <c r="R6" s="1488"/>
      <c r="S6" s="1488"/>
      <c r="T6" s="1488"/>
      <c r="U6" s="1488"/>
      <c r="V6" s="1488"/>
      <c r="W6" s="1488"/>
      <c r="X6" s="1488"/>
      <c r="Y6" s="1488"/>
      <c r="Z6" s="1488"/>
      <c r="AA6" s="1488"/>
      <c r="AB6" s="1488"/>
      <c r="AC6" s="1488"/>
      <c r="AD6" s="1488"/>
      <c r="AE6" s="1488"/>
      <c r="AF6" s="1488"/>
      <c r="AG6" s="1488"/>
      <c r="AH6" s="1488"/>
      <c r="AI6" s="1489"/>
    </row>
    <row r="7" spans="1:35" s="90" customForma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1316"/>
      <c r="AI7" s="5"/>
    </row>
    <row r="8" spans="1:35" s="90" customFormat="1" ht="13.5" thickBot="1">
      <c r="A8" s="5"/>
      <c r="B8" s="269" t="s">
        <v>915</v>
      </c>
      <c r="C8" s="5"/>
      <c r="D8" s="5"/>
      <c r="E8" s="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1316"/>
      <c r="AI8" s="75"/>
    </row>
    <row r="9" spans="1:35" s="471" customFormat="1" ht="14" thickTop="1" thickBot="1">
      <c r="A9" s="269"/>
      <c r="B9" s="459"/>
      <c r="C9" s="459">
        <v>2020</v>
      </c>
      <c r="D9" s="459">
        <v>2021</v>
      </c>
      <c r="E9" s="459">
        <v>2022</v>
      </c>
      <c r="F9" s="459">
        <v>2023</v>
      </c>
      <c r="G9" s="459">
        <v>2024</v>
      </c>
      <c r="H9" s="459">
        <v>2025</v>
      </c>
      <c r="I9" s="459">
        <v>2026</v>
      </c>
      <c r="J9" s="459">
        <v>2027</v>
      </c>
      <c r="K9" s="459">
        <v>2028</v>
      </c>
      <c r="L9" s="459">
        <v>2029</v>
      </c>
      <c r="M9" s="459">
        <v>2030</v>
      </c>
      <c r="N9" s="459">
        <v>2031</v>
      </c>
      <c r="O9" s="459">
        <v>2032</v>
      </c>
      <c r="P9" s="459">
        <v>2033</v>
      </c>
      <c r="Q9" s="459">
        <v>2034</v>
      </c>
      <c r="R9" s="459">
        <v>2035</v>
      </c>
      <c r="S9" s="459">
        <v>2036</v>
      </c>
      <c r="T9" s="459">
        <v>2037</v>
      </c>
      <c r="U9" s="459">
        <v>2038</v>
      </c>
      <c r="V9" s="459">
        <v>2039</v>
      </c>
      <c r="W9" s="459">
        <v>2040</v>
      </c>
      <c r="X9" s="459">
        <v>2041</v>
      </c>
      <c r="Y9" s="459">
        <v>2042</v>
      </c>
      <c r="Z9" s="459">
        <v>2043</v>
      </c>
      <c r="AA9" s="459">
        <v>2044</v>
      </c>
      <c r="AB9" s="459">
        <v>2045</v>
      </c>
      <c r="AC9" s="459">
        <v>2046</v>
      </c>
      <c r="AD9" s="459">
        <v>2047</v>
      </c>
      <c r="AE9" s="459">
        <v>2048</v>
      </c>
      <c r="AF9" s="459">
        <v>2049</v>
      </c>
      <c r="AG9" s="459">
        <v>2050</v>
      </c>
      <c r="AH9" s="1317" t="s">
        <v>975</v>
      </c>
      <c r="AI9" s="459" t="s">
        <v>292</v>
      </c>
    </row>
    <row r="10" spans="1:35" s="90" customFormat="1" ht="14" thickTop="1" thickBot="1">
      <c r="A10" s="5"/>
      <c r="B10" s="5"/>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1318"/>
      <c r="AI10" s="91"/>
    </row>
    <row r="11" spans="1:35" s="90" customFormat="1" ht="13.5" thickBot="1">
      <c r="A11" s="5"/>
      <c r="B11" s="1484" t="s">
        <v>747</v>
      </c>
      <c r="C11" s="1485"/>
      <c r="D11" s="1485"/>
      <c r="E11" s="1485"/>
      <c r="F11" s="1485"/>
      <c r="G11" s="1485"/>
      <c r="H11" s="1485"/>
      <c r="I11" s="1485"/>
      <c r="J11" s="1485"/>
      <c r="K11" s="1485"/>
      <c r="L11" s="1485"/>
      <c r="M11" s="1485"/>
      <c r="N11" s="1485"/>
      <c r="O11" s="1485"/>
      <c r="P11" s="1485"/>
      <c r="Q11" s="1485"/>
      <c r="R11" s="1485"/>
      <c r="S11" s="1485"/>
      <c r="T11" s="1485"/>
      <c r="U11" s="1485"/>
      <c r="V11" s="1485"/>
      <c r="W11" s="1485"/>
      <c r="X11" s="1485"/>
      <c r="Y11" s="1485"/>
      <c r="Z11" s="1485"/>
      <c r="AA11" s="1485"/>
      <c r="AB11" s="1485"/>
      <c r="AC11" s="1485"/>
      <c r="AD11" s="1485"/>
      <c r="AE11" s="1485"/>
      <c r="AF11" s="1485"/>
      <c r="AG11" s="1485"/>
      <c r="AH11" s="1485"/>
      <c r="AI11" s="1486"/>
    </row>
    <row r="12" spans="1:35" ht="15" customHeight="1" thickBot="1">
      <c r="C12" s="76"/>
    </row>
    <row r="13" spans="1:35" s="463" customFormat="1" ht="21.75" customHeight="1" thickBot="1">
      <c r="A13" s="269"/>
      <c r="B13" s="331" t="s">
        <v>60</v>
      </c>
      <c r="C13" s="332">
        <f t="shared" ref="C13:AH13" si="0">+C14+C15</f>
        <v>15247.916028384045</v>
      </c>
      <c r="D13" s="332">
        <f t="shared" si="0"/>
        <v>11299.959452965946</v>
      </c>
      <c r="E13" s="332">
        <f t="shared" si="0"/>
        <v>9929.9605305487657</v>
      </c>
      <c r="F13" s="332">
        <f t="shared" si="0"/>
        <v>7941.0542162895399</v>
      </c>
      <c r="G13" s="332">
        <f t="shared" si="0"/>
        <v>6742.498997990072</v>
      </c>
      <c r="H13" s="332">
        <f t="shared" si="0"/>
        <v>6169.6961948975495</v>
      </c>
      <c r="I13" s="332">
        <f t="shared" si="0"/>
        <v>5224.9483442236615</v>
      </c>
      <c r="J13" s="332">
        <f t="shared" si="0"/>
        <v>4354.9030484507548</v>
      </c>
      <c r="K13" s="332">
        <f t="shared" si="0"/>
        <v>3416.6037416816748</v>
      </c>
      <c r="L13" s="332">
        <f t="shared" si="0"/>
        <v>3032.0091012759904</v>
      </c>
      <c r="M13" s="332">
        <f t="shared" si="0"/>
        <v>2842.298786263239</v>
      </c>
      <c r="N13" s="332">
        <f t="shared" si="0"/>
        <v>2542.7006250967565</v>
      </c>
      <c r="O13" s="332">
        <f t="shared" si="0"/>
        <v>2250.7563024754809</v>
      </c>
      <c r="P13" s="332">
        <f t="shared" si="0"/>
        <v>1975.5449598634123</v>
      </c>
      <c r="Q13" s="332">
        <f t="shared" si="0"/>
        <v>1748.2879550610696</v>
      </c>
      <c r="R13" s="332">
        <f t="shared" si="0"/>
        <v>1618.4424186600809</v>
      </c>
      <c r="S13" s="332">
        <f t="shared" si="0"/>
        <v>1450.3792416791582</v>
      </c>
      <c r="T13" s="332">
        <f t="shared" si="0"/>
        <v>1140.0651170154902</v>
      </c>
      <c r="U13" s="332">
        <f t="shared" si="0"/>
        <v>1001.3227654294623</v>
      </c>
      <c r="V13" s="332">
        <f t="shared" si="0"/>
        <v>866.99759620619102</v>
      </c>
      <c r="W13" s="332">
        <f t="shared" si="0"/>
        <v>836.52367808463998</v>
      </c>
      <c r="X13" s="332">
        <f t="shared" si="0"/>
        <v>806.81901370678577</v>
      </c>
      <c r="Y13" s="332">
        <f t="shared" si="0"/>
        <v>777.87725285494162</v>
      </c>
      <c r="Z13" s="332">
        <f t="shared" si="0"/>
        <v>749.2446794439312</v>
      </c>
      <c r="AA13" s="332">
        <f t="shared" si="0"/>
        <v>721.61751999144894</v>
      </c>
      <c r="AB13" s="332">
        <f t="shared" si="0"/>
        <v>694.91284984217918</v>
      </c>
      <c r="AC13" s="332">
        <f t="shared" si="0"/>
        <v>569.38208947500152</v>
      </c>
      <c r="AD13" s="332">
        <f t="shared" si="0"/>
        <v>461.39755421500172</v>
      </c>
      <c r="AE13" s="332">
        <f t="shared" si="0"/>
        <v>303.18359086000004</v>
      </c>
      <c r="AF13" s="332">
        <f t="shared" si="0"/>
        <v>198.05513267000001</v>
      </c>
      <c r="AG13" s="332">
        <f t="shared" ref="AG13" si="1">+AG14+AG15</f>
        <v>196.81079088999999</v>
      </c>
      <c r="AH13" s="1319">
        <f t="shared" si="0"/>
        <v>13029.872910689999</v>
      </c>
      <c r="AI13" s="332">
        <f>SUM(C13:AH13)</f>
        <v>110142.04248718225</v>
      </c>
    </row>
    <row r="14" spans="1:35" s="463" customFormat="1">
      <c r="A14" s="269"/>
      <c r="B14" s="341" t="s">
        <v>61</v>
      </c>
      <c r="C14" s="92">
        <v>923.13995520817105</v>
      </c>
      <c r="D14" s="92">
        <v>0</v>
      </c>
      <c r="E14" s="92">
        <v>0</v>
      </c>
      <c r="F14" s="92">
        <v>0</v>
      </c>
      <c r="G14" s="92">
        <v>0</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2">
        <v>0</v>
      </c>
      <c r="AA14" s="92">
        <v>0</v>
      </c>
      <c r="AB14" s="92">
        <v>0</v>
      </c>
      <c r="AC14" s="92">
        <v>0</v>
      </c>
      <c r="AD14" s="92">
        <v>0</v>
      </c>
      <c r="AE14" s="92">
        <v>0</v>
      </c>
      <c r="AF14" s="92">
        <v>0</v>
      </c>
      <c r="AG14" s="1013">
        <v>0</v>
      </c>
      <c r="AH14" s="1320">
        <v>0</v>
      </c>
      <c r="AI14" s="77">
        <f>SUM(C14:AH14)</f>
        <v>923.13995520817105</v>
      </c>
    </row>
    <row r="15" spans="1:35" s="463" customFormat="1">
      <c r="A15" s="269"/>
      <c r="B15" s="341" t="s">
        <v>62</v>
      </c>
      <c r="C15" s="92">
        <v>14324.776073175874</v>
      </c>
      <c r="D15" s="92">
        <v>11299.959452965946</v>
      </c>
      <c r="E15" s="92">
        <v>9929.9605305487657</v>
      </c>
      <c r="F15" s="92">
        <v>7941.0542162895399</v>
      </c>
      <c r="G15" s="92">
        <v>6742.498997990072</v>
      </c>
      <c r="H15" s="92">
        <v>6169.6961948975495</v>
      </c>
      <c r="I15" s="92">
        <v>5224.9483442236615</v>
      </c>
      <c r="J15" s="92">
        <v>4354.9030484507548</v>
      </c>
      <c r="K15" s="92">
        <v>3416.6037416816748</v>
      </c>
      <c r="L15" s="92">
        <v>3032.0091012759904</v>
      </c>
      <c r="M15" s="92">
        <v>2842.298786263239</v>
      </c>
      <c r="N15" s="92">
        <v>2542.7006250967565</v>
      </c>
      <c r="O15" s="92">
        <v>2250.7563024754809</v>
      </c>
      <c r="P15" s="92">
        <v>1975.5449598634123</v>
      </c>
      <c r="Q15" s="92">
        <v>1748.2879550610696</v>
      </c>
      <c r="R15" s="92">
        <v>1618.4424186600809</v>
      </c>
      <c r="S15" s="92">
        <v>1450.3792416791582</v>
      </c>
      <c r="T15" s="92">
        <v>1140.0651170154902</v>
      </c>
      <c r="U15" s="92">
        <v>1001.3227654294623</v>
      </c>
      <c r="V15" s="92">
        <v>866.99759620619102</v>
      </c>
      <c r="W15" s="92">
        <v>836.52367808463998</v>
      </c>
      <c r="X15" s="92">
        <v>806.81901370678577</v>
      </c>
      <c r="Y15" s="92">
        <v>777.87725285494162</v>
      </c>
      <c r="Z15" s="92">
        <v>749.2446794439312</v>
      </c>
      <c r="AA15" s="92">
        <v>721.61751999144894</v>
      </c>
      <c r="AB15" s="92">
        <v>694.91284984217918</v>
      </c>
      <c r="AC15" s="92">
        <v>569.38208947500152</v>
      </c>
      <c r="AD15" s="92">
        <v>461.39755421500172</v>
      </c>
      <c r="AE15" s="92">
        <v>303.18359086000004</v>
      </c>
      <c r="AF15" s="92">
        <v>198.05513267000001</v>
      </c>
      <c r="AG15" s="1013">
        <v>196.81079088999999</v>
      </c>
      <c r="AH15" s="1320">
        <v>13029.872910689999</v>
      </c>
      <c r="AI15" s="77">
        <f>SUM(C15:AH15)</f>
        <v>109218.90253197408</v>
      </c>
    </row>
    <row r="16" spans="1:35" s="463" customFormat="1" ht="13.5" thickBot="1">
      <c r="A16" s="269"/>
      <c r="B16" s="269"/>
      <c r="C16" s="807"/>
      <c r="D16" s="342"/>
      <c r="E16" s="342"/>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1321"/>
      <c r="AI16" s="342"/>
    </row>
    <row r="17" spans="1:81" s="463" customFormat="1" ht="13.5" thickBot="1">
      <c r="A17" s="269"/>
      <c r="B17" s="126" t="s">
        <v>53</v>
      </c>
      <c r="C17" s="78">
        <f t="shared" ref="C17:AH17" si="2">+C18+C23+C25+C28+C29+C32</f>
        <v>2929.6876490554164</v>
      </c>
      <c r="D17" s="78">
        <f t="shared" si="2"/>
        <v>2594.6098575945953</v>
      </c>
      <c r="E17" s="78">
        <f t="shared" si="2"/>
        <v>2283.9335895650761</v>
      </c>
      <c r="F17" s="78">
        <f t="shared" si="2"/>
        <v>1384.6243775859393</v>
      </c>
      <c r="G17" s="78">
        <f t="shared" si="2"/>
        <v>758.96016243037059</v>
      </c>
      <c r="H17" s="78">
        <f t="shared" si="2"/>
        <v>613.1209303365838</v>
      </c>
      <c r="I17" s="78">
        <f t="shared" si="2"/>
        <v>543.51561018833263</v>
      </c>
      <c r="J17" s="78">
        <f t="shared" si="2"/>
        <v>478.45967916053525</v>
      </c>
      <c r="K17" s="78">
        <f t="shared" si="2"/>
        <v>413.65046130603997</v>
      </c>
      <c r="L17" s="78">
        <f t="shared" si="2"/>
        <v>354.91344842185714</v>
      </c>
      <c r="M17" s="78">
        <f t="shared" si="2"/>
        <v>303.96950862343556</v>
      </c>
      <c r="N17" s="78">
        <f t="shared" si="2"/>
        <v>249.51257601057767</v>
      </c>
      <c r="O17" s="78">
        <f t="shared" si="2"/>
        <v>202.56552427518122</v>
      </c>
      <c r="P17" s="78">
        <f t="shared" si="2"/>
        <v>172.63936789139328</v>
      </c>
      <c r="Q17" s="78">
        <f t="shared" si="2"/>
        <v>147.03997825027056</v>
      </c>
      <c r="R17" s="78">
        <f t="shared" si="2"/>
        <v>122.63204917596617</v>
      </c>
      <c r="S17" s="78">
        <f t="shared" si="2"/>
        <v>99.864498325587249</v>
      </c>
      <c r="T17" s="78">
        <f t="shared" si="2"/>
        <v>78.172145085453835</v>
      </c>
      <c r="U17" s="78">
        <f t="shared" si="2"/>
        <v>60.088754252368759</v>
      </c>
      <c r="V17" s="78">
        <f t="shared" si="2"/>
        <v>46.757150266590997</v>
      </c>
      <c r="W17" s="78">
        <f t="shared" si="2"/>
        <v>39.223850473658601</v>
      </c>
      <c r="X17" s="78">
        <f t="shared" si="2"/>
        <v>32.747719811952223</v>
      </c>
      <c r="Y17" s="78">
        <f t="shared" si="2"/>
        <v>26.890534984052778</v>
      </c>
      <c r="Z17" s="78">
        <f t="shared" si="2"/>
        <v>21.342537596985537</v>
      </c>
      <c r="AA17" s="78">
        <f t="shared" si="2"/>
        <v>16.655996470000005</v>
      </c>
      <c r="AB17" s="78">
        <f t="shared" si="2"/>
        <v>13.179860039999999</v>
      </c>
      <c r="AC17" s="78">
        <f t="shared" si="2"/>
        <v>9.8062816899999987</v>
      </c>
      <c r="AD17" s="78">
        <f t="shared" si="2"/>
        <v>6.6654964300000001</v>
      </c>
      <c r="AE17" s="78">
        <f t="shared" si="2"/>
        <v>4.1210908599999998</v>
      </c>
      <c r="AF17" s="78">
        <f t="shared" si="2"/>
        <v>2.1176326699999999</v>
      </c>
      <c r="AG17" s="78">
        <f t="shared" si="2"/>
        <v>0.87329089000000004</v>
      </c>
      <c r="AH17" s="1322">
        <f t="shared" si="2"/>
        <v>2.916069E-2</v>
      </c>
      <c r="AI17" s="127">
        <f t="shared" ref="AI17:AI34" si="3">SUM(C17:AH17)</f>
        <v>14012.370770408223</v>
      </c>
    </row>
    <row r="18" spans="1:81" s="463" customFormat="1">
      <c r="B18" s="376" t="s">
        <v>63</v>
      </c>
      <c r="C18" s="79">
        <f t="shared" ref="C18:AH18" si="4">SUM(C19:C22)</f>
        <v>2338.9167282257781</v>
      </c>
      <c r="D18" s="79">
        <f t="shared" si="4"/>
        <v>2378.0180721766174</v>
      </c>
      <c r="E18" s="79">
        <f t="shared" si="4"/>
        <v>2095.8845607206276</v>
      </c>
      <c r="F18" s="79">
        <f t="shared" si="4"/>
        <v>1222.3716950786795</v>
      </c>
      <c r="G18" s="79">
        <f t="shared" si="4"/>
        <v>616.27877524319331</v>
      </c>
      <c r="H18" s="79">
        <f t="shared" si="4"/>
        <v>488.5666133195075</v>
      </c>
      <c r="I18" s="79">
        <f t="shared" si="4"/>
        <v>436.671538702737</v>
      </c>
      <c r="J18" s="79">
        <f t="shared" si="4"/>
        <v>390.83244552159204</v>
      </c>
      <c r="K18" s="79">
        <f t="shared" si="4"/>
        <v>348.14912113826489</v>
      </c>
      <c r="L18" s="79">
        <f t="shared" si="4"/>
        <v>305.74350046663267</v>
      </c>
      <c r="M18" s="79">
        <f t="shared" si="4"/>
        <v>266.76564088112997</v>
      </c>
      <c r="N18" s="79">
        <f t="shared" si="4"/>
        <v>228.99860004562723</v>
      </c>
      <c r="O18" s="79">
        <f t="shared" si="4"/>
        <v>195.55711683343344</v>
      </c>
      <c r="P18" s="79">
        <f t="shared" si="4"/>
        <v>167.22141521341223</v>
      </c>
      <c r="Q18" s="79">
        <f t="shared" si="4"/>
        <v>142.48202428911893</v>
      </c>
      <c r="R18" s="79">
        <f t="shared" si="4"/>
        <v>118.9255252836162</v>
      </c>
      <c r="S18" s="79">
        <f t="shared" si="4"/>
        <v>97.009114709999992</v>
      </c>
      <c r="T18" s="79">
        <f t="shared" si="4"/>
        <v>76.167841379999984</v>
      </c>
      <c r="U18" s="79">
        <f t="shared" si="4"/>
        <v>58.837928449999993</v>
      </c>
      <c r="V18" s="79">
        <f t="shared" si="4"/>
        <v>46.649563250000007</v>
      </c>
      <c r="W18" s="79">
        <f t="shared" si="4"/>
        <v>39.151634999999999</v>
      </c>
      <c r="X18" s="79">
        <f t="shared" si="4"/>
        <v>32.699029319999994</v>
      </c>
      <c r="Y18" s="79">
        <f t="shared" si="4"/>
        <v>26.864547099999996</v>
      </c>
      <c r="Z18" s="79">
        <f t="shared" si="4"/>
        <v>21.334866590000004</v>
      </c>
      <c r="AA18" s="79">
        <f t="shared" si="4"/>
        <v>16.655996470000005</v>
      </c>
      <c r="AB18" s="79">
        <f t="shared" si="4"/>
        <v>13.179860039999999</v>
      </c>
      <c r="AC18" s="79">
        <f t="shared" si="4"/>
        <v>9.8062816899999987</v>
      </c>
      <c r="AD18" s="79">
        <f t="shared" si="4"/>
        <v>6.6654964300000001</v>
      </c>
      <c r="AE18" s="79">
        <f t="shared" si="4"/>
        <v>4.1210908599999998</v>
      </c>
      <c r="AF18" s="79">
        <f t="shared" si="4"/>
        <v>2.1176326699999999</v>
      </c>
      <c r="AG18" s="79">
        <f t="shared" ref="AG18" si="5">SUM(AG19:AG22)</f>
        <v>0.87329089000000004</v>
      </c>
      <c r="AH18" s="1323">
        <f t="shared" si="4"/>
        <v>2.916069E-2</v>
      </c>
      <c r="AI18" s="79">
        <f t="shared" si="3"/>
        <v>12193.546708679967</v>
      </c>
    </row>
    <row r="19" spans="1:81" s="463" customFormat="1">
      <c r="B19" s="346" t="s">
        <v>64</v>
      </c>
      <c r="C19" s="94">
        <v>210.61778412999999</v>
      </c>
      <c r="D19" s="94">
        <v>198.91463982000008</v>
      </c>
      <c r="E19" s="94">
        <v>189.19474914000003</v>
      </c>
      <c r="F19" s="94">
        <v>181.33745841000004</v>
      </c>
      <c r="G19" s="94">
        <v>173.61519185999998</v>
      </c>
      <c r="H19" s="94">
        <v>164.60396670000009</v>
      </c>
      <c r="I19" s="94">
        <v>155.67054667999997</v>
      </c>
      <c r="J19" s="94">
        <v>145.91547305</v>
      </c>
      <c r="K19" s="94">
        <v>136.50365266999998</v>
      </c>
      <c r="L19" s="94">
        <v>126.40350979999999</v>
      </c>
      <c r="M19" s="94">
        <v>116.64752827000002</v>
      </c>
      <c r="N19" s="94">
        <v>106.89154660000001</v>
      </c>
      <c r="O19" s="94">
        <v>97.385441260000007</v>
      </c>
      <c r="P19" s="94">
        <v>87.379583340000025</v>
      </c>
      <c r="Q19" s="94">
        <v>77.623601780000001</v>
      </c>
      <c r="R19" s="94">
        <v>67.867620040000006</v>
      </c>
      <c r="S19" s="94">
        <v>58.267229779999994</v>
      </c>
      <c r="T19" s="94">
        <v>48.385358449999984</v>
      </c>
      <c r="U19" s="94">
        <v>40.216192239999998</v>
      </c>
      <c r="V19" s="94">
        <v>34.304993960000004</v>
      </c>
      <c r="W19" s="94">
        <v>30.347212620000001</v>
      </c>
      <c r="X19" s="94">
        <v>26.810637569999997</v>
      </c>
      <c r="Y19" s="94">
        <v>23.402943189999995</v>
      </c>
      <c r="Z19" s="94">
        <v>19.995248800000006</v>
      </c>
      <c r="AA19" s="94">
        <v>16.635166950000006</v>
      </c>
      <c r="AB19" s="94">
        <v>13.179860039999999</v>
      </c>
      <c r="AC19" s="94">
        <v>9.8062816899999987</v>
      </c>
      <c r="AD19" s="94">
        <v>6.6654964300000001</v>
      </c>
      <c r="AE19" s="94">
        <v>4.1210908599999998</v>
      </c>
      <c r="AF19" s="94">
        <v>2.1176326699999999</v>
      </c>
      <c r="AG19" s="1005">
        <v>0.87329089000000004</v>
      </c>
      <c r="AH19" s="1324">
        <v>2.916069E-2</v>
      </c>
      <c r="AI19" s="94">
        <f t="shared" si="3"/>
        <v>2571.730090380001</v>
      </c>
    </row>
    <row r="20" spans="1:81" s="463" customFormat="1">
      <c r="B20" s="347" t="s">
        <v>65</v>
      </c>
      <c r="C20" s="343">
        <v>414.55933911335217</v>
      </c>
      <c r="D20" s="343">
        <v>382.0213978714383</v>
      </c>
      <c r="E20" s="343">
        <v>353.06161861549612</v>
      </c>
      <c r="F20" s="343">
        <v>326.71599328955466</v>
      </c>
      <c r="G20" s="343">
        <v>300.58754101697104</v>
      </c>
      <c r="H20" s="343">
        <v>271.7408286476703</v>
      </c>
      <c r="I20" s="83">
        <v>244.50866594714699</v>
      </c>
      <c r="J20" s="343">
        <v>218.17597597010308</v>
      </c>
      <c r="K20" s="343">
        <v>193.03348790195506</v>
      </c>
      <c r="L20" s="343">
        <v>167.24607537000006</v>
      </c>
      <c r="M20" s="343">
        <v>143.20383681000001</v>
      </c>
      <c r="N20" s="343">
        <v>119.15958999000006</v>
      </c>
      <c r="O20" s="343">
        <v>96.725493019999988</v>
      </c>
      <c r="P20" s="343">
        <v>79.098380660000018</v>
      </c>
      <c r="Q20" s="343">
        <v>64.287493169999991</v>
      </c>
      <c r="R20" s="343">
        <v>50.643829840000002</v>
      </c>
      <c r="S20" s="343">
        <v>38.467700239999999</v>
      </c>
      <c r="T20" s="343">
        <v>27.613001150000006</v>
      </c>
      <c r="U20" s="343">
        <v>18.544442099999998</v>
      </c>
      <c r="V20" s="343">
        <v>12.340423699999999</v>
      </c>
      <c r="W20" s="343">
        <v>8.8044223800000001</v>
      </c>
      <c r="X20" s="343">
        <v>5.8883917500000003</v>
      </c>
      <c r="Y20" s="343">
        <v>3.46160391</v>
      </c>
      <c r="Z20" s="343">
        <v>1.3396177899999999</v>
      </c>
      <c r="AA20" s="343">
        <v>2.0829519999999997E-2</v>
      </c>
      <c r="AB20" s="343">
        <v>0</v>
      </c>
      <c r="AC20" s="343">
        <v>0</v>
      </c>
      <c r="AD20" s="343">
        <v>0</v>
      </c>
      <c r="AE20" s="343">
        <v>0</v>
      </c>
      <c r="AF20" s="343">
        <v>0</v>
      </c>
      <c r="AG20" s="1000">
        <v>0</v>
      </c>
      <c r="AH20" s="1325">
        <v>0</v>
      </c>
      <c r="AI20" s="83">
        <f t="shared" si="3"/>
        <v>3541.2499797736887</v>
      </c>
    </row>
    <row r="21" spans="1:81" s="463" customFormat="1">
      <c r="B21" s="377" t="s">
        <v>667</v>
      </c>
      <c r="C21" s="344">
        <v>1562.3717739214599</v>
      </c>
      <c r="D21" s="344">
        <v>1665.9609047842901</v>
      </c>
      <c r="E21" s="344">
        <v>1442.7395178512199</v>
      </c>
      <c r="F21" s="344">
        <v>623.25134547842902</v>
      </c>
      <c r="G21" s="344">
        <v>70.789435190818594</v>
      </c>
      <c r="H21" s="344">
        <v>0</v>
      </c>
      <c r="I21" s="82">
        <v>0</v>
      </c>
      <c r="J21" s="344">
        <v>0</v>
      </c>
      <c r="K21" s="344">
        <v>0</v>
      </c>
      <c r="L21" s="344">
        <v>0</v>
      </c>
      <c r="M21" s="344">
        <v>0</v>
      </c>
      <c r="N21" s="344">
        <v>0</v>
      </c>
      <c r="O21" s="344">
        <v>0</v>
      </c>
      <c r="P21" s="344">
        <v>0</v>
      </c>
      <c r="Q21" s="344">
        <v>0</v>
      </c>
      <c r="R21" s="344">
        <v>0</v>
      </c>
      <c r="S21" s="344">
        <v>0</v>
      </c>
      <c r="T21" s="344">
        <v>0</v>
      </c>
      <c r="U21" s="344">
        <v>0</v>
      </c>
      <c r="V21" s="344">
        <v>0</v>
      </c>
      <c r="W21" s="344">
        <v>0</v>
      </c>
      <c r="X21" s="344">
        <v>0</v>
      </c>
      <c r="Y21" s="344">
        <v>0</v>
      </c>
      <c r="Z21" s="344">
        <v>0</v>
      </c>
      <c r="AA21" s="344">
        <v>0</v>
      </c>
      <c r="AB21" s="344">
        <v>0</v>
      </c>
      <c r="AC21" s="344">
        <v>0</v>
      </c>
      <c r="AD21" s="344">
        <v>0</v>
      </c>
      <c r="AE21" s="344">
        <v>0</v>
      </c>
      <c r="AF21" s="344">
        <v>0</v>
      </c>
      <c r="AG21" s="987">
        <v>0</v>
      </c>
      <c r="AH21" s="1326">
        <v>0</v>
      </c>
      <c r="AI21" s="83">
        <f t="shared" si="3"/>
        <v>5365.1129772262184</v>
      </c>
    </row>
    <row r="22" spans="1:81" s="463" customFormat="1">
      <c r="B22" s="377" t="s">
        <v>66</v>
      </c>
      <c r="C22" s="344">
        <v>151.36783106096632</v>
      </c>
      <c r="D22" s="344">
        <v>131.12112970088907</v>
      </c>
      <c r="E22" s="344">
        <v>110.88867511391183</v>
      </c>
      <c r="F22" s="344">
        <v>91.066897900695693</v>
      </c>
      <c r="G22" s="344">
        <v>71.28660717540366</v>
      </c>
      <c r="H22" s="344">
        <v>52.221817971837119</v>
      </c>
      <c r="I22" s="82">
        <v>36.492326075590007</v>
      </c>
      <c r="J22" s="344">
        <v>26.740996501488933</v>
      </c>
      <c r="K22" s="344">
        <v>18.611980566309832</v>
      </c>
      <c r="L22" s="344">
        <v>12.093915296632661</v>
      </c>
      <c r="M22" s="344">
        <v>6.914275801129917</v>
      </c>
      <c r="N22" s="344">
        <v>2.9474634556271719</v>
      </c>
      <c r="O22" s="344">
        <v>1.4461825534334716</v>
      </c>
      <c r="P22" s="344">
        <v>0.74345121341217357</v>
      </c>
      <c r="Q22" s="344">
        <v>0.57092933911893284</v>
      </c>
      <c r="R22" s="344">
        <v>0.41407540361618644</v>
      </c>
      <c r="S22" s="344">
        <v>0.27418469000000001</v>
      </c>
      <c r="T22" s="344">
        <v>0.16948178</v>
      </c>
      <c r="U22" s="344">
        <v>7.7294109999999999E-2</v>
      </c>
      <c r="V22" s="344">
        <v>4.1455900000000002E-3</v>
      </c>
      <c r="W22" s="344">
        <v>0</v>
      </c>
      <c r="X22" s="344">
        <v>0</v>
      </c>
      <c r="Y22" s="344">
        <v>0</v>
      </c>
      <c r="Z22" s="344">
        <v>0</v>
      </c>
      <c r="AA22" s="344">
        <v>0</v>
      </c>
      <c r="AB22" s="344">
        <v>0</v>
      </c>
      <c r="AC22" s="344">
        <v>0</v>
      </c>
      <c r="AD22" s="344">
        <v>0</v>
      </c>
      <c r="AE22" s="344">
        <v>0</v>
      </c>
      <c r="AF22" s="344">
        <v>0</v>
      </c>
      <c r="AG22" s="987">
        <v>0</v>
      </c>
      <c r="AH22" s="1326">
        <v>0</v>
      </c>
      <c r="AI22" s="82">
        <f t="shared" si="3"/>
        <v>715.45366130006289</v>
      </c>
    </row>
    <row r="23" spans="1:81" s="463" customFormat="1">
      <c r="B23" s="339" t="s">
        <v>67</v>
      </c>
      <c r="C23" s="362">
        <f t="shared" ref="C23:AH23" si="6">+C24</f>
        <v>31.700700836490263</v>
      </c>
      <c r="D23" s="362">
        <f t="shared" si="6"/>
        <v>31.496423105876218</v>
      </c>
      <c r="E23" s="362">
        <f t="shared" si="6"/>
        <v>31.496423105876218</v>
      </c>
      <c r="F23" s="362">
        <f t="shared" si="6"/>
        <v>31.496423105876218</v>
      </c>
      <c r="G23" s="362">
        <f t="shared" si="6"/>
        <v>31.56059803227631</v>
      </c>
      <c r="H23" s="362">
        <f t="shared" si="6"/>
        <v>31.496423105876218</v>
      </c>
      <c r="I23" s="362">
        <f t="shared" si="6"/>
        <v>31.496423105876218</v>
      </c>
      <c r="J23" s="362">
        <f t="shared" si="6"/>
        <v>29.917948574163692</v>
      </c>
      <c r="K23" s="362">
        <f t="shared" si="6"/>
        <v>25.246699905426166</v>
      </c>
      <c r="L23" s="362">
        <f t="shared" si="6"/>
        <v>25.182524979026073</v>
      </c>
      <c r="M23" s="362">
        <f t="shared" si="6"/>
        <v>24.469011061303792</v>
      </c>
      <c r="N23" s="362">
        <f t="shared" si="6"/>
        <v>11.683690245401898</v>
      </c>
      <c r="O23" s="362">
        <f t="shared" si="6"/>
        <v>0</v>
      </c>
      <c r="P23" s="362">
        <f t="shared" si="6"/>
        <v>0</v>
      </c>
      <c r="Q23" s="362">
        <f t="shared" si="6"/>
        <v>0</v>
      </c>
      <c r="R23" s="362">
        <f t="shared" si="6"/>
        <v>0</v>
      </c>
      <c r="S23" s="362">
        <f t="shared" si="6"/>
        <v>0</v>
      </c>
      <c r="T23" s="362">
        <f t="shared" si="6"/>
        <v>0</v>
      </c>
      <c r="U23" s="362">
        <f t="shared" si="6"/>
        <v>0</v>
      </c>
      <c r="V23" s="362">
        <f t="shared" si="6"/>
        <v>0</v>
      </c>
      <c r="W23" s="362">
        <f t="shared" si="6"/>
        <v>0</v>
      </c>
      <c r="X23" s="362">
        <f t="shared" si="6"/>
        <v>0</v>
      </c>
      <c r="Y23" s="362">
        <f t="shared" si="6"/>
        <v>0</v>
      </c>
      <c r="Z23" s="362">
        <f t="shared" si="6"/>
        <v>0</v>
      </c>
      <c r="AA23" s="362">
        <f t="shared" si="6"/>
        <v>0</v>
      </c>
      <c r="AB23" s="362">
        <f t="shared" si="6"/>
        <v>0</v>
      </c>
      <c r="AC23" s="362">
        <f t="shared" si="6"/>
        <v>0</v>
      </c>
      <c r="AD23" s="362">
        <f t="shared" si="6"/>
        <v>0</v>
      </c>
      <c r="AE23" s="362">
        <f t="shared" si="6"/>
        <v>0</v>
      </c>
      <c r="AF23" s="362">
        <f t="shared" si="6"/>
        <v>0</v>
      </c>
      <c r="AG23" s="362">
        <f t="shared" si="6"/>
        <v>0</v>
      </c>
      <c r="AH23" s="1327">
        <f t="shared" si="6"/>
        <v>0</v>
      </c>
      <c r="AI23" s="80">
        <f t="shared" si="3"/>
        <v>337.24328916346929</v>
      </c>
    </row>
    <row r="24" spans="1:81" s="463" customFormat="1">
      <c r="B24" s="346" t="s">
        <v>68</v>
      </c>
      <c r="C24" s="345">
        <v>31.700700836490263</v>
      </c>
      <c r="D24" s="345">
        <v>31.496423105876218</v>
      </c>
      <c r="E24" s="345">
        <v>31.496423105876218</v>
      </c>
      <c r="F24" s="345">
        <v>31.496423105876218</v>
      </c>
      <c r="G24" s="345">
        <v>31.56059803227631</v>
      </c>
      <c r="H24" s="345">
        <v>31.496423105876218</v>
      </c>
      <c r="I24" s="94">
        <v>31.496423105876218</v>
      </c>
      <c r="J24" s="345">
        <v>29.917948574163692</v>
      </c>
      <c r="K24" s="345">
        <v>25.246699905426166</v>
      </c>
      <c r="L24" s="345">
        <v>25.182524979026073</v>
      </c>
      <c r="M24" s="345">
        <v>24.469011061303792</v>
      </c>
      <c r="N24" s="345">
        <v>11.683690245401898</v>
      </c>
      <c r="O24" s="345">
        <v>0</v>
      </c>
      <c r="P24" s="345">
        <v>0</v>
      </c>
      <c r="Q24" s="345">
        <v>0</v>
      </c>
      <c r="R24" s="345">
        <v>0</v>
      </c>
      <c r="S24" s="345">
        <v>0</v>
      </c>
      <c r="T24" s="345">
        <v>0</v>
      </c>
      <c r="U24" s="345">
        <v>0</v>
      </c>
      <c r="V24" s="345">
        <v>0</v>
      </c>
      <c r="W24" s="345">
        <v>0</v>
      </c>
      <c r="X24" s="345">
        <v>0</v>
      </c>
      <c r="Y24" s="345">
        <v>0</v>
      </c>
      <c r="Z24" s="345">
        <v>0</v>
      </c>
      <c r="AA24" s="345">
        <v>0</v>
      </c>
      <c r="AB24" s="345">
        <v>0</v>
      </c>
      <c r="AC24" s="345">
        <v>0</v>
      </c>
      <c r="AD24" s="345">
        <v>0</v>
      </c>
      <c r="AE24" s="345">
        <v>0</v>
      </c>
      <c r="AF24" s="345">
        <v>0</v>
      </c>
      <c r="AG24" s="989">
        <v>0</v>
      </c>
      <c r="AH24" s="1328">
        <v>0</v>
      </c>
      <c r="AI24" s="94">
        <f t="shared" si="3"/>
        <v>337.24328916346929</v>
      </c>
    </row>
    <row r="25" spans="1:81" s="463" customFormat="1">
      <c r="B25" s="339" t="s">
        <v>69</v>
      </c>
      <c r="C25" s="362">
        <f t="shared" ref="C25:AH25" si="7">+C26+C27</f>
        <v>140.93668453133139</v>
      </c>
      <c r="D25" s="362">
        <f t="shared" si="7"/>
        <v>2.8685961345638864</v>
      </c>
      <c r="E25" s="362">
        <f t="shared" si="7"/>
        <v>2.4276409026300403</v>
      </c>
      <c r="F25" s="362">
        <f t="shared" si="7"/>
        <v>1.9873729468953019</v>
      </c>
      <c r="G25" s="362">
        <f t="shared" si="7"/>
        <v>1.5588831227729385</v>
      </c>
      <c r="H25" s="362">
        <f t="shared" si="7"/>
        <v>1.1328944640262977</v>
      </c>
      <c r="I25" s="362">
        <f t="shared" si="7"/>
        <v>0.7452497926241457</v>
      </c>
      <c r="J25" s="362">
        <f t="shared" si="7"/>
        <v>0.36543423383028806</v>
      </c>
      <c r="K25" s="362">
        <f t="shared" si="7"/>
        <v>7.8688196390539145E-2</v>
      </c>
      <c r="L25" s="362">
        <f t="shared" si="7"/>
        <v>4.3924492769868796E-2</v>
      </c>
      <c r="M25" s="362">
        <f t="shared" si="7"/>
        <v>9.3995404102679113E-3</v>
      </c>
      <c r="N25" s="362">
        <f t="shared" si="7"/>
        <v>0</v>
      </c>
      <c r="O25" s="362">
        <f t="shared" si="7"/>
        <v>0</v>
      </c>
      <c r="P25" s="362">
        <f t="shared" si="7"/>
        <v>0</v>
      </c>
      <c r="Q25" s="362">
        <f t="shared" si="7"/>
        <v>0</v>
      </c>
      <c r="R25" s="362">
        <f t="shared" si="7"/>
        <v>0</v>
      </c>
      <c r="S25" s="362">
        <f t="shared" si="7"/>
        <v>0</v>
      </c>
      <c r="T25" s="362">
        <f t="shared" si="7"/>
        <v>0</v>
      </c>
      <c r="U25" s="362">
        <f t="shared" si="7"/>
        <v>0</v>
      </c>
      <c r="V25" s="362">
        <f t="shared" si="7"/>
        <v>0</v>
      </c>
      <c r="W25" s="362">
        <f t="shared" si="7"/>
        <v>0</v>
      </c>
      <c r="X25" s="362">
        <f t="shared" si="7"/>
        <v>0</v>
      </c>
      <c r="Y25" s="362">
        <f t="shared" si="7"/>
        <v>0</v>
      </c>
      <c r="Z25" s="362">
        <f t="shared" si="7"/>
        <v>0</v>
      </c>
      <c r="AA25" s="362">
        <f t="shared" si="7"/>
        <v>0</v>
      </c>
      <c r="AB25" s="362">
        <f t="shared" si="7"/>
        <v>0</v>
      </c>
      <c r="AC25" s="362">
        <f t="shared" si="7"/>
        <v>0</v>
      </c>
      <c r="AD25" s="362">
        <f t="shared" si="7"/>
        <v>0</v>
      </c>
      <c r="AE25" s="362">
        <f t="shared" si="7"/>
        <v>0</v>
      </c>
      <c r="AF25" s="362">
        <f t="shared" si="7"/>
        <v>0</v>
      </c>
      <c r="AG25" s="362">
        <f t="shared" si="7"/>
        <v>0</v>
      </c>
      <c r="AH25" s="1327">
        <f t="shared" si="7"/>
        <v>0</v>
      </c>
      <c r="AI25" s="80">
        <f t="shared" si="3"/>
        <v>152.15476835824495</v>
      </c>
    </row>
    <row r="26" spans="1:81" s="463" customFormat="1">
      <c r="B26" s="347" t="s">
        <v>72</v>
      </c>
      <c r="C26" s="343">
        <v>137.61365141547722</v>
      </c>
      <c r="D26" s="343">
        <v>0</v>
      </c>
      <c r="E26" s="343">
        <v>0</v>
      </c>
      <c r="F26" s="343">
        <v>0</v>
      </c>
      <c r="G26" s="343">
        <v>0</v>
      </c>
      <c r="H26" s="343">
        <v>0</v>
      </c>
      <c r="I26" s="343">
        <v>0</v>
      </c>
      <c r="J26" s="343">
        <v>0</v>
      </c>
      <c r="K26" s="343">
        <v>0</v>
      </c>
      <c r="L26" s="343">
        <v>0</v>
      </c>
      <c r="M26" s="343">
        <v>0</v>
      </c>
      <c r="N26" s="343">
        <v>0</v>
      </c>
      <c r="O26" s="343">
        <v>0</v>
      </c>
      <c r="P26" s="343">
        <v>0</v>
      </c>
      <c r="Q26" s="343">
        <v>0</v>
      </c>
      <c r="R26" s="343">
        <v>0</v>
      </c>
      <c r="S26" s="343">
        <v>0</v>
      </c>
      <c r="T26" s="343">
        <v>0</v>
      </c>
      <c r="U26" s="343">
        <v>0</v>
      </c>
      <c r="V26" s="343">
        <v>0</v>
      </c>
      <c r="W26" s="343">
        <v>0</v>
      </c>
      <c r="X26" s="343">
        <v>0</v>
      </c>
      <c r="Y26" s="343">
        <v>0</v>
      </c>
      <c r="Z26" s="343">
        <v>0</v>
      </c>
      <c r="AA26" s="343">
        <v>0</v>
      </c>
      <c r="AB26" s="343">
        <v>0</v>
      </c>
      <c r="AC26" s="343">
        <v>0</v>
      </c>
      <c r="AD26" s="343">
        <v>0</v>
      </c>
      <c r="AE26" s="343">
        <v>0</v>
      </c>
      <c r="AF26" s="343">
        <v>0</v>
      </c>
      <c r="AG26" s="1000">
        <v>0</v>
      </c>
      <c r="AH26" s="1325">
        <v>0</v>
      </c>
      <c r="AI26" s="83">
        <f t="shared" si="3"/>
        <v>137.61365141547722</v>
      </c>
    </row>
    <row r="27" spans="1:81" s="463" customFormat="1">
      <c r="B27" s="347" t="s">
        <v>70</v>
      </c>
      <c r="C27" s="343">
        <v>3.3230331158541602</v>
      </c>
      <c r="D27" s="343">
        <v>2.8685961345638864</v>
      </c>
      <c r="E27" s="343">
        <v>2.4276409026300403</v>
      </c>
      <c r="F27" s="343">
        <v>1.9873729468953019</v>
      </c>
      <c r="G27" s="343">
        <v>1.5588831227729385</v>
      </c>
      <c r="H27" s="343">
        <v>1.1328944640262977</v>
      </c>
      <c r="I27" s="343">
        <v>0.7452497926241457</v>
      </c>
      <c r="J27" s="343">
        <v>0.36543423383028806</v>
      </c>
      <c r="K27" s="343">
        <v>7.8688196390539145E-2</v>
      </c>
      <c r="L27" s="343">
        <v>4.3924492769868796E-2</v>
      </c>
      <c r="M27" s="343">
        <v>9.3995404102679113E-3</v>
      </c>
      <c r="N27" s="343">
        <v>0</v>
      </c>
      <c r="O27" s="343">
        <v>0</v>
      </c>
      <c r="P27" s="343">
        <v>0</v>
      </c>
      <c r="Q27" s="343">
        <v>0</v>
      </c>
      <c r="R27" s="343">
        <v>0</v>
      </c>
      <c r="S27" s="343">
        <v>0</v>
      </c>
      <c r="T27" s="343">
        <v>0</v>
      </c>
      <c r="U27" s="343">
        <v>0</v>
      </c>
      <c r="V27" s="343">
        <v>0</v>
      </c>
      <c r="W27" s="343">
        <v>0</v>
      </c>
      <c r="X27" s="343">
        <v>0</v>
      </c>
      <c r="Y27" s="343">
        <v>0</v>
      </c>
      <c r="Z27" s="343">
        <v>0</v>
      </c>
      <c r="AA27" s="343">
        <v>0</v>
      </c>
      <c r="AB27" s="343">
        <v>0</v>
      </c>
      <c r="AC27" s="343">
        <v>0</v>
      </c>
      <c r="AD27" s="343">
        <v>0</v>
      </c>
      <c r="AE27" s="343">
        <v>0</v>
      </c>
      <c r="AF27" s="343">
        <v>0</v>
      </c>
      <c r="AG27" s="1000">
        <v>0</v>
      </c>
      <c r="AH27" s="1325">
        <v>0</v>
      </c>
      <c r="AI27" s="83">
        <f t="shared" si="3"/>
        <v>14.541116942767731</v>
      </c>
    </row>
    <row r="28" spans="1:81" s="463" customFormat="1">
      <c r="B28" s="339" t="s">
        <v>71</v>
      </c>
      <c r="C28" s="362">
        <v>348.77312358090325</v>
      </c>
      <c r="D28" s="362">
        <v>156.53200014001624</v>
      </c>
      <c r="E28" s="362">
        <v>138.53120884748051</v>
      </c>
      <c r="F28" s="362">
        <v>121.27963717667265</v>
      </c>
      <c r="G28" s="362">
        <v>103.99838347505508</v>
      </c>
      <c r="H28" s="362">
        <v>86.361476890100761</v>
      </c>
      <c r="I28" s="80">
        <v>69.038876030022408</v>
      </c>
      <c r="J28" s="362">
        <v>51.780328273876293</v>
      </c>
      <c r="K28" s="362">
        <v>34.612429508885434</v>
      </c>
      <c r="L28" s="362">
        <v>17.264128181875527</v>
      </c>
      <c r="M28" s="362">
        <v>5.514880445981504</v>
      </c>
      <c r="N28" s="362">
        <v>2.3992308289173558</v>
      </c>
      <c r="O28" s="362">
        <v>1.356874355095435</v>
      </c>
      <c r="P28" s="362">
        <v>0.54594139842980527</v>
      </c>
      <c r="Q28" s="362">
        <v>0.46546448557926368</v>
      </c>
      <c r="R28" s="362">
        <v>0.3935562207564568</v>
      </c>
      <c r="S28" s="362">
        <v>0.32193775109486999</v>
      </c>
      <c r="T28" s="362">
        <v>0.25037964494029585</v>
      </c>
      <c r="U28" s="362">
        <v>0.17898331955613911</v>
      </c>
      <c r="V28" s="362">
        <v>0.10758701659099361</v>
      </c>
      <c r="W28" s="362">
        <v>7.2215473658605422E-2</v>
      </c>
      <c r="X28" s="362">
        <v>4.8690491952229999E-2</v>
      </c>
      <c r="Y28" s="362">
        <v>2.5987884052781459E-2</v>
      </c>
      <c r="Z28" s="362">
        <v>7.671006985531522E-3</v>
      </c>
      <c r="AA28" s="362">
        <v>0</v>
      </c>
      <c r="AB28" s="362">
        <v>0</v>
      </c>
      <c r="AC28" s="362">
        <v>0</v>
      </c>
      <c r="AD28" s="362">
        <v>0</v>
      </c>
      <c r="AE28" s="362">
        <v>0</v>
      </c>
      <c r="AF28" s="362">
        <v>0</v>
      </c>
      <c r="AG28" s="362">
        <v>0</v>
      </c>
      <c r="AH28" s="1327">
        <v>0</v>
      </c>
      <c r="AI28" s="80">
        <f t="shared" si="3"/>
        <v>1139.860992428479</v>
      </c>
    </row>
    <row r="29" spans="1:81" s="463" customFormat="1">
      <c r="B29" s="339" t="s">
        <v>371</v>
      </c>
      <c r="C29" s="362">
        <f t="shared" ref="C29:AH29" si="8">+C30</f>
        <v>5.5635225570729494</v>
      </c>
      <c r="D29" s="362">
        <f t="shared" si="8"/>
        <v>5.5635225570729494</v>
      </c>
      <c r="E29" s="362">
        <f t="shared" si="8"/>
        <v>5.5635225570729494</v>
      </c>
      <c r="F29" s="362">
        <f t="shared" si="8"/>
        <v>5.5635225570729494</v>
      </c>
      <c r="G29" s="362">
        <f t="shared" si="8"/>
        <v>5.5635225570729494</v>
      </c>
      <c r="H29" s="362">
        <f t="shared" si="8"/>
        <v>5.5635225570729494</v>
      </c>
      <c r="I29" s="362">
        <f t="shared" si="8"/>
        <v>5.5635225570729494</v>
      </c>
      <c r="J29" s="362">
        <f t="shared" si="8"/>
        <v>5.5635225570729494</v>
      </c>
      <c r="K29" s="362">
        <f t="shared" si="8"/>
        <v>5.5635225570729494</v>
      </c>
      <c r="L29" s="362">
        <f t="shared" si="8"/>
        <v>6.6793703015529902</v>
      </c>
      <c r="M29" s="362">
        <f t="shared" si="8"/>
        <v>7.2105766946100394</v>
      </c>
      <c r="N29" s="362">
        <f t="shared" si="8"/>
        <v>6.4310548906311897</v>
      </c>
      <c r="O29" s="362">
        <f t="shared" si="8"/>
        <v>5.6515330866523401</v>
      </c>
      <c r="P29" s="362">
        <f t="shared" si="8"/>
        <v>4.87201127955122</v>
      </c>
      <c r="Q29" s="362">
        <f t="shared" si="8"/>
        <v>4.0924894755723704</v>
      </c>
      <c r="R29" s="362">
        <f t="shared" si="8"/>
        <v>3.3129676715935199</v>
      </c>
      <c r="S29" s="362">
        <f t="shared" si="8"/>
        <v>2.5334458644923896</v>
      </c>
      <c r="T29" s="362">
        <f t="shared" si="8"/>
        <v>1.75392406051355</v>
      </c>
      <c r="U29" s="362">
        <f t="shared" si="8"/>
        <v>1.0718424828126301</v>
      </c>
      <c r="V29" s="362">
        <f t="shared" si="8"/>
        <v>0</v>
      </c>
      <c r="W29" s="362">
        <f t="shared" si="8"/>
        <v>0</v>
      </c>
      <c r="X29" s="362">
        <f t="shared" si="8"/>
        <v>0</v>
      </c>
      <c r="Y29" s="362">
        <f t="shared" si="8"/>
        <v>0</v>
      </c>
      <c r="Z29" s="362">
        <f t="shared" si="8"/>
        <v>0</v>
      </c>
      <c r="AA29" s="362">
        <f t="shared" si="8"/>
        <v>0</v>
      </c>
      <c r="AB29" s="362">
        <f t="shared" si="8"/>
        <v>0</v>
      </c>
      <c r="AC29" s="362">
        <f t="shared" si="8"/>
        <v>0</v>
      </c>
      <c r="AD29" s="362">
        <f t="shared" si="8"/>
        <v>0</v>
      </c>
      <c r="AE29" s="362">
        <f t="shared" si="8"/>
        <v>0</v>
      </c>
      <c r="AF29" s="362">
        <f t="shared" si="8"/>
        <v>0</v>
      </c>
      <c r="AG29" s="362">
        <f t="shared" si="8"/>
        <v>0</v>
      </c>
      <c r="AH29" s="1327">
        <f t="shared" si="8"/>
        <v>0</v>
      </c>
      <c r="AI29" s="80">
        <f t="shared" si="3"/>
        <v>93.680918821638784</v>
      </c>
    </row>
    <row r="30" spans="1:81" s="463" customFormat="1">
      <c r="B30" s="346" t="s">
        <v>68</v>
      </c>
      <c r="C30" s="345">
        <f t="shared" ref="C30:V30" si="9">+C31</f>
        <v>5.5635225570729494</v>
      </c>
      <c r="D30" s="345">
        <f t="shared" si="9"/>
        <v>5.5635225570729494</v>
      </c>
      <c r="E30" s="345">
        <f t="shared" si="9"/>
        <v>5.5635225570729494</v>
      </c>
      <c r="F30" s="345">
        <f t="shared" si="9"/>
        <v>5.5635225570729494</v>
      </c>
      <c r="G30" s="345">
        <f t="shared" si="9"/>
        <v>5.5635225570729494</v>
      </c>
      <c r="H30" s="345">
        <f t="shared" si="9"/>
        <v>5.5635225570729494</v>
      </c>
      <c r="I30" s="345">
        <f t="shared" si="9"/>
        <v>5.5635225570729494</v>
      </c>
      <c r="J30" s="345">
        <f t="shared" si="9"/>
        <v>5.5635225570729494</v>
      </c>
      <c r="K30" s="345">
        <f t="shared" si="9"/>
        <v>5.5635225570729494</v>
      </c>
      <c r="L30" s="345">
        <f t="shared" si="9"/>
        <v>6.6793703015529902</v>
      </c>
      <c r="M30" s="345">
        <f t="shared" si="9"/>
        <v>7.2105766946100394</v>
      </c>
      <c r="N30" s="345">
        <f t="shared" si="9"/>
        <v>6.4310548906311897</v>
      </c>
      <c r="O30" s="345">
        <f t="shared" si="9"/>
        <v>5.6515330866523401</v>
      </c>
      <c r="P30" s="345">
        <f t="shared" si="9"/>
        <v>4.87201127955122</v>
      </c>
      <c r="Q30" s="345">
        <f t="shared" si="9"/>
        <v>4.0924894755723704</v>
      </c>
      <c r="R30" s="345">
        <f t="shared" si="9"/>
        <v>3.3129676715935199</v>
      </c>
      <c r="S30" s="345">
        <f t="shared" si="9"/>
        <v>2.5334458644923896</v>
      </c>
      <c r="T30" s="345">
        <f t="shared" si="9"/>
        <v>1.75392406051355</v>
      </c>
      <c r="U30" s="345">
        <f t="shared" si="9"/>
        <v>1.0718424828126301</v>
      </c>
      <c r="V30" s="345">
        <f t="shared" si="9"/>
        <v>0</v>
      </c>
      <c r="W30" s="345">
        <f t="shared" ref="W30:AH30" si="10">+W31</f>
        <v>0</v>
      </c>
      <c r="X30" s="345">
        <f t="shared" si="10"/>
        <v>0</v>
      </c>
      <c r="Y30" s="345">
        <f t="shared" si="10"/>
        <v>0</v>
      </c>
      <c r="Z30" s="345">
        <f t="shared" si="10"/>
        <v>0</v>
      </c>
      <c r="AA30" s="345">
        <f t="shared" si="10"/>
        <v>0</v>
      </c>
      <c r="AB30" s="345">
        <f t="shared" si="10"/>
        <v>0</v>
      </c>
      <c r="AC30" s="345">
        <f>+AC31</f>
        <v>0</v>
      </c>
      <c r="AD30" s="345">
        <f>+AD31</f>
        <v>0</v>
      </c>
      <c r="AE30" s="345">
        <f t="shared" si="10"/>
        <v>0</v>
      </c>
      <c r="AF30" s="345">
        <f t="shared" si="10"/>
        <v>0</v>
      </c>
      <c r="AG30" s="989">
        <f t="shared" si="10"/>
        <v>0</v>
      </c>
      <c r="AH30" s="1328">
        <f t="shared" si="10"/>
        <v>0</v>
      </c>
      <c r="AI30" s="94">
        <f t="shared" si="3"/>
        <v>93.680918821638784</v>
      </c>
    </row>
    <row r="31" spans="1:81" s="460" customFormat="1">
      <c r="A31" s="269"/>
      <c r="B31" s="347" t="s">
        <v>377</v>
      </c>
      <c r="C31" s="343">
        <v>5.5635225570729494</v>
      </c>
      <c r="D31" s="343">
        <v>5.5635225570729494</v>
      </c>
      <c r="E31" s="343">
        <v>5.5635225570729494</v>
      </c>
      <c r="F31" s="343">
        <v>5.5635225570729494</v>
      </c>
      <c r="G31" s="343">
        <v>5.5635225570729494</v>
      </c>
      <c r="H31" s="343">
        <v>5.5635225570729494</v>
      </c>
      <c r="I31" s="83">
        <v>5.5635225570729494</v>
      </c>
      <c r="J31" s="343">
        <v>5.5635225570729494</v>
      </c>
      <c r="K31" s="343">
        <v>5.5635225570729494</v>
      </c>
      <c r="L31" s="343">
        <v>6.6793703015529902</v>
      </c>
      <c r="M31" s="343">
        <v>7.2105766946100394</v>
      </c>
      <c r="N31" s="343">
        <v>6.4310548906311897</v>
      </c>
      <c r="O31" s="343">
        <v>5.6515330866523401</v>
      </c>
      <c r="P31" s="343">
        <v>4.87201127955122</v>
      </c>
      <c r="Q31" s="343">
        <v>4.0924894755723704</v>
      </c>
      <c r="R31" s="343">
        <v>3.3129676715935199</v>
      </c>
      <c r="S31" s="343">
        <v>2.5334458644923896</v>
      </c>
      <c r="T31" s="343">
        <v>1.75392406051355</v>
      </c>
      <c r="U31" s="343">
        <v>1.0718424828126301</v>
      </c>
      <c r="V31" s="343">
        <v>0</v>
      </c>
      <c r="W31" s="343">
        <v>0</v>
      </c>
      <c r="X31" s="343">
        <v>0</v>
      </c>
      <c r="Y31" s="343">
        <v>0</v>
      </c>
      <c r="Z31" s="343">
        <v>0</v>
      </c>
      <c r="AA31" s="343">
        <v>0</v>
      </c>
      <c r="AB31" s="343">
        <v>0</v>
      </c>
      <c r="AC31" s="343">
        <v>0</v>
      </c>
      <c r="AD31" s="343">
        <v>0</v>
      </c>
      <c r="AE31" s="343">
        <v>0</v>
      </c>
      <c r="AF31" s="343">
        <v>0</v>
      </c>
      <c r="AG31" s="1000">
        <v>0</v>
      </c>
      <c r="AH31" s="1325">
        <v>0</v>
      </c>
      <c r="AI31" s="83">
        <f t="shared" si="3"/>
        <v>93.680918821638784</v>
      </c>
      <c r="AJ31" s="463"/>
      <c r="AK31" s="463"/>
      <c r="AL31" s="463"/>
      <c r="AM31" s="463"/>
      <c r="AN31" s="463"/>
      <c r="AO31" s="463"/>
      <c r="AP31" s="463"/>
      <c r="AQ31" s="463"/>
      <c r="AR31" s="463"/>
      <c r="AS31" s="463"/>
      <c r="AT31" s="463"/>
      <c r="AU31" s="463"/>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row>
    <row r="32" spans="1:81" s="460" customFormat="1">
      <c r="A32" s="269"/>
      <c r="B32" s="346" t="s">
        <v>824</v>
      </c>
      <c r="C32" s="345">
        <f t="shared" ref="C32:J32" si="11">+C33+C34</f>
        <v>63.796889323840098</v>
      </c>
      <c r="D32" s="345">
        <f t="shared" si="11"/>
        <v>20.13124348044828</v>
      </c>
      <c r="E32" s="345">
        <f t="shared" si="11"/>
        <v>10.030233431388261</v>
      </c>
      <c r="F32" s="345">
        <f t="shared" si="11"/>
        <v>1.9257267207429671</v>
      </c>
      <c r="G32" s="345">
        <f t="shared" si="11"/>
        <v>0</v>
      </c>
      <c r="H32" s="345">
        <f t="shared" si="11"/>
        <v>0</v>
      </c>
      <c r="I32" s="345">
        <f t="shared" si="11"/>
        <v>0</v>
      </c>
      <c r="J32" s="345">
        <f t="shared" si="11"/>
        <v>0</v>
      </c>
      <c r="K32" s="345">
        <f t="shared" ref="K32:AH32" si="12">+K33+K34</f>
        <v>0</v>
      </c>
      <c r="L32" s="345">
        <f t="shared" si="12"/>
        <v>0</v>
      </c>
      <c r="M32" s="345">
        <f t="shared" si="12"/>
        <v>0</v>
      </c>
      <c r="N32" s="345">
        <f t="shared" si="12"/>
        <v>0</v>
      </c>
      <c r="O32" s="345">
        <f t="shared" si="12"/>
        <v>0</v>
      </c>
      <c r="P32" s="345">
        <f t="shared" si="12"/>
        <v>0</v>
      </c>
      <c r="Q32" s="345">
        <f t="shared" si="12"/>
        <v>0</v>
      </c>
      <c r="R32" s="345">
        <f t="shared" si="12"/>
        <v>0</v>
      </c>
      <c r="S32" s="345">
        <f t="shared" si="12"/>
        <v>0</v>
      </c>
      <c r="T32" s="345">
        <f t="shared" si="12"/>
        <v>0</v>
      </c>
      <c r="U32" s="345">
        <f t="shared" si="12"/>
        <v>0</v>
      </c>
      <c r="V32" s="345">
        <f t="shared" si="12"/>
        <v>0</v>
      </c>
      <c r="W32" s="345">
        <f t="shared" si="12"/>
        <v>0</v>
      </c>
      <c r="X32" s="345">
        <f t="shared" si="12"/>
        <v>0</v>
      </c>
      <c r="Y32" s="345">
        <f t="shared" si="12"/>
        <v>0</v>
      </c>
      <c r="Z32" s="345">
        <f t="shared" si="12"/>
        <v>0</v>
      </c>
      <c r="AA32" s="345">
        <f t="shared" si="12"/>
        <v>0</v>
      </c>
      <c r="AB32" s="345">
        <f t="shared" si="12"/>
        <v>0</v>
      </c>
      <c r="AC32" s="345">
        <f t="shared" si="12"/>
        <v>0</v>
      </c>
      <c r="AD32" s="345">
        <f t="shared" si="12"/>
        <v>0</v>
      </c>
      <c r="AE32" s="345">
        <f t="shared" si="12"/>
        <v>0</v>
      </c>
      <c r="AF32" s="345">
        <f t="shared" si="12"/>
        <v>0</v>
      </c>
      <c r="AG32" s="989">
        <f t="shared" ref="AG32" si="13">+AG33+AG34</f>
        <v>0</v>
      </c>
      <c r="AH32" s="1328">
        <f t="shared" si="12"/>
        <v>0</v>
      </c>
      <c r="AI32" s="94">
        <f t="shared" si="3"/>
        <v>95.884092956419607</v>
      </c>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row>
    <row r="33" spans="1:81" s="460" customFormat="1">
      <c r="A33" s="269"/>
      <c r="B33" s="346" t="s">
        <v>72</v>
      </c>
      <c r="C33" s="345">
        <v>41.834886003840097</v>
      </c>
      <c r="D33" s="345">
        <v>5.0458079704482799</v>
      </c>
      <c r="E33" s="345">
        <v>2.8417020313882602</v>
      </c>
      <c r="F33" s="345">
        <v>0.42527690074296698</v>
      </c>
      <c r="G33" s="345">
        <v>0</v>
      </c>
      <c r="H33" s="345">
        <v>0</v>
      </c>
      <c r="I33" s="94">
        <v>0</v>
      </c>
      <c r="J33" s="345">
        <v>0</v>
      </c>
      <c r="K33" s="345">
        <v>0</v>
      </c>
      <c r="L33" s="345">
        <v>0</v>
      </c>
      <c r="M33" s="345">
        <v>0</v>
      </c>
      <c r="N33" s="345">
        <v>0</v>
      </c>
      <c r="O33" s="345">
        <v>0</v>
      </c>
      <c r="P33" s="345">
        <v>0</v>
      </c>
      <c r="Q33" s="345">
        <v>0</v>
      </c>
      <c r="R33" s="345">
        <v>0</v>
      </c>
      <c r="S33" s="345">
        <v>0</v>
      </c>
      <c r="T33" s="345">
        <v>0</v>
      </c>
      <c r="U33" s="345">
        <v>0</v>
      </c>
      <c r="V33" s="345">
        <v>0</v>
      </c>
      <c r="W33" s="345">
        <v>0</v>
      </c>
      <c r="X33" s="345">
        <v>0</v>
      </c>
      <c r="Y33" s="345">
        <v>0</v>
      </c>
      <c r="Z33" s="345">
        <v>0</v>
      </c>
      <c r="AA33" s="345">
        <v>0</v>
      </c>
      <c r="AB33" s="345">
        <v>0</v>
      </c>
      <c r="AC33" s="345">
        <v>0</v>
      </c>
      <c r="AD33" s="345">
        <v>0</v>
      </c>
      <c r="AE33" s="345">
        <v>0</v>
      </c>
      <c r="AF33" s="345">
        <v>0</v>
      </c>
      <c r="AG33" s="989">
        <v>0</v>
      </c>
      <c r="AH33" s="1328">
        <v>0</v>
      </c>
      <c r="AI33" s="94">
        <f t="shared" si="3"/>
        <v>50.147672906419601</v>
      </c>
      <c r="AJ33" s="463"/>
      <c r="AK33" s="463"/>
      <c r="AL33" s="463"/>
      <c r="AM33" s="463"/>
      <c r="AN33" s="463"/>
      <c r="AO33" s="463"/>
      <c r="AP33" s="463"/>
      <c r="AQ33" s="463"/>
      <c r="AR33" s="463"/>
      <c r="AS33" s="463"/>
      <c r="AT33" s="463"/>
      <c r="AU33" s="463"/>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row>
    <row r="34" spans="1:81" s="460" customFormat="1">
      <c r="A34" s="269"/>
      <c r="B34" s="348" t="s">
        <v>70</v>
      </c>
      <c r="C34" s="349">
        <v>21.962003320000001</v>
      </c>
      <c r="D34" s="349">
        <v>15.08543551</v>
      </c>
      <c r="E34" s="349">
        <v>7.1885314000000005</v>
      </c>
      <c r="F34" s="349">
        <v>1.50044982</v>
      </c>
      <c r="G34" s="349">
        <v>0</v>
      </c>
      <c r="H34" s="349">
        <v>0</v>
      </c>
      <c r="I34" s="84">
        <v>0</v>
      </c>
      <c r="J34" s="349">
        <v>0</v>
      </c>
      <c r="K34" s="349">
        <v>0</v>
      </c>
      <c r="L34" s="349">
        <v>0</v>
      </c>
      <c r="M34" s="349">
        <v>0</v>
      </c>
      <c r="N34" s="349">
        <v>0</v>
      </c>
      <c r="O34" s="349">
        <v>0</v>
      </c>
      <c r="P34" s="349">
        <v>0</v>
      </c>
      <c r="Q34" s="349">
        <v>0</v>
      </c>
      <c r="R34" s="349">
        <v>0</v>
      </c>
      <c r="S34" s="349">
        <v>0</v>
      </c>
      <c r="T34" s="349">
        <v>0</v>
      </c>
      <c r="U34" s="349">
        <v>0</v>
      </c>
      <c r="V34" s="349">
        <v>0</v>
      </c>
      <c r="W34" s="349">
        <v>0</v>
      </c>
      <c r="X34" s="349">
        <v>0</v>
      </c>
      <c r="Y34" s="349">
        <v>0</v>
      </c>
      <c r="Z34" s="349">
        <v>0</v>
      </c>
      <c r="AA34" s="349">
        <v>0</v>
      </c>
      <c r="AB34" s="349">
        <v>0</v>
      </c>
      <c r="AC34" s="349">
        <v>0</v>
      </c>
      <c r="AD34" s="349">
        <v>0</v>
      </c>
      <c r="AE34" s="349">
        <v>0</v>
      </c>
      <c r="AF34" s="349">
        <v>0</v>
      </c>
      <c r="AG34" s="349">
        <v>0</v>
      </c>
      <c r="AH34" s="1329">
        <v>0</v>
      </c>
      <c r="AI34" s="84">
        <f t="shared" si="3"/>
        <v>45.736420050000007</v>
      </c>
      <c r="AJ34" s="463"/>
      <c r="AK34" s="463"/>
      <c r="AL34" s="463"/>
      <c r="AM34" s="463"/>
      <c r="AN34" s="463"/>
      <c r="AO34" s="463"/>
      <c r="AP34" s="463"/>
      <c r="AQ34" s="463"/>
      <c r="AR34" s="463"/>
      <c r="AS34" s="463"/>
      <c r="AT34" s="463"/>
      <c r="AU34" s="463"/>
      <c r="AV34" s="463"/>
      <c r="AW34" s="463"/>
      <c r="AX34" s="463"/>
      <c r="AY34" s="463"/>
      <c r="AZ34" s="463"/>
      <c r="BA34" s="463"/>
      <c r="BB34" s="463"/>
      <c r="BC34" s="463"/>
      <c r="BD34" s="463"/>
      <c r="BE34" s="463"/>
      <c r="BF34" s="463"/>
      <c r="BG34" s="463"/>
      <c r="BH34" s="463"/>
      <c r="BI34" s="463"/>
      <c r="BJ34" s="463"/>
      <c r="BK34" s="463"/>
      <c r="BL34" s="463"/>
      <c r="BM34" s="463"/>
      <c r="BN34" s="463"/>
      <c r="BO34" s="463"/>
      <c r="BP34" s="463"/>
      <c r="BQ34" s="463"/>
      <c r="BR34" s="463"/>
      <c r="BS34" s="463"/>
      <c r="BT34" s="463"/>
      <c r="BU34" s="463"/>
      <c r="BV34" s="463"/>
      <c r="BW34" s="463"/>
      <c r="BX34" s="463"/>
      <c r="BY34" s="463"/>
      <c r="BZ34" s="463"/>
      <c r="CA34" s="463"/>
      <c r="CB34" s="463"/>
      <c r="CC34" s="463"/>
    </row>
    <row r="35" spans="1:81" s="463" customFormat="1" ht="13.5" thickBot="1">
      <c r="A35" s="269"/>
      <c r="B35" s="350"/>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c r="AA35" s="351"/>
      <c r="AB35" s="351"/>
      <c r="AC35" s="351"/>
      <c r="AD35" s="351"/>
      <c r="AE35" s="351"/>
      <c r="AF35" s="351"/>
      <c r="AG35" s="988"/>
      <c r="AH35" s="1330"/>
      <c r="AI35" s="351"/>
    </row>
    <row r="36" spans="1:81" s="463" customFormat="1" ht="13.5" thickBot="1">
      <c r="A36" s="269"/>
      <c r="B36" s="126" t="s">
        <v>307</v>
      </c>
      <c r="C36" s="78">
        <f t="shared" ref="C36:AH36" si="14">+C37+C54+SUM(C71:C117)+C120</f>
        <v>12318.228379328631</v>
      </c>
      <c r="D36" s="78">
        <f t="shared" si="14"/>
        <v>8705.3495953713445</v>
      </c>
      <c r="E36" s="78">
        <f t="shared" si="14"/>
        <v>7646.0269409836919</v>
      </c>
      <c r="F36" s="78">
        <f t="shared" si="14"/>
        <v>6556.4298387036015</v>
      </c>
      <c r="G36" s="78">
        <f t="shared" si="14"/>
        <v>5983.5388355596988</v>
      </c>
      <c r="H36" s="78">
        <f t="shared" si="14"/>
        <v>5556.5752645609673</v>
      </c>
      <c r="I36" s="78">
        <f t="shared" si="14"/>
        <v>4681.4327340353284</v>
      </c>
      <c r="J36" s="78">
        <f t="shared" si="14"/>
        <v>3876.4433692902217</v>
      </c>
      <c r="K36" s="78">
        <f t="shared" si="14"/>
        <v>3002.9532803756347</v>
      </c>
      <c r="L36" s="78">
        <f t="shared" si="14"/>
        <v>2677.0956528541328</v>
      </c>
      <c r="M36" s="78">
        <f t="shared" si="14"/>
        <v>2538.3292776398025</v>
      </c>
      <c r="N36" s="78">
        <f t="shared" si="14"/>
        <v>2293.1880490861786</v>
      </c>
      <c r="O36" s="78">
        <f t="shared" si="14"/>
        <v>2048.1907782002991</v>
      </c>
      <c r="P36" s="78">
        <f t="shared" si="14"/>
        <v>1802.905591972019</v>
      </c>
      <c r="Q36" s="78">
        <f t="shared" si="14"/>
        <v>1601.2479768107985</v>
      </c>
      <c r="R36" s="78">
        <f t="shared" si="14"/>
        <v>1495.810369484115</v>
      </c>
      <c r="S36" s="78">
        <f t="shared" si="14"/>
        <v>1350.5147433535708</v>
      </c>
      <c r="T36" s="78">
        <f t="shared" si="14"/>
        <v>1061.8929719300365</v>
      </c>
      <c r="U36" s="78">
        <f t="shared" si="14"/>
        <v>941.23401117709386</v>
      </c>
      <c r="V36" s="78">
        <f t="shared" si="14"/>
        <v>820.24044593959979</v>
      </c>
      <c r="W36" s="78">
        <f t="shared" si="14"/>
        <v>797.29982761098131</v>
      </c>
      <c r="X36" s="78">
        <f t="shared" si="14"/>
        <v>774.07129389483362</v>
      </c>
      <c r="Y36" s="78">
        <f t="shared" si="14"/>
        <v>750.98671787088938</v>
      </c>
      <c r="Z36" s="78">
        <f t="shared" si="14"/>
        <v>727.90214184694537</v>
      </c>
      <c r="AA36" s="78">
        <f t="shared" si="14"/>
        <v>704.96152352144895</v>
      </c>
      <c r="AB36" s="78">
        <f t="shared" si="14"/>
        <v>681.73298980217919</v>
      </c>
      <c r="AC36" s="78">
        <f t="shared" si="14"/>
        <v>559.57580778500164</v>
      </c>
      <c r="AD36" s="78">
        <f t="shared" si="14"/>
        <v>454.7320577850017</v>
      </c>
      <c r="AE36" s="78">
        <f t="shared" si="14"/>
        <v>299.0625</v>
      </c>
      <c r="AF36" s="78">
        <f t="shared" si="14"/>
        <v>195.9375</v>
      </c>
      <c r="AG36" s="78">
        <f t="shared" si="14"/>
        <v>195.9375</v>
      </c>
      <c r="AH36" s="1322">
        <f t="shared" si="14"/>
        <v>13029.84375</v>
      </c>
      <c r="AI36" s="127">
        <f t="shared" ref="AI36:AI67" si="15">SUM(C36:AH36)</f>
        <v>96129.671716774072</v>
      </c>
    </row>
    <row r="37" spans="1:81" s="463" customFormat="1">
      <c r="A37" s="269"/>
      <c r="B37" s="355" t="s">
        <v>74</v>
      </c>
      <c r="C37" s="356">
        <f t="shared" ref="C37:V37" si="16">+C38+C41+C48+C51</f>
        <v>508.19410772278752</v>
      </c>
      <c r="D37" s="356">
        <f t="shared" si="16"/>
        <v>508.19410772278752</v>
      </c>
      <c r="E37" s="356">
        <f t="shared" si="16"/>
        <v>508.19410772278752</v>
      </c>
      <c r="F37" s="356">
        <f t="shared" si="16"/>
        <v>508.19410772278752</v>
      </c>
      <c r="G37" s="356">
        <f t="shared" si="16"/>
        <v>508.19410772278752</v>
      </c>
      <c r="H37" s="356">
        <f t="shared" si="16"/>
        <v>508.19410772278752</v>
      </c>
      <c r="I37" s="356">
        <f t="shared" si="16"/>
        <v>508.19410772278752</v>
      </c>
      <c r="J37" s="356">
        <f t="shared" si="16"/>
        <v>508.19410772278752</v>
      </c>
      <c r="K37" s="356">
        <f t="shared" si="16"/>
        <v>508.19410772278752</v>
      </c>
      <c r="L37" s="356">
        <f t="shared" si="16"/>
        <v>610.13092842035235</v>
      </c>
      <c r="M37" s="356">
        <f t="shared" si="16"/>
        <v>658.66266791054295</v>
      </c>
      <c r="N37" s="356">
        <f t="shared" si="16"/>
        <v>587.45589301385985</v>
      </c>
      <c r="O37" s="356">
        <f t="shared" si="16"/>
        <v>516.24911810838523</v>
      </c>
      <c r="P37" s="356">
        <f t="shared" si="16"/>
        <v>445.04234320361536</v>
      </c>
      <c r="Q37" s="356">
        <f t="shared" si="16"/>
        <v>373.83556827259991</v>
      </c>
      <c r="R37" s="356">
        <f t="shared" si="16"/>
        <v>302.62879338591614</v>
      </c>
      <c r="S37" s="356">
        <f t="shared" si="16"/>
        <v>231.42201843681352</v>
      </c>
      <c r="T37" s="356">
        <f t="shared" si="16"/>
        <v>160.215243552549</v>
      </c>
      <c r="U37" s="356">
        <f t="shared" si="16"/>
        <v>97.908989213550228</v>
      </c>
      <c r="V37" s="356">
        <f t="shared" si="16"/>
        <v>0</v>
      </c>
      <c r="W37" s="356">
        <f t="shared" ref="W37:AH37" si="17">+W38+W41+W48+W51</f>
        <v>0</v>
      </c>
      <c r="X37" s="356">
        <f t="shared" si="17"/>
        <v>0</v>
      </c>
      <c r="Y37" s="356">
        <f t="shared" si="17"/>
        <v>0</v>
      </c>
      <c r="Z37" s="356">
        <f t="shared" si="17"/>
        <v>0</v>
      </c>
      <c r="AA37" s="356">
        <f t="shared" si="17"/>
        <v>0</v>
      </c>
      <c r="AB37" s="356">
        <f t="shared" si="17"/>
        <v>0</v>
      </c>
      <c r="AC37" s="356">
        <f t="shared" si="17"/>
        <v>0</v>
      </c>
      <c r="AD37" s="356">
        <f t="shared" si="17"/>
        <v>0</v>
      </c>
      <c r="AE37" s="356">
        <f t="shared" si="17"/>
        <v>0</v>
      </c>
      <c r="AF37" s="356">
        <f t="shared" si="17"/>
        <v>0</v>
      </c>
      <c r="AG37" s="356">
        <f t="shared" ref="AG37" si="18">+AG38+AG41+AG48+AG51</f>
        <v>0</v>
      </c>
      <c r="AH37" s="1331">
        <f t="shared" si="17"/>
        <v>0</v>
      </c>
      <c r="AI37" s="85">
        <f t="shared" si="15"/>
        <v>8557.2985330232732</v>
      </c>
    </row>
    <row r="38" spans="1:81" s="463" customFormat="1">
      <c r="A38" s="269"/>
      <c r="B38" s="269" t="s">
        <v>19</v>
      </c>
      <c r="C38" s="357">
        <f t="shared" ref="C38:V38" si="19">+C39+C40</f>
        <v>10.769428931739803</v>
      </c>
      <c r="D38" s="357">
        <f t="shared" si="19"/>
        <v>10.769428931739803</v>
      </c>
      <c r="E38" s="357">
        <f t="shared" si="19"/>
        <v>10.769428931739803</v>
      </c>
      <c r="F38" s="357">
        <f t="shared" si="19"/>
        <v>10.769428931739803</v>
      </c>
      <c r="G38" s="357">
        <f t="shared" si="19"/>
        <v>10.769428931739803</v>
      </c>
      <c r="H38" s="357">
        <f t="shared" si="19"/>
        <v>10.769428931739803</v>
      </c>
      <c r="I38" s="357">
        <f t="shared" si="19"/>
        <v>10.769428931739803</v>
      </c>
      <c r="J38" s="357">
        <f t="shared" si="19"/>
        <v>10.769428931739803</v>
      </c>
      <c r="K38" s="357">
        <f t="shared" si="19"/>
        <v>10.769428931739803</v>
      </c>
      <c r="L38" s="357">
        <f t="shared" si="19"/>
        <v>12.92939914518195</v>
      </c>
      <c r="M38" s="357">
        <f t="shared" si="19"/>
        <v>13.957666650951236</v>
      </c>
      <c r="N38" s="357">
        <f t="shared" si="19"/>
        <v>12.448729715713243</v>
      </c>
      <c r="O38" s="357">
        <f t="shared" si="19"/>
        <v>10.939792780475234</v>
      </c>
      <c r="P38" s="357">
        <f t="shared" si="19"/>
        <v>9.4308558483595721</v>
      </c>
      <c r="Q38" s="357">
        <f t="shared" si="19"/>
        <v>7.9219189099993201</v>
      </c>
      <c r="R38" s="357">
        <f t="shared" si="19"/>
        <v>6.412981974761359</v>
      </c>
      <c r="S38" s="357">
        <f t="shared" si="19"/>
        <v>4.9040450395233872</v>
      </c>
      <c r="T38" s="357">
        <f t="shared" si="19"/>
        <v>3.3951081042854256</v>
      </c>
      <c r="U38" s="357">
        <f t="shared" si="19"/>
        <v>2.0747882859522009</v>
      </c>
      <c r="V38" s="357">
        <f t="shared" si="19"/>
        <v>0</v>
      </c>
      <c r="W38" s="357">
        <f t="shared" ref="W38:AH38" si="20">+W39+W40</f>
        <v>0</v>
      </c>
      <c r="X38" s="357">
        <f t="shared" si="20"/>
        <v>0</v>
      </c>
      <c r="Y38" s="357">
        <f t="shared" si="20"/>
        <v>0</v>
      </c>
      <c r="Z38" s="357">
        <f t="shared" si="20"/>
        <v>0</v>
      </c>
      <c r="AA38" s="357">
        <f t="shared" si="20"/>
        <v>0</v>
      </c>
      <c r="AB38" s="357">
        <f t="shared" si="20"/>
        <v>0</v>
      </c>
      <c r="AC38" s="357">
        <f t="shared" si="20"/>
        <v>0</v>
      </c>
      <c r="AD38" s="357">
        <f t="shared" si="20"/>
        <v>0</v>
      </c>
      <c r="AE38" s="357">
        <f t="shared" si="20"/>
        <v>0</v>
      </c>
      <c r="AF38" s="357">
        <f t="shared" si="20"/>
        <v>0</v>
      </c>
      <c r="AG38" s="990">
        <f t="shared" ref="AG38" si="21">+AG39+AG40</f>
        <v>0</v>
      </c>
      <c r="AH38" s="1332">
        <f t="shared" si="20"/>
        <v>0</v>
      </c>
      <c r="AI38" s="95">
        <f t="shared" si="15"/>
        <v>181.34014684086119</v>
      </c>
    </row>
    <row r="39" spans="1:81" s="463" customFormat="1">
      <c r="A39" s="269"/>
      <c r="B39" s="358" t="s">
        <v>240</v>
      </c>
      <c r="C39" s="357">
        <v>10.726768548767099</v>
      </c>
      <c r="D39" s="357">
        <v>10.726768548767099</v>
      </c>
      <c r="E39" s="357">
        <v>10.726768548767099</v>
      </c>
      <c r="F39" s="357">
        <v>10.726768548767099</v>
      </c>
      <c r="G39" s="357">
        <v>10.726768548767099</v>
      </c>
      <c r="H39" s="357">
        <v>10.726768548767099</v>
      </c>
      <c r="I39" s="81">
        <v>10.726768548767099</v>
      </c>
      <c r="J39" s="357">
        <v>10.726768548767099</v>
      </c>
      <c r="K39" s="357">
        <v>10.726768548767099</v>
      </c>
      <c r="L39" s="357">
        <v>12.8781825828567</v>
      </c>
      <c r="M39" s="357">
        <v>13.9023768673971</v>
      </c>
      <c r="N39" s="357">
        <v>12.3994172075758</v>
      </c>
      <c r="O39" s="357">
        <v>10.896457544632201</v>
      </c>
      <c r="P39" s="357">
        <v>9.3934978848109498</v>
      </c>
      <c r="Q39" s="357">
        <v>7.8905382218673896</v>
      </c>
      <c r="R39" s="357">
        <v>6.3875785620461203</v>
      </c>
      <c r="S39" s="357">
        <v>4.8846188991025601</v>
      </c>
      <c r="T39" s="357">
        <v>3.3816592361590097</v>
      </c>
      <c r="U39" s="357">
        <v>2.0665695345959603</v>
      </c>
      <c r="V39" s="357">
        <v>0</v>
      </c>
      <c r="W39" s="357">
        <v>0</v>
      </c>
      <c r="X39" s="357">
        <v>0</v>
      </c>
      <c r="Y39" s="357">
        <v>0</v>
      </c>
      <c r="Z39" s="357">
        <v>0</v>
      </c>
      <c r="AA39" s="357">
        <v>0</v>
      </c>
      <c r="AB39" s="357">
        <v>0</v>
      </c>
      <c r="AC39" s="357">
        <v>0</v>
      </c>
      <c r="AD39" s="357">
        <v>0</v>
      </c>
      <c r="AE39" s="357">
        <v>0</v>
      </c>
      <c r="AF39" s="357">
        <v>0</v>
      </c>
      <c r="AG39" s="990">
        <v>0</v>
      </c>
      <c r="AH39" s="1332">
        <v>0</v>
      </c>
      <c r="AI39" s="81">
        <f t="shared" si="15"/>
        <v>180.62181347994766</v>
      </c>
    </row>
    <row r="40" spans="1:81" s="463" customFormat="1">
      <c r="B40" s="358" t="s">
        <v>241</v>
      </c>
      <c r="C40" s="357">
        <v>4.2660382972704698E-2</v>
      </c>
      <c r="D40" s="357">
        <v>4.2660382972704698E-2</v>
      </c>
      <c r="E40" s="357">
        <v>4.2660382972704698E-2</v>
      </c>
      <c r="F40" s="357">
        <v>4.2660382972704698E-2</v>
      </c>
      <c r="G40" s="357">
        <v>4.2660382972704698E-2</v>
      </c>
      <c r="H40" s="357">
        <v>4.2660382972704698E-2</v>
      </c>
      <c r="I40" s="81">
        <v>4.2660382972704698E-2</v>
      </c>
      <c r="J40" s="357">
        <v>4.2660382972704698E-2</v>
      </c>
      <c r="K40" s="357">
        <v>4.2660382972704698E-2</v>
      </c>
      <c r="L40" s="357">
        <v>5.12165623252498E-2</v>
      </c>
      <c r="M40" s="357">
        <v>5.5289783554135802E-2</v>
      </c>
      <c r="N40" s="357">
        <v>4.9312508137443999E-2</v>
      </c>
      <c r="O40" s="357">
        <v>4.3335235843032997E-2</v>
      </c>
      <c r="P40" s="357">
        <v>3.7357963548621899E-2</v>
      </c>
      <c r="Q40" s="357">
        <v>3.1380688131930103E-2</v>
      </c>
      <c r="R40" s="357">
        <v>2.5403412715238299E-2</v>
      </c>
      <c r="S40" s="357">
        <v>1.9426140420827201E-2</v>
      </c>
      <c r="T40" s="357">
        <v>1.3448868126416201E-2</v>
      </c>
      <c r="U40" s="357">
        <v>8.2187513562406687E-3</v>
      </c>
      <c r="V40" s="357">
        <v>0</v>
      </c>
      <c r="W40" s="357">
        <v>0</v>
      </c>
      <c r="X40" s="357">
        <v>0</v>
      </c>
      <c r="Y40" s="357">
        <v>0</v>
      </c>
      <c r="Z40" s="357">
        <v>0</v>
      </c>
      <c r="AA40" s="357">
        <v>0</v>
      </c>
      <c r="AB40" s="357">
        <v>0</v>
      </c>
      <c r="AC40" s="357">
        <v>0</v>
      </c>
      <c r="AD40" s="357">
        <v>0</v>
      </c>
      <c r="AE40" s="357">
        <v>0</v>
      </c>
      <c r="AF40" s="357">
        <v>0</v>
      </c>
      <c r="AG40" s="990">
        <v>0</v>
      </c>
      <c r="AH40" s="1332">
        <v>0</v>
      </c>
      <c r="AI40" s="81">
        <f t="shared" si="15"/>
        <v>0.71833336091347921</v>
      </c>
    </row>
    <row r="41" spans="1:81" s="463" customFormat="1">
      <c r="B41" s="269" t="s">
        <v>20</v>
      </c>
      <c r="C41" s="357">
        <f t="shared" ref="C41:AH41" si="22">+C42+C45</f>
        <v>251.04865944000002</v>
      </c>
      <c r="D41" s="357">
        <f t="shared" si="22"/>
        <v>251.04865944000002</v>
      </c>
      <c r="E41" s="357">
        <f t="shared" si="22"/>
        <v>251.04865944000002</v>
      </c>
      <c r="F41" s="357">
        <f t="shared" si="22"/>
        <v>251.04865944000002</v>
      </c>
      <c r="G41" s="357">
        <f t="shared" si="22"/>
        <v>251.04865944000002</v>
      </c>
      <c r="H41" s="357">
        <f t="shared" si="22"/>
        <v>251.04865944000002</v>
      </c>
      <c r="I41" s="357">
        <f t="shared" si="22"/>
        <v>251.04865944000002</v>
      </c>
      <c r="J41" s="357">
        <f t="shared" si="22"/>
        <v>251.04865944000002</v>
      </c>
      <c r="K41" s="357">
        <f t="shared" si="22"/>
        <v>251.04865944000002</v>
      </c>
      <c r="L41" s="357">
        <f t="shared" si="22"/>
        <v>301.25839131999999</v>
      </c>
      <c r="M41" s="357">
        <f t="shared" si="22"/>
        <v>325.10801394999999</v>
      </c>
      <c r="N41" s="357">
        <f t="shared" si="22"/>
        <v>289.96120164000001</v>
      </c>
      <c r="O41" s="357">
        <f t="shared" si="22"/>
        <v>254.81438931000002</v>
      </c>
      <c r="P41" s="357">
        <f t="shared" si="22"/>
        <v>219.66757700000002</v>
      </c>
      <c r="Q41" s="357">
        <f t="shared" si="22"/>
        <v>184.52076467000003</v>
      </c>
      <c r="R41" s="357">
        <f t="shared" si="22"/>
        <v>149.37395237000001</v>
      </c>
      <c r="S41" s="357">
        <f t="shared" si="22"/>
        <v>114.22714002999999</v>
      </c>
      <c r="T41" s="357">
        <f t="shared" si="22"/>
        <v>79.080327710000006</v>
      </c>
      <c r="U41" s="357">
        <f t="shared" si="22"/>
        <v>48.326540639999997</v>
      </c>
      <c r="V41" s="357">
        <f t="shared" si="22"/>
        <v>0</v>
      </c>
      <c r="W41" s="357">
        <f t="shared" si="22"/>
        <v>0</v>
      </c>
      <c r="X41" s="357">
        <f t="shared" si="22"/>
        <v>0</v>
      </c>
      <c r="Y41" s="357">
        <f t="shared" si="22"/>
        <v>0</v>
      </c>
      <c r="Z41" s="357">
        <f t="shared" si="22"/>
        <v>0</v>
      </c>
      <c r="AA41" s="357">
        <f t="shared" si="22"/>
        <v>0</v>
      </c>
      <c r="AB41" s="357">
        <f t="shared" si="22"/>
        <v>0</v>
      </c>
      <c r="AC41" s="357">
        <f t="shared" si="22"/>
        <v>0</v>
      </c>
      <c r="AD41" s="357">
        <f t="shared" si="22"/>
        <v>0</v>
      </c>
      <c r="AE41" s="357">
        <f t="shared" si="22"/>
        <v>0</v>
      </c>
      <c r="AF41" s="357">
        <f t="shared" si="22"/>
        <v>0</v>
      </c>
      <c r="AG41" s="990">
        <f t="shared" ref="AG41" si="23">+AG42+AG45</f>
        <v>0</v>
      </c>
      <c r="AH41" s="1332">
        <f t="shared" si="22"/>
        <v>0</v>
      </c>
      <c r="AI41" s="81">
        <f t="shared" si="15"/>
        <v>4225.7762336000005</v>
      </c>
    </row>
    <row r="42" spans="1:81" s="463" customFormat="1">
      <c r="B42" s="358" t="s">
        <v>240</v>
      </c>
      <c r="C42" s="357">
        <f t="shared" ref="C42:G42" si="24">+C43+C44</f>
        <v>244.73445140000001</v>
      </c>
      <c r="D42" s="357">
        <f t="shared" si="24"/>
        <v>244.73445140000001</v>
      </c>
      <c r="E42" s="357">
        <f t="shared" si="24"/>
        <v>244.73445140000001</v>
      </c>
      <c r="F42" s="357">
        <f t="shared" si="24"/>
        <v>244.73445140000001</v>
      </c>
      <c r="G42" s="357">
        <f t="shared" si="24"/>
        <v>244.73445140000001</v>
      </c>
      <c r="H42" s="357">
        <f t="shared" ref="H42:AH42" si="25">+H43+H44</f>
        <v>244.73445140000001</v>
      </c>
      <c r="I42" s="357">
        <f t="shared" si="25"/>
        <v>244.73445140000001</v>
      </c>
      <c r="J42" s="357">
        <f t="shared" si="25"/>
        <v>244.73445140000001</v>
      </c>
      <c r="K42" s="357">
        <f t="shared" si="25"/>
        <v>244.73445140000001</v>
      </c>
      <c r="L42" s="357">
        <f t="shared" si="25"/>
        <v>293.68134166999999</v>
      </c>
      <c r="M42" s="357">
        <f t="shared" si="25"/>
        <v>316.93111454000001</v>
      </c>
      <c r="N42" s="357">
        <f t="shared" si="25"/>
        <v>282.66829135</v>
      </c>
      <c r="O42" s="357">
        <f t="shared" si="25"/>
        <v>248.40546816000003</v>
      </c>
      <c r="P42" s="357">
        <f t="shared" si="25"/>
        <v>214.14264496000001</v>
      </c>
      <c r="Q42" s="357">
        <f t="shared" si="25"/>
        <v>179.87982176000003</v>
      </c>
      <c r="R42" s="357">
        <f t="shared" si="25"/>
        <v>145.61699858</v>
      </c>
      <c r="S42" s="357">
        <f t="shared" si="25"/>
        <v>111.35417537999999</v>
      </c>
      <c r="T42" s="357">
        <f t="shared" si="25"/>
        <v>77.091352180000001</v>
      </c>
      <c r="U42" s="357">
        <f t="shared" si="25"/>
        <v>47.111055589999999</v>
      </c>
      <c r="V42" s="357">
        <f t="shared" si="25"/>
        <v>0</v>
      </c>
      <c r="W42" s="357">
        <f t="shared" si="25"/>
        <v>0</v>
      </c>
      <c r="X42" s="357">
        <f t="shared" si="25"/>
        <v>0</v>
      </c>
      <c r="Y42" s="357">
        <f t="shared" si="25"/>
        <v>0</v>
      </c>
      <c r="Z42" s="357">
        <f t="shared" si="25"/>
        <v>0</v>
      </c>
      <c r="AA42" s="357">
        <f t="shared" si="25"/>
        <v>0</v>
      </c>
      <c r="AB42" s="357">
        <f t="shared" si="25"/>
        <v>0</v>
      </c>
      <c r="AC42" s="357">
        <f t="shared" si="25"/>
        <v>0</v>
      </c>
      <c r="AD42" s="357">
        <f t="shared" si="25"/>
        <v>0</v>
      </c>
      <c r="AE42" s="357">
        <f t="shared" si="25"/>
        <v>0</v>
      </c>
      <c r="AF42" s="357">
        <f t="shared" si="25"/>
        <v>0</v>
      </c>
      <c r="AG42" s="990">
        <f t="shared" ref="AG42" si="26">+AG43+AG44</f>
        <v>0</v>
      </c>
      <c r="AH42" s="1332">
        <f t="shared" si="25"/>
        <v>0</v>
      </c>
      <c r="AI42" s="81">
        <f t="shared" si="15"/>
        <v>4119.4923267700015</v>
      </c>
    </row>
    <row r="43" spans="1:81" s="463" customFormat="1">
      <c r="B43" s="359" t="s">
        <v>242</v>
      </c>
      <c r="C43" s="357">
        <v>198.62584482</v>
      </c>
      <c r="D43" s="357">
        <v>198.62584482</v>
      </c>
      <c r="E43" s="357">
        <v>198.62584482</v>
      </c>
      <c r="F43" s="357">
        <v>198.62584482</v>
      </c>
      <c r="G43" s="357">
        <v>198.62584482</v>
      </c>
      <c r="H43" s="357">
        <v>198.62584482</v>
      </c>
      <c r="I43" s="81">
        <v>198.62584482</v>
      </c>
      <c r="J43" s="357">
        <v>198.62584482</v>
      </c>
      <c r="K43" s="357">
        <v>198.62584482</v>
      </c>
      <c r="L43" s="357">
        <v>238.35101377999999</v>
      </c>
      <c r="M43" s="357">
        <v>257.22046903</v>
      </c>
      <c r="N43" s="357">
        <v>229.41285076</v>
      </c>
      <c r="O43" s="357">
        <v>201.60523249000002</v>
      </c>
      <c r="P43" s="357">
        <v>173.79761421000001</v>
      </c>
      <c r="Q43" s="357">
        <v>145.98999593000002</v>
      </c>
      <c r="R43" s="357">
        <v>118.18237767000001</v>
      </c>
      <c r="S43" s="357">
        <v>90.374759389999994</v>
      </c>
      <c r="T43" s="357">
        <v>62.567141110000001</v>
      </c>
      <c r="U43" s="357">
        <v>38.235210299999999</v>
      </c>
      <c r="V43" s="357">
        <v>0</v>
      </c>
      <c r="W43" s="357">
        <v>0</v>
      </c>
      <c r="X43" s="357">
        <v>0</v>
      </c>
      <c r="Y43" s="357">
        <v>0</v>
      </c>
      <c r="Z43" s="357">
        <v>0</v>
      </c>
      <c r="AA43" s="357">
        <v>0</v>
      </c>
      <c r="AB43" s="357">
        <v>0</v>
      </c>
      <c r="AC43" s="357">
        <v>0</v>
      </c>
      <c r="AD43" s="357">
        <v>0</v>
      </c>
      <c r="AE43" s="357">
        <v>0</v>
      </c>
      <c r="AF43" s="357">
        <v>0</v>
      </c>
      <c r="AG43" s="990">
        <v>0</v>
      </c>
      <c r="AH43" s="1332">
        <v>0</v>
      </c>
      <c r="AI43" s="81">
        <f t="shared" si="15"/>
        <v>3343.3692680499998</v>
      </c>
    </row>
    <row r="44" spans="1:81" s="463" customFormat="1">
      <c r="B44" s="360" t="s">
        <v>243</v>
      </c>
      <c r="C44" s="357">
        <v>46.10860658</v>
      </c>
      <c r="D44" s="357">
        <v>46.10860658</v>
      </c>
      <c r="E44" s="357">
        <v>46.10860658</v>
      </c>
      <c r="F44" s="357">
        <v>46.10860658</v>
      </c>
      <c r="G44" s="357">
        <v>46.10860658</v>
      </c>
      <c r="H44" s="357">
        <v>46.10860658</v>
      </c>
      <c r="I44" s="81">
        <v>46.10860658</v>
      </c>
      <c r="J44" s="357">
        <v>46.10860658</v>
      </c>
      <c r="K44" s="357">
        <v>46.10860658</v>
      </c>
      <c r="L44" s="357">
        <v>55.33032789</v>
      </c>
      <c r="M44" s="357">
        <v>59.710645509999999</v>
      </c>
      <c r="N44" s="357">
        <v>53.255440590000006</v>
      </c>
      <c r="O44" s="357">
        <v>46.800235669999999</v>
      </c>
      <c r="P44" s="357">
        <v>40.345030749999999</v>
      </c>
      <c r="Q44" s="357">
        <v>33.889825829999999</v>
      </c>
      <c r="R44" s="357">
        <v>27.43462091</v>
      </c>
      <c r="S44" s="357">
        <v>20.97941599</v>
      </c>
      <c r="T44" s="357">
        <v>14.52421107</v>
      </c>
      <c r="U44" s="357">
        <v>8.8758452899999991</v>
      </c>
      <c r="V44" s="357">
        <v>0</v>
      </c>
      <c r="W44" s="357">
        <v>0</v>
      </c>
      <c r="X44" s="357">
        <v>0</v>
      </c>
      <c r="Y44" s="357">
        <v>0</v>
      </c>
      <c r="Z44" s="357">
        <v>0</v>
      </c>
      <c r="AA44" s="357">
        <v>0</v>
      </c>
      <c r="AB44" s="357">
        <v>0</v>
      </c>
      <c r="AC44" s="357">
        <v>0</v>
      </c>
      <c r="AD44" s="357">
        <v>0</v>
      </c>
      <c r="AE44" s="357">
        <v>0</v>
      </c>
      <c r="AF44" s="357">
        <v>0</v>
      </c>
      <c r="AG44" s="990">
        <v>0</v>
      </c>
      <c r="AH44" s="1332">
        <v>0</v>
      </c>
      <c r="AI44" s="81">
        <f t="shared" si="15"/>
        <v>776.12305872000002</v>
      </c>
    </row>
    <row r="45" spans="1:81" s="463" customFormat="1">
      <c r="B45" s="358" t="s">
        <v>520</v>
      </c>
      <c r="C45" s="357">
        <f>+C46+C47</f>
        <v>6.3142080400000005</v>
      </c>
      <c r="D45" s="357">
        <f>+D46+D47</f>
        <v>6.3142080400000005</v>
      </c>
      <c r="E45" s="357">
        <f t="shared" ref="E45:AH45" si="27">+E46+E47</f>
        <v>6.3142080400000005</v>
      </c>
      <c r="F45" s="357">
        <f t="shared" si="27"/>
        <v>6.3142080400000005</v>
      </c>
      <c r="G45" s="357">
        <f t="shared" si="27"/>
        <v>6.3142080400000005</v>
      </c>
      <c r="H45" s="357">
        <f t="shared" si="27"/>
        <v>6.3142080400000005</v>
      </c>
      <c r="I45" s="357">
        <f t="shared" si="27"/>
        <v>6.3142080400000005</v>
      </c>
      <c r="J45" s="357">
        <f t="shared" si="27"/>
        <v>6.3142080400000005</v>
      </c>
      <c r="K45" s="357">
        <f t="shared" si="27"/>
        <v>6.3142080400000005</v>
      </c>
      <c r="L45" s="357">
        <f>+L46+L47</f>
        <v>7.5770496499999993</v>
      </c>
      <c r="M45" s="357">
        <f t="shared" si="27"/>
        <v>8.176899409999999</v>
      </c>
      <c r="N45" s="357">
        <f t="shared" si="27"/>
        <v>7.29291029</v>
      </c>
      <c r="O45" s="357">
        <f t="shared" si="27"/>
        <v>6.4089211500000003</v>
      </c>
      <c r="P45" s="357">
        <f t="shared" si="27"/>
        <v>5.5249320399999995</v>
      </c>
      <c r="Q45" s="357">
        <f t="shared" si="27"/>
        <v>4.6409429099999997</v>
      </c>
      <c r="R45" s="357">
        <f t="shared" si="27"/>
        <v>3.7569537899999998</v>
      </c>
      <c r="S45" s="357">
        <f t="shared" si="27"/>
        <v>2.8729646500000001</v>
      </c>
      <c r="T45" s="357">
        <f t="shared" si="27"/>
        <v>1.9889755299999998</v>
      </c>
      <c r="U45" s="357">
        <f t="shared" si="27"/>
        <v>1.2154850499999998</v>
      </c>
      <c r="V45" s="357">
        <f t="shared" si="27"/>
        <v>0</v>
      </c>
      <c r="W45" s="357">
        <f t="shared" si="27"/>
        <v>0</v>
      </c>
      <c r="X45" s="357">
        <f t="shared" si="27"/>
        <v>0</v>
      </c>
      <c r="Y45" s="357">
        <f t="shared" si="27"/>
        <v>0</v>
      </c>
      <c r="Z45" s="357">
        <f t="shared" si="27"/>
        <v>0</v>
      </c>
      <c r="AA45" s="357">
        <f t="shared" si="27"/>
        <v>0</v>
      </c>
      <c r="AB45" s="357">
        <f t="shared" si="27"/>
        <v>0</v>
      </c>
      <c r="AC45" s="357">
        <f t="shared" si="27"/>
        <v>0</v>
      </c>
      <c r="AD45" s="357">
        <f t="shared" si="27"/>
        <v>0</v>
      </c>
      <c r="AE45" s="357">
        <f t="shared" si="27"/>
        <v>0</v>
      </c>
      <c r="AF45" s="357">
        <f t="shared" si="27"/>
        <v>0</v>
      </c>
      <c r="AG45" s="990">
        <f t="shared" ref="AG45" si="28">+AG46+AG47</f>
        <v>0</v>
      </c>
      <c r="AH45" s="1332">
        <f t="shared" si="27"/>
        <v>0</v>
      </c>
      <c r="AI45" s="81">
        <f t="shared" si="15"/>
        <v>106.28390683000001</v>
      </c>
    </row>
    <row r="46" spans="1:81" s="463" customFormat="1">
      <c r="B46" s="359" t="s">
        <v>242</v>
      </c>
      <c r="C46" s="357">
        <v>3.6352192200000002</v>
      </c>
      <c r="D46" s="357">
        <v>3.6352192200000002</v>
      </c>
      <c r="E46" s="357">
        <v>3.6352192200000002</v>
      </c>
      <c r="F46" s="357">
        <v>3.6352192200000002</v>
      </c>
      <c r="G46" s="357">
        <v>3.6352192200000002</v>
      </c>
      <c r="H46" s="357">
        <v>3.6352192200000002</v>
      </c>
      <c r="I46" s="81">
        <v>3.6352192200000002</v>
      </c>
      <c r="J46" s="357">
        <v>3.6352192200000002</v>
      </c>
      <c r="K46" s="357">
        <v>3.6352192200000002</v>
      </c>
      <c r="L46" s="357">
        <v>4.3622630599999992</v>
      </c>
      <c r="M46" s="357">
        <v>4.7076088799999996</v>
      </c>
      <c r="N46" s="357">
        <v>4.1986781999999998</v>
      </c>
      <c r="O46" s="357">
        <v>3.6897475000000002</v>
      </c>
      <c r="P46" s="357">
        <v>3.18081681</v>
      </c>
      <c r="Q46" s="357">
        <v>2.6718861199999999</v>
      </c>
      <c r="R46" s="357">
        <v>2.1629554399999997</v>
      </c>
      <c r="S46" s="357">
        <v>1.6540247399999999</v>
      </c>
      <c r="T46" s="357">
        <v>1.14509405</v>
      </c>
      <c r="U46" s="357">
        <v>0.6997797</v>
      </c>
      <c r="V46" s="357">
        <v>0</v>
      </c>
      <c r="W46" s="357">
        <v>0</v>
      </c>
      <c r="X46" s="357">
        <v>0</v>
      </c>
      <c r="Y46" s="357">
        <v>0</v>
      </c>
      <c r="Z46" s="357">
        <v>0</v>
      </c>
      <c r="AA46" s="357">
        <v>0</v>
      </c>
      <c r="AB46" s="357">
        <v>0</v>
      </c>
      <c r="AC46" s="357">
        <v>0</v>
      </c>
      <c r="AD46" s="357">
        <v>0</v>
      </c>
      <c r="AE46" s="357">
        <v>0</v>
      </c>
      <c r="AF46" s="357">
        <v>0</v>
      </c>
      <c r="AG46" s="990">
        <v>0</v>
      </c>
      <c r="AH46" s="1332">
        <v>0</v>
      </c>
      <c r="AI46" s="81">
        <f t="shared" si="15"/>
        <v>61.189827479999991</v>
      </c>
    </row>
    <row r="47" spans="1:81" s="463" customFormat="1">
      <c r="B47" s="360" t="s">
        <v>243</v>
      </c>
      <c r="C47" s="357">
        <v>2.6789888199999998</v>
      </c>
      <c r="D47" s="357">
        <v>2.6789888199999998</v>
      </c>
      <c r="E47" s="357">
        <v>2.6789888199999998</v>
      </c>
      <c r="F47" s="357">
        <v>2.6789888199999998</v>
      </c>
      <c r="G47" s="357">
        <v>2.6789888199999998</v>
      </c>
      <c r="H47" s="357">
        <v>2.6789888199999998</v>
      </c>
      <c r="I47" s="81">
        <v>2.6789888199999998</v>
      </c>
      <c r="J47" s="357">
        <v>2.6789888199999998</v>
      </c>
      <c r="K47" s="357">
        <v>2.6789888199999998</v>
      </c>
      <c r="L47" s="357">
        <v>3.2147865899999997</v>
      </c>
      <c r="M47" s="357">
        <v>3.4692905299999999</v>
      </c>
      <c r="N47" s="357">
        <v>3.0942320899999998</v>
      </c>
      <c r="O47" s="357">
        <v>2.7191736500000001</v>
      </c>
      <c r="P47" s="357">
        <v>2.3441152299999999</v>
      </c>
      <c r="Q47" s="357">
        <v>1.96905679</v>
      </c>
      <c r="R47" s="357">
        <v>1.5939983500000001</v>
      </c>
      <c r="S47" s="357">
        <v>1.21893991</v>
      </c>
      <c r="T47" s="357">
        <v>0.84388147999999996</v>
      </c>
      <c r="U47" s="357">
        <v>0.51570534999999995</v>
      </c>
      <c r="V47" s="357">
        <v>0</v>
      </c>
      <c r="W47" s="357">
        <v>0</v>
      </c>
      <c r="X47" s="357">
        <v>0</v>
      </c>
      <c r="Y47" s="357">
        <v>0</v>
      </c>
      <c r="Z47" s="357">
        <v>0</v>
      </c>
      <c r="AA47" s="357">
        <v>0</v>
      </c>
      <c r="AB47" s="357">
        <v>0</v>
      </c>
      <c r="AC47" s="357">
        <v>0</v>
      </c>
      <c r="AD47" s="357">
        <v>0</v>
      </c>
      <c r="AE47" s="357">
        <v>0</v>
      </c>
      <c r="AF47" s="357">
        <v>0</v>
      </c>
      <c r="AG47" s="990">
        <v>0</v>
      </c>
      <c r="AH47" s="1332">
        <v>0</v>
      </c>
      <c r="AI47" s="81">
        <f t="shared" si="15"/>
        <v>45.094079350000008</v>
      </c>
    </row>
    <row r="48" spans="1:81" s="463" customFormat="1">
      <c r="B48" s="269" t="s">
        <v>21</v>
      </c>
      <c r="C48" s="357">
        <f t="shared" ref="C48:V48" si="29">+C49+C50</f>
        <v>245.25831265553168</v>
      </c>
      <c r="D48" s="357">
        <f t="shared" si="29"/>
        <v>245.25831265553168</v>
      </c>
      <c r="E48" s="357">
        <f t="shared" si="29"/>
        <v>245.25831265553168</v>
      </c>
      <c r="F48" s="357">
        <f t="shared" si="29"/>
        <v>245.25831265553168</v>
      </c>
      <c r="G48" s="357">
        <f t="shared" si="29"/>
        <v>245.25831265553168</v>
      </c>
      <c r="H48" s="357">
        <f t="shared" si="29"/>
        <v>245.25831265553168</v>
      </c>
      <c r="I48" s="357">
        <f t="shared" si="29"/>
        <v>245.25831265553168</v>
      </c>
      <c r="J48" s="357">
        <f t="shared" si="29"/>
        <v>245.25831265553168</v>
      </c>
      <c r="K48" s="357">
        <f t="shared" si="29"/>
        <v>245.25831265553168</v>
      </c>
      <c r="L48" s="357">
        <f t="shared" si="29"/>
        <v>294.60022170160261</v>
      </c>
      <c r="M48" s="357">
        <f t="shared" si="29"/>
        <v>318.14647093375163</v>
      </c>
      <c r="N48" s="357">
        <f t="shared" si="29"/>
        <v>283.7522578634684</v>
      </c>
      <c r="O48" s="357">
        <f t="shared" si="29"/>
        <v>249.35804480439373</v>
      </c>
      <c r="P48" s="357">
        <f t="shared" si="29"/>
        <v>214.9638317229014</v>
      </c>
      <c r="Q48" s="357">
        <f t="shared" si="29"/>
        <v>180.5696186414082</v>
      </c>
      <c r="R48" s="357">
        <f t="shared" si="29"/>
        <v>146.1754055711244</v>
      </c>
      <c r="S48" s="357">
        <f t="shared" si="29"/>
        <v>111.78119247842172</v>
      </c>
      <c r="T48" s="357">
        <f t="shared" si="29"/>
        <v>77.386979430557105</v>
      </c>
      <c r="U48" s="357">
        <f t="shared" si="29"/>
        <v>47.292042988454298</v>
      </c>
      <c r="V48" s="357">
        <f t="shared" si="29"/>
        <v>0</v>
      </c>
      <c r="W48" s="357">
        <f t="shared" ref="W48:AF48" si="30">+W49+W50</f>
        <v>0</v>
      </c>
      <c r="X48" s="357">
        <f t="shared" si="30"/>
        <v>0</v>
      </c>
      <c r="Y48" s="357">
        <f t="shared" si="30"/>
        <v>0</v>
      </c>
      <c r="Z48" s="357">
        <f t="shared" si="30"/>
        <v>0</v>
      </c>
      <c r="AA48" s="357">
        <f t="shared" si="30"/>
        <v>0</v>
      </c>
      <c r="AB48" s="357">
        <f t="shared" si="30"/>
        <v>0</v>
      </c>
      <c r="AC48" s="357">
        <f t="shared" si="30"/>
        <v>0</v>
      </c>
      <c r="AD48" s="357">
        <f t="shared" si="30"/>
        <v>0</v>
      </c>
      <c r="AE48" s="357">
        <f t="shared" si="30"/>
        <v>0</v>
      </c>
      <c r="AF48" s="357">
        <f t="shared" si="30"/>
        <v>0</v>
      </c>
      <c r="AG48" s="990">
        <f t="shared" ref="AG48" si="31">+AG49+AG50</f>
        <v>0</v>
      </c>
      <c r="AH48" s="1332">
        <f>+AH49+AH50</f>
        <v>0</v>
      </c>
      <c r="AI48" s="81">
        <f t="shared" si="15"/>
        <v>4131.3508800358686</v>
      </c>
    </row>
    <row r="49" spans="2:35" s="463" customFormat="1">
      <c r="B49" s="358" t="s">
        <v>240</v>
      </c>
      <c r="C49" s="357">
        <v>190.76340239883399</v>
      </c>
      <c r="D49" s="357">
        <v>190.76340239883399</v>
      </c>
      <c r="E49" s="357">
        <v>190.76340239883399</v>
      </c>
      <c r="F49" s="357">
        <v>190.76340239883399</v>
      </c>
      <c r="G49" s="357">
        <v>190.76340239883399</v>
      </c>
      <c r="H49" s="357">
        <v>190.76340239883399</v>
      </c>
      <c r="I49" s="81">
        <v>190.76340239883399</v>
      </c>
      <c r="J49" s="357">
        <v>190.76340239883399</v>
      </c>
      <c r="K49" s="357">
        <v>190.76340239883399</v>
      </c>
      <c r="L49" s="357">
        <v>229.14183838134701</v>
      </c>
      <c r="M49" s="357">
        <v>247.45625378320801</v>
      </c>
      <c r="N49" s="357">
        <v>220.70422635354799</v>
      </c>
      <c r="O49" s="357">
        <v>193.95219892388701</v>
      </c>
      <c r="P49" s="357">
        <v>167.20017148301801</v>
      </c>
      <c r="Q49" s="357">
        <v>140.44814404214799</v>
      </c>
      <c r="R49" s="357">
        <v>113.69611660127801</v>
      </c>
      <c r="S49" s="357">
        <v>86.944089160408012</v>
      </c>
      <c r="T49" s="357">
        <v>60.192061741957204</v>
      </c>
      <c r="U49" s="357">
        <v>36.784037731196101</v>
      </c>
      <c r="V49" s="357">
        <v>0</v>
      </c>
      <c r="W49" s="357">
        <v>0</v>
      </c>
      <c r="X49" s="357">
        <v>0</v>
      </c>
      <c r="Y49" s="357">
        <v>0</v>
      </c>
      <c r="Z49" s="357">
        <v>0</v>
      </c>
      <c r="AA49" s="357">
        <v>0</v>
      </c>
      <c r="AB49" s="357">
        <v>0</v>
      </c>
      <c r="AC49" s="357">
        <v>0</v>
      </c>
      <c r="AD49" s="357">
        <v>0</v>
      </c>
      <c r="AE49" s="357">
        <v>0</v>
      </c>
      <c r="AF49" s="357">
        <v>0</v>
      </c>
      <c r="AG49" s="990">
        <v>0</v>
      </c>
      <c r="AH49" s="1332">
        <v>0</v>
      </c>
      <c r="AI49" s="81">
        <f t="shared" si="15"/>
        <v>3213.3897597915011</v>
      </c>
    </row>
    <row r="50" spans="2:35" s="463" customFormat="1">
      <c r="B50" s="358" t="s">
        <v>241</v>
      </c>
      <c r="C50" s="357">
        <v>54.4949102566977</v>
      </c>
      <c r="D50" s="357">
        <v>54.4949102566977</v>
      </c>
      <c r="E50" s="357">
        <v>54.4949102566977</v>
      </c>
      <c r="F50" s="357">
        <v>54.4949102566977</v>
      </c>
      <c r="G50" s="357">
        <v>54.4949102566977</v>
      </c>
      <c r="H50" s="357">
        <v>54.4949102566977</v>
      </c>
      <c r="I50" s="81">
        <v>54.4949102566977</v>
      </c>
      <c r="J50" s="357">
        <v>54.4949102566977</v>
      </c>
      <c r="K50" s="357">
        <v>54.4949102566977</v>
      </c>
      <c r="L50" s="357">
        <v>65.458383320255606</v>
      </c>
      <c r="M50" s="357">
        <v>70.690217150543603</v>
      </c>
      <c r="N50" s="357">
        <v>63.048031509920406</v>
      </c>
      <c r="O50" s="357">
        <v>55.405845880506703</v>
      </c>
      <c r="P50" s="357">
        <v>47.7636602398834</v>
      </c>
      <c r="Q50" s="357">
        <v>40.121474599260203</v>
      </c>
      <c r="R50" s="357">
        <v>32.479288969846401</v>
      </c>
      <c r="S50" s="357">
        <v>24.837103318013703</v>
      </c>
      <c r="T50" s="357">
        <v>17.194917688599901</v>
      </c>
      <c r="U50" s="357">
        <v>10.508005257258199</v>
      </c>
      <c r="V50" s="357">
        <v>0</v>
      </c>
      <c r="W50" s="357">
        <v>0</v>
      </c>
      <c r="X50" s="357">
        <v>0</v>
      </c>
      <c r="Y50" s="357">
        <v>0</v>
      </c>
      <c r="Z50" s="357">
        <v>0</v>
      </c>
      <c r="AA50" s="357">
        <v>0</v>
      </c>
      <c r="AB50" s="357">
        <v>0</v>
      </c>
      <c r="AC50" s="357">
        <v>0</v>
      </c>
      <c r="AD50" s="357">
        <v>0</v>
      </c>
      <c r="AE50" s="357">
        <v>0</v>
      </c>
      <c r="AF50" s="357">
        <v>0</v>
      </c>
      <c r="AG50" s="990">
        <v>0</v>
      </c>
      <c r="AH50" s="1332">
        <v>0</v>
      </c>
      <c r="AI50" s="81">
        <f t="shared" si="15"/>
        <v>917.96112024436752</v>
      </c>
    </row>
    <row r="51" spans="2:35" s="463" customFormat="1">
      <c r="B51" s="269" t="s">
        <v>22</v>
      </c>
      <c r="C51" s="357">
        <f t="shared" ref="C51:V51" si="32">+C52+C53</f>
        <v>1.1177066955160642</v>
      </c>
      <c r="D51" s="357">
        <f t="shared" si="32"/>
        <v>1.1177066955160642</v>
      </c>
      <c r="E51" s="357">
        <f t="shared" si="32"/>
        <v>1.1177066955160642</v>
      </c>
      <c r="F51" s="357">
        <f t="shared" si="32"/>
        <v>1.1177066955160642</v>
      </c>
      <c r="G51" s="357">
        <f t="shared" si="32"/>
        <v>1.1177066955160642</v>
      </c>
      <c r="H51" s="357">
        <f t="shared" si="32"/>
        <v>1.1177066955160642</v>
      </c>
      <c r="I51" s="357">
        <f t="shared" si="32"/>
        <v>1.1177066955160642</v>
      </c>
      <c r="J51" s="357">
        <f t="shared" si="32"/>
        <v>1.1177066955160642</v>
      </c>
      <c r="K51" s="357">
        <f t="shared" si="32"/>
        <v>1.1177066955160642</v>
      </c>
      <c r="L51" s="357">
        <f t="shared" si="32"/>
        <v>1.3429162535678152</v>
      </c>
      <c r="M51" s="357">
        <f t="shared" si="32"/>
        <v>1.4505163758401667</v>
      </c>
      <c r="N51" s="357">
        <f t="shared" si="32"/>
        <v>1.2937037946782093</v>
      </c>
      <c r="O51" s="357">
        <f t="shared" si="32"/>
        <v>1.1368912135162514</v>
      </c>
      <c r="P51" s="357">
        <f t="shared" si="32"/>
        <v>0.98007863235429493</v>
      </c>
      <c r="Q51" s="357">
        <f t="shared" si="32"/>
        <v>0.82326605119233931</v>
      </c>
      <c r="R51" s="357">
        <f t="shared" si="32"/>
        <v>0.66645347003038358</v>
      </c>
      <c r="S51" s="357">
        <f t="shared" si="32"/>
        <v>0.50964088886842795</v>
      </c>
      <c r="T51" s="357">
        <f t="shared" si="32"/>
        <v>0.35282830770647239</v>
      </c>
      <c r="U51" s="357">
        <f t="shared" si="32"/>
        <v>0.2156172991437256</v>
      </c>
      <c r="V51" s="357">
        <f t="shared" si="32"/>
        <v>0</v>
      </c>
      <c r="W51" s="357">
        <f t="shared" ref="W51:AH51" si="33">+W52+W53</f>
        <v>0</v>
      </c>
      <c r="X51" s="357">
        <f t="shared" si="33"/>
        <v>0</v>
      </c>
      <c r="Y51" s="357">
        <f t="shared" si="33"/>
        <v>0</v>
      </c>
      <c r="Z51" s="357">
        <f t="shared" si="33"/>
        <v>0</v>
      </c>
      <c r="AA51" s="357">
        <f t="shared" si="33"/>
        <v>0</v>
      </c>
      <c r="AB51" s="357">
        <f t="shared" si="33"/>
        <v>0</v>
      </c>
      <c r="AC51" s="357">
        <f t="shared" si="33"/>
        <v>0</v>
      </c>
      <c r="AD51" s="357">
        <f t="shared" si="33"/>
        <v>0</v>
      </c>
      <c r="AE51" s="357">
        <f t="shared" si="33"/>
        <v>0</v>
      </c>
      <c r="AF51" s="357">
        <f t="shared" si="33"/>
        <v>0</v>
      </c>
      <c r="AG51" s="990">
        <f t="shared" ref="AG51" si="34">+AG52+AG53</f>
        <v>0</v>
      </c>
      <c r="AH51" s="1332">
        <f t="shared" si="33"/>
        <v>0</v>
      </c>
      <c r="AI51" s="81">
        <f t="shared" si="15"/>
        <v>18.83127254654266</v>
      </c>
    </row>
    <row r="52" spans="2:35" s="463" customFormat="1">
      <c r="B52" s="358" t="s">
        <v>240</v>
      </c>
      <c r="C52" s="357">
        <v>1.0650318396096099</v>
      </c>
      <c r="D52" s="357">
        <v>1.0650318396096099</v>
      </c>
      <c r="E52" s="357">
        <v>1.0650318396096099</v>
      </c>
      <c r="F52" s="357">
        <v>1.0650318396096099</v>
      </c>
      <c r="G52" s="357">
        <v>1.0650318396096099</v>
      </c>
      <c r="H52" s="357">
        <v>1.0650318396096099</v>
      </c>
      <c r="I52" s="81">
        <v>1.0650318396096099</v>
      </c>
      <c r="J52" s="357">
        <v>1.0650318396096099</v>
      </c>
      <c r="K52" s="357">
        <v>1.0650318396096099</v>
      </c>
      <c r="L52" s="357">
        <v>1.2796278072921501</v>
      </c>
      <c r="M52" s="357">
        <v>1.38215699189762</v>
      </c>
      <c r="N52" s="357">
        <v>1.2327346144001501</v>
      </c>
      <c r="O52" s="357">
        <v>1.08331223690268</v>
      </c>
      <c r="P52" s="357">
        <v>0.93388985940521108</v>
      </c>
      <c r="Q52" s="357">
        <v>0.78446748190774307</v>
      </c>
      <c r="R52" s="357">
        <v>0.63504510441027495</v>
      </c>
      <c r="S52" s="357">
        <v>0.485622726912807</v>
      </c>
      <c r="T52" s="357">
        <v>0.33620034941533899</v>
      </c>
      <c r="U52" s="357">
        <v>0.205455769082037</v>
      </c>
      <c r="V52" s="357">
        <v>0</v>
      </c>
      <c r="W52" s="357">
        <v>0</v>
      </c>
      <c r="X52" s="357">
        <v>0</v>
      </c>
      <c r="Y52" s="357">
        <v>0</v>
      </c>
      <c r="Z52" s="357">
        <v>0</v>
      </c>
      <c r="AA52" s="357">
        <v>0</v>
      </c>
      <c r="AB52" s="357">
        <v>0</v>
      </c>
      <c r="AC52" s="357">
        <v>0</v>
      </c>
      <c r="AD52" s="357">
        <v>0</v>
      </c>
      <c r="AE52" s="357">
        <v>0</v>
      </c>
      <c r="AF52" s="357">
        <v>0</v>
      </c>
      <c r="AG52" s="990">
        <v>0</v>
      </c>
      <c r="AH52" s="1332">
        <v>0</v>
      </c>
      <c r="AI52" s="81">
        <f t="shared" si="15"/>
        <v>17.943799498112501</v>
      </c>
    </row>
    <row r="53" spans="2:35" s="463" customFormat="1">
      <c r="B53" s="358" t="s">
        <v>241</v>
      </c>
      <c r="C53" s="357">
        <v>5.26748559064543E-2</v>
      </c>
      <c r="D53" s="357">
        <v>5.26748559064543E-2</v>
      </c>
      <c r="E53" s="357">
        <v>5.26748559064543E-2</v>
      </c>
      <c r="F53" s="357">
        <v>5.26748559064543E-2</v>
      </c>
      <c r="G53" s="357">
        <v>5.26748559064543E-2</v>
      </c>
      <c r="H53" s="357">
        <v>5.26748559064543E-2</v>
      </c>
      <c r="I53" s="85">
        <v>5.26748559064543E-2</v>
      </c>
      <c r="J53" s="357">
        <v>5.26748559064543E-2</v>
      </c>
      <c r="K53" s="357">
        <v>5.26748559064543E-2</v>
      </c>
      <c r="L53" s="357">
        <v>6.3288446275665197E-2</v>
      </c>
      <c r="M53" s="357">
        <v>6.8359383942546703E-2</v>
      </c>
      <c r="N53" s="357">
        <v>6.0969180278059101E-2</v>
      </c>
      <c r="O53" s="357">
        <v>5.3578976613571506E-2</v>
      </c>
      <c r="P53" s="357">
        <v>4.6188772949083898E-2</v>
      </c>
      <c r="Q53" s="357">
        <v>3.8798569284596296E-2</v>
      </c>
      <c r="R53" s="357">
        <v>3.1408365620108604E-2</v>
      </c>
      <c r="S53" s="357">
        <v>2.4018161955620999E-2</v>
      </c>
      <c r="T53" s="357">
        <v>1.66279582911334E-2</v>
      </c>
      <c r="U53" s="357">
        <v>1.0161530061688599E-2</v>
      </c>
      <c r="V53" s="357">
        <v>0</v>
      </c>
      <c r="W53" s="357">
        <v>0</v>
      </c>
      <c r="X53" s="357">
        <v>0</v>
      </c>
      <c r="Y53" s="357">
        <v>0</v>
      </c>
      <c r="Z53" s="357">
        <v>0</v>
      </c>
      <c r="AA53" s="357">
        <v>0</v>
      </c>
      <c r="AB53" s="357">
        <v>0</v>
      </c>
      <c r="AC53" s="357">
        <v>0</v>
      </c>
      <c r="AD53" s="357">
        <v>0</v>
      </c>
      <c r="AE53" s="357">
        <v>0</v>
      </c>
      <c r="AF53" s="357">
        <v>0</v>
      </c>
      <c r="AG53" s="990">
        <v>0</v>
      </c>
      <c r="AH53" s="1332">
        <v>0</v>
      </c>
      <c r="AI53" s="85">
        <f t="shared" si="15"/>
        <v>0.88747304843016295</v>
      </c>
    </row>
    <row r="54" spans="2:35" s="463" customFormat="1">
      <c r="B54" s="361" t="s">
        <v>75</v>
      </c>
      <c r="C54" s="362">
        <f t="shared" ref="C54:Q54" si="35">+C55+C58+C65+C68</f>
        <v>1739.3445364660402</v>
      </c>
      <c r="D54" s="362">
        <f t="shared" si="35"/>
        <v>1739.3445364660402</v>
      </c>
      <c r="E54" s="362">
        <f t="shared" si="35"/>
        <v>1739.3445364660402</v>
      </c>
      <c r="F54" s="362">
        <f t="shared" si="35"/>
        <v>1739.3445364660402</v>
      </c>
      <c r="G54" s="362">
        <f t="shared" si="35"/>
        <v>1695.8609230705144</v>
      </c>
      <c r="H54" s="362">
        <f t="shared" si="35"/>
        <v>1521.9264694159003</v>
      </c>
      <c r="I54" s="362">
        <f t="shared" si="35"/>
        <v>1347.9920157633846</v>
      </c>
      <c r="J54" s="362">
        <f t="shared" si="35"/>
        <v>1174.0575621521702</v>
      </c>
      <c r="K54" s="362">
        <f t="shared" si="35"/>
        <v>1000.1231085074642</v>
      </c>
      <c r="L54" s="362">
        <f t="shared" si="35"/>
        <v>826.18865483558193</v>
      </c>
      <c r="M54" s="362">
        <f t="shared" si="35"/>
        <v>652.25420119106093</v>
      </c>
      <c r="N54" s="362">
        <f t="shared" si="35"/>
        <v>478.31974753412032</v>
      </c>
      <c r="O54" s="362">
        <f t="shared" si="35"/>
        <v>304.38529385838956</v>
      </c>
      <c r="P54" s="362">
        <f t="shared" si="35"/>
        <v>130.45084023020507</v>
      </c>
      <c r="Q54" s="362">
        <f t="shared" si="35"/>
        <v>0</v>
      </c>
      <c r="R54" s="362">
        <f t="shared" ref="R54:AH54" si="36">+R55+R58+R65+R68</f>
        <v>0</v>
      </c>
      <c r="S54" s="362">
        <f t="shared" si="36"/>
        <v>0</v>
      </c>
      <c r="T54" s="362">
        <f t="shared" si="36"/>
        <v>0</v>
      </c>
      <c r="U54" s="362">
        <f t="shared" si="36"/>
        <v>0</v>
      </c>
      <c r="V54" s="362">
        <f t="shared" si="36"/>
        <v>0</v>
      </c>
      <c r="W54" s="362">
        <f t="shared" si="36"/>
        <v>0</v>
      </c>
      <c r="X54" s="362">
        <f t="shared" si="36"/>
        <v>0</v>
      </c>
      <c r="Y54" s="362">
        <f t="shared" si="36"/>
        <v>0</v>
      </c>
      <c r="Z54" s="362">
        <f t="shared" si="36"/>
        <v>0</v>
      </c>
      <c r="AA54" s="362">
        <f t="shared" si="36"/>
        <v>0</v>
      </c>
      <c r="AB54" s="362">
        <f t="shared" si="36"/>
        <v>0</v>
      </c>
      <c r="AC54" s="362">
        <f t="shared" si="36"/>
        <v>0</v>
      </c>
      <c r="AD54" s="362">
        <f t="shared" si="36"/>
        <v>0</v>
      </c>
      <c r="AE54" s="362">
        <f t="shared" si="36"/>
        <v>0</v>
      </c>
      <c r="AF54" s="362">
        <f t="shared" si="36"/>
        <v>0</v>
      </c>
      <c r="AG54" s="362">
        <f t="shared" ref="AG54" si="37">+AG55+AG58+AG65+AG68</f>
        <v>0</v>
      </c>
      <c r="AH54" s="1327">
        <f t="shared" si="36"/>
        <v>0</v>
      </c>
      <c r="AI54" s="80">
        <f t="shared" si="15"/>
        <v>16088.936962422955</v>
      </c>
    </row>
    <row r="55" spans="2:35" s="463" customFormat="1">
      <c r="B55" s="269" t="s">
        <v>23</v>
      </c>
      <c r="C55" s="357">
        <f t="shared" ref="C55:Q55" si="38">+C56+C57</f>
        <v>167.67201477338384</v>
      </c>
      <c r="D55" s="357">
        <f t="shared" si="38"/>
        <v>167.67201477338384</v>
      </c>
      <c r="E55" s="357">
        <f t="shared" si="38"/>
        <v>167.67201477338384</v>
      </c>
      <c r="F55" s="357">
        <f t="shared" si="38"/>
        <v>167.67201477338384</v>
      </c>
      <c r="G55" s="357">
        <f t="shared" si="38"/>
        <v>163.48021440389257</v>
      </c>
      <c r="H55" s="357">
        <f t="shared" si="38"/>
        <v>146.7130129259296</v>
      </c>
      <c r="I55" s="357">
        <f t="shared" si="38"/>
        <v>129.94581145108887</v>
      </c>
      <c r="J55" s="357">
        <f t="shared" si="38"/>
        <v>113.17860997624916</v>
      </c>
      <c r="K55" s="357">
        <f t="shared" si="38"/>
        <v>96.411408498286065</v>
      </c>
      <c r="L55" s="357">
        <f t="shared" si="38"/>
        <v>79.64420701407866</v>
      </c>
      <c r="M55" s="357">
        <f t="shared" si="38"/>
        <v>62.877005536115874</v>
      </c>
      <c r="N55" s="357">
        <f t="shared" si="38"/>
        <v>46.109804058153074</v>
      </c>
      <c r="O55" s="357">
        <f t="shared" si="38"/>
        <v>29.342602580190281</v>
      </c>
      <c r="P55" s="357">
        <f t="shared" si="38"/>
        <v>12.575401108472047</v>
      </c>
      <c r="Q55" s="357">
        <f t="shared" si="38"/>
        <v>0</v>
      </c>
      <c r="R55" s="357">
        <f t="shared" ref="R55:AH55" si="39">+R56+R57</f>
        <v>0</v>
      </c>
      <c r="S55" s="357">
        <f t="shared" si="39"/>
        <v>0</v>
      </c>
      <c r="T55" s="357">
        <f t="shared" si="39"/>
        <v>0</v>
      </c>
      <c r="U55" s="357">
        <f t="shared" si="39"/>
        <v>0</v>
      </c>
      <c r="V55" s="357">
        <f t="shared" si="39"/>
        <v>0</v>
      </c>
      <c r="W55" s="357">
        <f t="shared" si="39"/>
        <v>0</v>
      </c>
      <c r="X55" s="357">
        <f t="shared" si="39"/>
        <v>0</v>
      </c>
      <c r="Y55" s="357">
        <f t="shared" si="39"/>
        <v>0</v>
      </c>
      <c r="Z55" s="357">
        <f t="shared" si="39"/>
        <v>0</v>
      </c>
      <c r="AA55" s="357">
        <f t="shared" si="39"/>
        <v>0</v>
      </c>
      <c r="AB55" s="357">
        <f t="shared" si="39"/>
        <v>0</v>
      </c>
      <c r="AC55" s="357">
        <f t="shared" si="39"/>
        <v>0</v>
      </c>
      <c r="AD55" s="357">
        <f t="shared" si="39"/>
        <v>0</v>
      </c>
      <c r="AE55" s="357">
        <f t="shared" si="39"/>
        <v>0</v>
      </c>
      <c r="AF55" s="357">
        <f t="shared" si="39"/>
        <v>0</v>
      </c>
      <c r="AG55" s="990">
        <f t="shared" ref="AG55" si="40">+AG56+AG57</f>
        <v>0</v>
      </c>
      <c r="AH55" s="1332">
        <f t="shared" si="39"/>
        <v>0</v>
      </c>
      <c r="AI55" s="95">
        <f t="shared" si="15"/>
        <v>1550.9661366459916</v>
      </c>
    </row>
    <row r="56" spans="2:35" s="463" customFormat="1">
      <c r="B56" s="358" t="s">
        <v>240</v>
      </c>
      <c r="C56" s="357">
        <v>165.680413471143</v>
      </c>
      <c r="D56" s="357">
        <v>165.680413471143</v>
      </c>
      <c r="E56" s="357">
        <v>165.680413471143</v>
      </c>
      <c r="F56" s="357">
        <v>165.680413471143</v>
      </c>
      <c r="G56" s="357">
        <v>161.53840313452</v>
      </c>
      <c r="H56" s="357">
        <v>144.97036178803</v>
      </c>
      <c r="I56" s="81">
        <v>128.40232044154001</v>
      </c>
      <c r="J56" s="357">
        <v>111.834279095051</v>
      </c>
      <c r="K56" s="357">
        <v>95.266237748560911</v>
      </c>
      <c r="L56" s="357">
        <v>78.6981963958265</v>
      </c>
      <c r="M56" s="357">
        <v>62.1301550493367</v>
      </c>
      <c r="N56" s="357">
        <v>45.562113702846901</v>
      </c>
      <c r="O56" s="357">
        <v>28.994072356357101</v>
      </c>
      <c r="P56" s="357">
        <v>12.4260310098673</v>
      </c>
      <c r="Q56" s="357">
        <v>0</v>
      </c>
      <c r="R56" s="357">
        <v>0</v>
      </c>
      <c r="S56" s="357">
        <v>0</v>
      </c>
      <c r="T56" s="357">
        <v>0</v>
      </c>
      <c r="U56" s="357">
        <v>0</v>
      </c>
      <c r="V56" s="357">
        <v>0</v>
      </c>
      <c r="W56" s="357">
        <v>0</v>
      </c>
      <c r="X56" s="357">
        <v>0</v>
      </c>
      <c r="Y56" s="357">
        <v>0</v>
      </c>
      <c r="Z56" s="357">
        <v>0</v>
      </c>
      <c r="AA56" s="357">
        <v>0</v>
      </c>
      <c r="AB56" s="357">
        <v>0</v>
      </c>
      <c r="AC56" s="357">
        <v>0</v>
      </c>
      <c r="AD56" s="357">
        <v>0</v>
      </c>
      <c r="AE56" s="357">
        <v>0</v>
      </c>
      <c r="AF56" s="357">
        <v>0</v>
      </c>
      <c r="AG56" s="990">
        <v>0</v>
      </c>
      <c r="AH56" s="1332">
        <v>0</v>
      </c>
      <c r="AI56" s="81">
        <f t="shared" si="15"/>
        <v>1532.5438246065082</v>
      </c>
    </row>
    <row r="57" spans="2:35" s="463" customFormat="1">
      <c r="B57" s="358" t="s">
        <v>241</v>
      </c>
      <c r="C57" s="357">
        <v>1.9916013022408299</v>
      </c>
      <c r="D57" s="357">
        <v>1.9916013022408299</v>
      </c>
      <c r="E57" s="357">
        <v>1.9916013022408299</v>
      </c>
      <c r="F57" s="357">
        <v>1.9916013022408299</v>
      </c>
      <c r="G57" s="357">
        <v>1.9418112693725802</v>
      </c>
      <c r="H57" s="357">
        <v>1.7426511378995899</v>
      </c>
      <c r="I57" s="81">
        <v>1.5434910095488699</v>
      </c>
      <c r="J57" s="357">
        <v>1.3443308811981598</v>
      </c>
      <c r="K57" s="357">
        <v>1.14517074972516</v>
      </c>
      <c r="L57" s="357">
        <v>0.94601061825216592</v>
      </c>
      <c r="M57" s="357">
        <v>0.7468504867791711</v>
      </c>
      <c r="N57" s="357">
        <v>0.54769035530617605</v>
      </c>
      <c r="O57" s="357">
        <v>0.34853022383318</v>
      </c>
      <c r="P57" s="357">
        <v>0.14937009860474598</v>
      </c>
      <c r="Q57" s="357">
        <v>0</v>
      </c>
      <c r="R57" s="357">
        <v>0</v>
      </c>
      <c r="S57" s="357">
        <v>0</v>
      </c>
      <c r="T57" s="357">
        <v>0</v>
      </c>
      <c r="U57" s="357">
        <v>0</v>
      </c>
      <c r="V57" s="357">
        <v>0</v>
      </c>
      <c r="W57" s="357">
        <v>0</v>
      </c>
      <c r="X57" s="357">
        <v>0</v>
      </c>
      <c r="Y57" s="357">
        <v>0</v>
      </c>
      <c r="Z57" s="357">
        <v>0</v>
      </c>
      <c r="AA57" s="357">
        <v>0</v>
      </c>
      <c r="AB57" s="357">
        <v>0</v>
      </c>
      <c r="AC57" s="357">
        <v>0</v>
      </c>
      <c r="AD57" s="357">
        <v>0</v>
      </c>
      <c r="AE57" s="357">
        <v>0</v>
      </c>
      <c r="AF57" s="357">
        <v>0</v>
      </c>
      <c r="AG57" s="990">
        <v>0</v>
      </c>
      <c r="AH57" s="1332">
        <v>0</v>
      </c>
      <c r="AI57" s="81">
        <f t="shared" si="15"/>
        <v>18.422312039483117</v>
      </c>
    </row>
    <row r="58" spans="2:35" s="463" customFormat="1">
      <c r="B58" s="269" t="s">
        <v>24</v>
      </c>
      <c r="C58" s="357">
        <f t="shared" ref="C58:AH58" si="41">+C59+C62</f>
        <v>1061.4162595599998</v>
      </c>
      <c r="D58" s="357">
        <f t="shared" si="41"/>
        <v>1061.4162595599998</v>
      </c>
      <c r="E58" s="357">
        <f t="shared" si="41"/>
        <v>1061.4162595599998</v>
      </c>
      <c r="F58" s="357">
        <f t="shared" si="41"/>
        <v>1061.4162595599998</v>
      </c>
      <c r="G58" s="357">
        <f t="shared" si="41"/>
        <v>1034.8808530800002</v>
      </c>
      <c r="H58" s="357">
        <f t="shared" si="41"/>
        <v>928.73922711</v>
      </c>
      <c r="I58" s="357">
        <f t="shared" si="41"/>
        <v>822.59760115000006</v>
      </c>
      <c r="J58" s="357">
        <f t="shared" si="41"/>
        <v>716.45597521999991</v>
      </c>
      <c r="K58" s="357">
        <f t="shared" si="41"/>
        <v>610.31434925999997</v>
      </c>
      <c r="L58" s="357">
        <f t="shared" si="41"/>
        <v>504.17272328999996</v>
      </c>
      <c r="M58" s="357">
        <f t="shared" si="41"/>
        <v>398.03109733000002</v>
      </c>
      <c r="N58" s="357">
        <f t="shared" si="41"/>
        <v>291.88947138000003</v>
      </c>
      <c r="O58" s="357">
        <f t="shared" si="41"/>
        <v>185.74784539999996</v>
      </c>
      <c r="P58" s="357">
        <f t="shared" si="41"/>
        <v>79.606219449999998</v>
      </c>
      <c r="Q58" s="357">
        <f t="shared" si="41"/>
        <v>0</v>
      </c>
      <c r="R58" s="357">
        <f t="shared" si="41"/>
        <v>0</v>
      </c>
      <c r="S58" s="357">
        <f t="shared" si="41"/>
        <v>0</v>
      </c>
      <c r="T58" s="357">
        <f t="shared" si="41"/>
        <v>0</v>
      </c>
      <c r="U58" s="357">
        <f t="shared" si="41"/>
        <v>0</v>
      </c>
      <c r="V58" s="357">
        <f t="shared" si="41"/>
        <v>0</v>
      </c>
      <c r="W58" s="357">
        <f t="shared" si="41"/>
        <v>0</v>
      </c>
      <c r="X58" s="357">
        <f t="shared" si="41"/>
        <v>0</v>
      </c>
      <c r="Y58" s="357">
        <f t="shared" si="41"/>
        <v>0</v>
      </c>
      <c r="Z58" s="357">
        <f t="shared" si="41"/>
        <v>0</v>
      </c>
      <c r="AA58" s="357">
        <f t="shared" si="41"/>
        <v>0</v>
      </c>
      <c r="AB58" s="357">
        <f t="shared" si="41"/>
        <v>0</v>
      </c>
      <c r="AC58" s="357">
        <f t="shared" si="41"/>
        <v>0</v>
      </c>
      <c r="AD58" s="357">
        <f t="shared" si="41"/>
        <v>0</v>
      </c>
      <c r="AE58" s="357">
        <f t="shared" si="41"/>
        <v>0</v>
      </c>
      <c r="AF58" s="357">
        <f t="shared" si="41"/>
        <v>0</v>
      </c>
      <c r="AG58" s="990">
        <f t="shared" ref="AG58" si="42">+AG59+AG62</f>
        <v>0</v>
      </c>
      <c r="AH58" s="1332">
        <f t="shared" si="41"/>
        <v>0</v>
      </c>
      <c r="AI58" s="81">
        <f t="shared" si="15"/>
        <v>9818.1004009099979</v>
      </c>
    </row>
    <row r="59" spans="2:35" s="463" customFormat="1">
      <c r="B59" s="358" t="s">
        <v>240</v>
      </c>
      <c r="C59" s="357">
        <f t="shared" ref="C59:AH59" si="43">+C60+C61</f>
        <v>938.20294259999991</v>
      </c>
      <c r="D59" s="357">
        <f t="shared" si="43"/>
        <v>938.20294259999991</v>
      </c>
      <c r="E59" s="357">
        <f t="shared" si="43"/>
        <v>938.20294259999991</v>
      </c>
      <c r="F59" s="357">
        <f t="shared" si="43"/>
        <v>938.20294259999991</v>
      </c>
      <c r="G59" s="357">
        <f t="shared" si="43"/>
        <v>914.74786904000007</v>
      </c>
      <c r="H59" s="357">
        <f t="shared" si="43"/>
        <v>820.92757476999998</v>
      </c>
      <c r="I59" s="357">
        <f t="shared" si="43"/>
        <v>727.10728051000001</v>
      </c>
      <c r="J59" s="357">
        <f t="shared" si="43"/>
        <v>633.28698625999994</v>
      </c>
      <c r="K59" s="357">
        <f t="shared" si="43"/>
        <v>539.46669199999997</v>
      </c>
      <c r="L59" s="357">
        <f t="shared" si="43"/>
        <v>445.64639772999999</v>
      </c>
      <c r="M59" s="357">
        <f t="shared" si="43"/>
        <v>351.82610348000003</v>
      </c>
      <c r="N59" s="357">
        <f t="shared" si="43"/>
        <v>258.00580922</v>
      </c>
      <c r="O59" s="357">
        <f t="shared" si="43"/>
        <v>164.18551495999998</v>
      </c>
      <c r="P59" s="357">
        <f t="shared" si="43"/>
        <v>70.365220690000001</v>
      </c>
      <c r="Q59" s="357">
        <f t="shared" si="43"/>
        <v>0</v>
      </c>
      <c r="R59" s="357">
        <f t="shared" si="43"/>
        <v>0</v>
      </c>
      <c r="S59" s="357">
        <f t="shared" si="43"/>
        <v>0</v>
      </c>
      <c r="T59" s="357">
        <f t="shared" si="43"/>
        <v>0</v>
      </c>
      <c r="U59" s="357">
        <f t="shared" si="43"/>
        <v>0</v>
      </c>
      <c r="V59" s="357">
        <f t="shared" si="43"/>
        <v>0</v>
      </c>
      <c r="W59" s="357">
        <f t="shared" si="43"/>
        <v>0</v>
      </c>
      <c r="X59" s="357">
        <f t="shared" si="43"/>
        <v>0</v>
      </c>
      <c r="Y59" s="357">
        <f t="shared" si="43"/>
        <v>0</v>
      </c>
      <c r="Z59" s="357">
        <f t="shared" si="43"/>
        <v>0</v>
      </c>
      <c r="AA59" s="357">
        <f t="shared" si="43"/>
        <v>0</v>
      </c>
      <c r="AB59" s="357">
        <f t="shared" si="43"/>
        <v>0</v>
      </c>
      <c r="AC59" s="357">
        <f t="shared" si="43"/>
        <v>0</v>
      </c>
      <c r="AD59" s="357">
        <f t="shared" si="43"/>
        <v>0</v>
      </c>
      <c r="AE59" s="357">
        <f t="shared" si="43"/>
        <v>0</v>
      </c>
      <c r="AF59" s="357">
        <f t="shared" si="43"/>
        <v>0</v>
      </c>
      <c r="AG59" s="990">
        <f t="shared" ref="AG59" si="44">+AG60+AG61</f>
        <v>0</v>
      </c>
      <c r="AH59" s="1332">
        <f t="shared" si="43"/>
        <v>0</v>
      </c>
      <c r="AI59" s="81">
        <f t="shared" si="15"/>
        <v>8678.3772190600012</v>
      </c>
    </row>
    <row r="60" spans="2:35" s="463" customFormat="1">
      <c r="B60" s="359" t="s">
        <v>242</v>
      </c>
      <c r="C60" s="357">
        <v>352.85570774000001</v>
      </c>
      <c r="D60" s="357">
        <v>352.85570774000001</v>
      </c>
      <c r="E60" s="357">
        <v>352.85570774000001</v>
      </c>
      <c r="F60" s="357">
        <v>352.85570774000001</v>
      </c>
      <c r="G60" s="357">
        <v>344.03431505000003</v>
      </c>
      <c r="H60" s="357">
        <v>308.74874426999997</v>
      </c>
      <c r="I60" s="81">
        <v>273.46317349999998</v>
      </c>
      <c r="J60" s="357">
        <v>238.17760272999999</v>
      </c>
      <c r="K60" s="357">
        <v>202.89203194999999</v>
      </c>
      <c r="L60" s="357">
        <v>167.60646118</v>
      </c>
      <c r="M60" s="357">
        <v>132.32089041</v>
      </c>
      <c r="N60" s="357">
        <v>97.035319629999989</v>
      </c>
      <c r="O60" s="357">
        <v>61.749748859999997</v>
      </c>
      <c r="P60" s="357">
        <v>26.46417808</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990">
        <v>0</v>
      </c>
      <c r="AH60" s="1332">
        <v>0</v>
      </c>
      <c r="AI60" s="81">
        <f t="shared" si="15"/>
        <v>3263.915296619999</v>
      </c>
    </row>
    <row r="61" spans="2:35" s="463" customFormat="1">
      <c r="B61" s="360" t="s">
        <v>243</v>
      </c>
      <c r="C61" s="357">
        <v>585.34723485999996</v>
      </c>
      <c r="D61" s="357">
        <v>585.34723485999996</v>
      </c>
      <c r="E61" s="357">
        <v>585.34723485999996</v>
      </c>
      <c r="F61" s="357">
        <v>585.34723485999996</v>
      </c>
      <c r="G61" s="357">
        <v>570.71355399000004</v>
      </c>
      <c r="H61" s="357">
        <v>512.1788305</v>
      </c>
      <c r="I61" s="81">
        <v>453.64410700999997</v>
      </c>
      <c r="J61" s="357">
        <v>395.10938352999995</v>
      </c>
      <c r="K61" s="357">
        <v>336.57466005000003</v>
      </c>
      <c r="L61" s="357">
        <v>278.03993654999999</v>
      </c>
      <c r="M61" s="357">
        <v>219.50521307</v>
      </c>
      <c r="N61" s="357">
        <v>160.97048959</v>
      </c>
      <c r="O61" s="357">
        <v>102.4357661</v>
      </c>
      <c r="P61" s="357">
        <v>43.901042609999998</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990">
        <v>0</v>
      </c>
      <c r="AH61" s="1332">
        <v>0</v>
      </c>
      <c r="AI61" s="81">
        <f t="shared" si="15"/>
        <v>5414.4619224400003</v>
      </c>
    </row>
    <row r="62" spans="2:35" s="463" customFormat="1">
      <c r="B62" s="358" t="s">
        <v>241</v>
      </c>
      <c r="C62" s="357">
        <f t="shared" ref="C62:AH62" si="45">+C63+C64</f>
        <v>123.21331696000001</v>
      </c>
      <c r="D62" s="357">
        <f t="shared" si="45"/>
        <v>123.21331696000001</v>
      </c>
      <c r="E62" s="357">
        <f t="shared" si="45"/>
        <v>123.21331696000001</v>
      </c>
      <c r="F62" s="357">
        <f t="shared" si="45"/>
        <v>123.21331696000001</v>
      </c>
      <c r="G62" s="357">
        <f t="shared" si="45"/>
        <v>120.13298404</v>
      </c>
      <c r="H62" s="357">
        <f t="shared" si="45"/>
        <v>107.81165233999999</v>
      </c>
      <c r="I62" s="357">
        <f t="shared" si="45"/>
        <v>95.490320640000007</v>
      </c>
      <c r="J62" s="357">
        <f t="shared" si="45"/>
        <v>83.168988960000007</v>
      </c>
      <c r="K62" s="357">
        <f t="shared" si="45"/>
        <v>70.847657260000005</v>
      </c>
      <c r="L62" s="357">
        <f t="shared" si="45"/>
        <v>58.526325559999997</v>
      </c>
      <c r="M62" s="357">
        <f t="shared" si="45"/>
        <v>46.204993849999994</v>
      </c>
      <c r="N62" s="357">
        <f t="shared" si="45"/>
        <v>33.88366216</v>
      </c>
      <c r="O62" s="357">
        <f t="shared" si="45"/>
        <v>21.562330439999997</v>
      </c>
      <c r="P62" s="357">
        <f t="shared" si="45"/>
        <v>9.2409987600000001</v>
      </c>
      <c r="Q62" s="357">
        <f t="shared" si="45"/>
        <v>0</v>
      </c>
      <c r="R62" s="357">
        <f t="shared" si="45"/>
        <v>0</v>
      </c>
      <c r="S62" s="357">
        <f t="shared" si="45"/>
        <v>0</v>
      </c>
      <c r="T62" s="357">
        <f t="shared" si="45"/>
        <v>0</v>
      </c>
      <c r="U62" s="357">
        <f t="shared" si="45"/>
        <v>0</v>
      </c>
      <c r="V62" s="357">
        <f t="shared" si="45"/>
        <v>0</v>
      </c>
      <c r="W62" s="357">
        <f t="shared" si="45"/>
        <v>0</v>
      </c>
      <c r="X62" s="357">
        <f t="shared" si="45"/>
        <v>0</v>
      </c>
      <c r="Y62" s="357">
        <f t="shared" si="45"/>
        <v>0</v>
      </c>
      <c r="Z62" s="357">
        <f t="shared" si="45"/>
        <v>0</v>
      </c>
      <c r="AA62" s="357">
        <f t="shared" si="45"/>
        <v>0</v>
      </c>
      <c r="AB62" s="357">
        <f t="shared" si="45"/>
        <v>0</v>
      </c>
      <c r="AC62" s="357">
        <f t="shared" si="45"/>
        <v>0</v>
      </c>
      <c r="AD62" s="357">
        <f t="shared" si="45"/>
        <v>0</v>
      </c>
      <c r="AE62" s="357">
        <f t="shared" si="45"/>
        <v>0</v>
      </c>
      <c r="AF62" s="357">
        <f t="shared" si="45"/>
        <v>0</v>
      </c>
      <c r="AG62" s="990">
        <f t="shared" ref="AG62" si="46">+AG63+AG64</f>
        <v>0</v>
      </c>
      <c r="AH62" s="1332">
        <f t="shared" si="45"/>
        <v>0</v>
      </c>
      <c r="AI62" s="81">
        <f t="shared" si="15"/>
        <v>1139.7231818500002</v>
      </c>
    </row>
    <row r="63" spans="2:35" s="463" customFormat="1">
      <c r="B63" s="359" t="s">
        <v>242</v>
      </c>
      <c r="C63" s="357">
        <v>107.95044804000001</v>
      </c>
      <c r="D63" s="357">
        <v>107.95044804000001</v>
      </c>
      <c r="E63" s="357">
        <v>107.95044804000001</v>
      </c>
      <c r="F63" s="357">
        <v>107.95044804000001</v>
      </c>
      <c r="G63" s="357">
        <v>105.25168684</v>
      </c>
      <c r="H63" s="357">
        <v>94.45664201999999</v>
      </c>
      <c r="I63" s="81">
        <v>83.661597220000004</v>
      </c>
      <c r="J63" s="357">
        <v>72.866552430000013</v>
      </c>
      <c r="K63" s="357">
        <v>62.071507619999998</v>
      </c>
      <c r="L63" s="357">
        <v>51.276462819999999</v>
      </c>
      <c r="M63" s="357">
        <v>40.481417999999998</v>
      </c>
      <c r="N63" s="357">
        <v>29.686373199999998</v>
      </c>
      <c r="O63" s="357">
        <v>18.891328379999997</v>
      </c>
      <c r="P63" s="357">
        <v>8.0962835900000005</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990">
        <v>0</v>
      </c>
      <c r="AH63" s="1332">
        <v>0</v>
      </c>
      <c r="AI63" s="81">
        <f t="shared" si="15"/>
        <v>998.54164428000001</v>
      </c>
    </row>
    <row r="64" spans="2:35" s="463" customFormat="1">
      <c r="B64" s="360" t="s">
        <v>243</v>
      </c>
      <c r="C64" s="357">
        <v>15.262868920000001</v>
      </c>
      <c r="D64" s="357">
        <v>15.262868920000001</v>
      </c>
      <c r="E64" s="357">
        <v>15.262868920000001</v>
      </c>
      <c r="F64" s="357">
        <v>15.262868920000001</v>
      </c>
      <c r="G64" s="357">
        <v>14.881297199999999</v>
      </c>
      <c r="H64" s="357">
        <v>13.35501032</v>
      </c>
      <c r="I64" s="81">
        <v>11.828723419999999</v>
      </c>
      <c r="J64" s="357">
        <v>10.30243653</v>
      </c>
      <c r="K64" s="357">
        <v>8.7761496399999999</v>
      </c>
      <c r="L64" s="357">
        <v>7.2498627400000002</v>
      </c>
      <c r="M64" s="357">
        <v>5.7235758499999996</v>
      </c>
      <c r="N64" s="357">
        <v>4.1972889599999998</v>
      </c>
      <c r="O64" s="357">
        <v>2.6710020600000002</v>
      </c>
      <c r="P64" s="357">
        <v>1.14471517</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990">
        <v>0</v>
      </c>
      <c r="AH64" s="1332">
        <v>0</v>
      </c>
      <c r="AI64" s="81">
        <f t="shared" si="15"/>
        <v>141.18153757000002</v>
      </c>
    </row>
    <row r="65" spans="2:35" s="463" customFormat="1">
      <c r="B65" s="269" t="s">
        <v>25</v>
      </c>
      <c r="C65" s="357">
        <f t="shared" ref="C65:Q65" si="47">+C66+C67</f>
        <v>506.33943533236197</v>
      </c>
      <c r="D65" s="357">
        <f t="shared" si="47"/>
        <v>506.33943533236197</v>
      </c>
      <c r="E65" s="357">
        <f t="shared" si="47"/>
        <v>506.33943533236197</v>
      </c>
      <c r="F65" s="357">
        <f t="shared" si="47"/>
        <v>506.33943533236197</v>
      </c>
      <c r="G65" s="357">
        <f t="shared" si="47"/>
        <v>493.68094945633902</v>
      </c>
      <c r="H65" s="357">
        <f t="shared" si="47"/>
        <v>443.047005929828</v>
      </c>
      <c r="I65" s="357">
        <f t="shared" si="47"/>
        <v>392.41306239210894</v>
      </c>
      <c r="J65" s="357">
        <f t="shared" si="47"/>
        <v>341.77911886559798</v>
      </c>
      <c r="K65" s="357">
        <f t="shared" si="47"/>
        <v>291.14517533908702</v>
      </c>
      <c r="L65" s="357">
        <f t="shared" si="47"/>
        <v>240.51123180136801</v>
      </c>
      <c r="M65" s="357">
        <f t="shared" si="47"/>
        <v>189.87728827485762</v>
      </c>
      <c r="N65" s="357">
        <f t="shared" si="47"/>
        <v>139.24334472592761</v>
      </c>
      <c r="O65" s="357">
        <f t="shared" si="47"/>
        <v>88.609401188207613</v>
      </c>
      <c r="P65" s="357">
        <f t="shared" si="47"/>
        <v>37.975457661697099</v>
      </c>
      <c r="Q65" s="357">
        <f t="shared" si="47"/>
        <v>0</v>
      </c>
      <c r="R65" s="357">
        <f t="shared" ref="R65:AH65" si="48">+R66+R67</f>
        <v>0</v>
      </c>
      <c r="S65" s="357">
        <f t="shared" si="48"/>
        <v>0</v>
      </c>
      <c r="T65" s="357">
        <f t="shared" si="48"/>
        <v>0</v>
      </c>
      <c r="U65" s="357">
        <f t="shared" si="48"/>
        <v>0</v>
      </c>
      <c r="V65" s="357">
        <f t="shared" si="48"/>
        <v>0</v>
      </c>
      <c r="W65" s="357">
        <f t="shared" si="48"/>
        <v>0</v>
      </c>
      <c r="X65" s="357">
        <f t="shared" si="48"/>
        <v>0</v>
      </c>
      <c r="Y65" s="357">
        <f t="shared" si="48"/>
        <v>0</v>
      </c>
      <c r="Z65" s="357">
        <f t="shared" si="48"/>
        <v>0</v>
      </c>
      <c r="AA65" s="357">
        <f t="shared" si="48"/>
        <v>0</v>
      </c>
      <c r="AB65" s="357">
        <f t="shared" si="48"/>
        <v>0</v>
      </c>
      <c r="AC65" s="357">
        <f t="shared" si="48"/>
        <v>0</v>
      </c>
      <c r="AD65" s="357">
        <f t="shared" si="48"/>
        <v>0</v>
      </c>
      <c r="AE65" s="357">
        <f t="shared" si="48"/>
        <v>0</v>
      </c>
      <c r="AF65" s="357">
        <f t="shared" si="48"/>
        <v>0</v>
      </c>
      <c r="AG65" s="990">
        <f t="shared" ref="AG65" si="49">+AG66+AG67</f>
        <v>0</v>
      </c>
      <c r="AH65" s="1332">
        <f t="shared" si="48"/>
        <v>0</v>
      </c>
      <c r="AI65" s="81">
        <f t="shared" si="15"/>
        <v>4683.6397769644673</v>
      </c>
    </row>
    <row r="66" spans="2:35" s="463" customFormat="1">
      <c r="B66" s="358" t="s">
        <v>240</v>
      </c>
      <c r="C66" s="357">
        <v>273.03919473153195</v>
      </c>
      <c r="D66" s="357">
        <v>273.03919473153195</v>
      </c>
      <c r="E66" s="357">
        <v>273.03919473153195</v>
      </c>
      <c r="F66" s="357">
        <v>273.03919473153195</v>
      </c>
      <c r="G66" s="357">
        <v>266.21321486380498</v>
      </c>
      <c r="H66" s="357">
        <v>238.909295392893</v>
      </c>
      <c r="I66" s="81">
        <v>211.60537592198199</v>
      </c>
      <c r="J66" s="357">
        <v>184.30145645107001</v>
      </c>
      <c r="K66" s="357">
        <v>156.99753698015903</v>
      </c>
      <c r="L66" s="357">
        <v>129.69361750924801</v>
      </c>
      <c r="M66" s="357">
        <v>102.389698038337</v>
      </c>
      <c r="N66" s="357">
        <v>75.085778556215701</v>
      </c>
      <c r="O66" s="357">
        <v>47.781859074094804</v>
      </c>
      <c r="P66" s="357">
        <v>20.477939603183501</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990">
        <v>0</v>
      </c>
      <c r="AH66" s="1332">
        <v>0</v>
      </c>
      <c r="AI66" s="81">
        <f t="shared" si="15"/>
        <v>2525.6125513171155</v>
      </c>
    </row>
    <row r="67" spans="2:35" s="463" customFormat="1">
      <c r="B67" s="358" t="s">
        <v>241</v>
      </c>
      <c r="C67" s="357">
        <v>233.30024060082999</v>
      </c>
      <c r="D67" s="357">
        <v>233.30024060082999</v>
      </c>
      <c r="E67" s="357">
        <v>233.30024060082999</v>
      </c>
      <c r="F67" s="357">
        <v>233.30024060082999</v>
      </c>
      <c r="G67" s="357">
        <v>227.46773459253401</v>
      </c>
      <c r="H67" s="357">
        <v>204.137710536935</v>
      </c>
      <c r="I67" s="81">
        <v>180.80768647012698</v>
      </c>
      <c r="J67" s="357">
        <v>157.477662414528</v>
      </c>
      <c r="K67" s="357">
        <v>134.14763835892799</v>
      </c>
      <c r="L67" s="357">
        <v>110.81761429212</v>
      </c>
      <c r="M67" s="357">
        <v>87.487590236520603</v>
      </c>
      <c r="N67" s="357">
        <v>64.157566169711899</v>
      </c>
      <c r="O67" s="357">
        <v>40.827542114112802</v>
      </c>
      <c r="P67" s="357">
        <v>17.497518058513599</v>
      </c>
      <c r="Q67" s="357">
        <v>0</v>
      </c>
      <c r="R67" s="357">
        <v>0</v>
      </c>
      <c r="S67" s="357">
        <v>0</v>
      </c>
      <c r="T67" s="357">
        <v>0</v>
      </c>
      <c r="U67" s="357">
        <v>0</v>
      </c>
      <c r="V67" s="357">
        <v>0</v>
      </c>
      <c r="W67" s="357">
        <v>0</v>
      </c>
      <c r="X67" s="357">
        <v>0</v>
      </c>
      <c r="Y67" s="357">
        <v>0</v>
      </c>
      <c r="Z67" s="357">
        <v>0</v>
      </c>
      <c r="AA67" s="357">
        <v>0</v>
      </c>
      <c r="AB67" s="357">
        <v>0</v>
      </c>
      <c r="AC67" s="357">
        <v>0</v>
      </c>
      <c r="AD67" s="357">
        <v>0</v>
      </c>
      <c r="AE67" s="357">
        <v>0</v>
      </c>
      <c r="AF67" s="357">
        <v>0</v>
      </c>
      <c r="AG67" s="990">
        <v>0</v>
      </c>
      <c r="AH67" s="1332">
        <v>0</v>
      </c>
      <c r="AI67" s="81">
        <f t="shared" si="15"/>
        <v>2158.0272256473504</v>
      </c>
    </row>
    <row r="68" spans="2:35" s="463" customFormat="1">
      <c r="B68" s="269" t="s">
        <v>26</v>
      </c>
      <c r="C68" s="357">
        <f t="shared" ref="C68:AB68" si="50">+C69+C70</f>
        <v>3.91682680029463</v>
      </c>
      <c r="D68" s="357">
        <f t="shared" si="50"/>
        <v>3.91682680029463</v>
      </c>
      <c r="E68" s="357">
        <f t="shared" si="50"/>
        <v>3.91682680029463</v>
      </c>
      <c r="F68" s="357">
        <f t="shared" si="50"/>
        <v>3.91682680029463</v>
      </c>
      <c r="G68" s="357">
        <f t="shared" si="50"/>
        <v>3.8189061302826603</v>
      </c>
      <c r="H68" s="357">
        <f t="shared" si="50"/>
        <v>3.4272234501427103</v>
      </c>
      <c r="I68" s="357">
        <f t="shared" si="50"/>
        <v>3.0355407701869108</v>
      </c>
      <c r="J68" s="357">
        <f t="shared" si="50"/>
        <v>2.6438580903231781</v>
      </c>
      <c r="K68" s="357">
        <f t="shared" si="50"/>
        <v>2.252175410091148</v>
      </c>
      <c r="L68" s="357">
        <f t="shared" si="50"/>
        <v>1.8604927301353449</v>
      </c>
      <c r="M68" s="357">
        <f t="shared" si="50"/>
        <v>1.4688100500874701</v>
      </c>
      <c r="N68" s="357">
        <f t="shared" si="50"/>
        <v>1.0771273700395909</v>
      </c>
      <c r="O68" s="357">
        <f t="shared" si="50"/>
        <v>0.68544468999171404</v>
      </c>
      <c r="P68" s="357">
        <f t="shared" si="50"/>
        <v>0.29376201003590807</v>
      </c>
      <c r="Q68" s="357">
        <f t="shared" si="50"/>
        <v>0</v>
      </c>
      <c r="R68" s="357">
        <f t="shared" si="50"/>
        <v>0</v>
      </c>
      <c r="S68" s="357">
        <f t="shared" si="50"/>
        <v>0</v>
      </c>
      <c r="T68" s="357">
        <f t="shared" si="50"/>
        <v>0</v>
      </c>
      <c r="U68" s="357">
        <f t="shared" si="50"/>
        <v>0</v>
      </c>
      <c r="V68" s="357">
        <f t="shared" si="50"/>
        <v>0</v>
      </c>
      <c r="W68" s="357">
        <f t="shared" si="50"/>
        <v>0</v>
      </c>
      <c r="X68" s="357">
        <f t="shared" si="50"/>
        <v>0</v>
      </c>
      <c r="Y68" s="357">
        <f t="shared" si="50"/>
        <v>0</v>
      </c>
      <c r="Z68" s="357">
        <f t="shared" si="50"/>
        <v>0</v>
      </c>
      <c r="AA68" s="357">
        <f t="shared" si="50"/>
        <v>0</v>
      </c>
      <c r="AB68" s="357">
        <f t="shared" si="50"/>
        <v>0</v>
      </c>
      <c r="AC68" s="357">
        <f t="shared" ref="AC68:AH68" si="51">+AC69+AC70</f>
        <v>0</v>
      </c>
      <c r="AD68" s="357">
        <f t="shared" si="51"/>
        <v>0</v>
      </c>
      <c r="AE68" s="357">
        <f t="shared" si="51"/>
        <v>0</v>
      </c>
      <c r="AF68" s="357">
        <f t="shared" si="51"/>
        <v>0</v>
      </c>
      <c r="AG68" s="990">
        <f t="shared" si="51"/>
        <v>0</v>
      </c>
      <c r="AH68" s="1332">
        <f t="shared" si="51"/>
        <v>0</v>
      </c>
      <c r="AI68" s="81">
        <f t="shared" ref="AI68:AI99" si="52">SUM(C68:AH68)</f>
        <v>36.23064790249515</v>
      </c>
    </row>
    <row r="69" spans="2:35" s="463" customFormat="1">
      <c r="B69" s="358" t="s">
        <v>240</v>
      </c>
      <c r="C69" s="357">
        <v>2.70247718792008</v>
      </c>
      <c r="D69" s="357">
        <v>2.70247718792008</v>
      </c>
      <c r="E69" s="357">
        <v>2.70247718792008</v>
      </c>
      <c r="F69" s="357">
        <v>2.70247718792008</v>
      </c>
      <c r="G69" s="357">
        <v>2.63491525826351</v>
      </c>
      <c r="H69" s="357">
        <v>2.3646675394530901</v>
      </c>
      <c r="I69" s="81">
        <v>2.0944198206426701</v>
      </c>
      <c r="J69" s="357">
        <v>1.82417210192432</v>
      </c>
      <c r="K69" s="357">
        <v>1.55392438311389</v>
      </c>
      <c r="L69" s="357">
        <v>1.2836766643034698</v>
      </c>
      <c r="M69" s="357">
        <v>1.0134289454930501</v>
      </c>
      <c r="N69" s="357">
        <v>0.74318122668262598</v>
      </c>
      <c r="O69" s="357">
        <v>0.47293350796427602</v>
      </c>
      <c r="P69" s="357">
        <v>0.20268578915385299</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990">
        <v>0</v>
      </c>
      <c r="AH69" s="1332">
        <v>0</v>
      </c>
      <c r="AI69" s="81">
        <f t="shared" si="52"/>
        <v>24.997913988675077</v>
      </c>
    </row>
    <row r="70" spans="2:35" s="463" customFormat="1">
      <c r="B70" s="358" t="s">
        <v>241</v>
      </c>
      <c r="C70" s="357">
        <v>1.2143496123745499</v>
      </c>
      <c r="D70" s="357">
        <v>1.2143496123745499</v>
      </c>
      <c r="E70" s="357">
        <v>1.2143496123745499</v>
      </c>
      <c r="F70" s="357">
        <v>1.2143496123745499</v>
      </c>
      <c r="G70" s="357">
        <v>1.1839908720191501</v>
      </c>
      <c r="H70" s="357">
        <v>1.0625559106896201</v>
      </c>
      <c r="I70" s="85">
        <v>0.94112094954424097</v>
      </c>
      <c r="J70" s="357">
        <v>0.81968598839885798</v>
      </c>
      <c r="K70" s="357">
        <v>0.69825102697725805</v>
      </c>
      <c r="L70" s="357">
        <v>0.57681606583187495</v>
      </c>
      <c r="M70" s="357">
        <v>0.45538110459441999</v>
      </c>
      <c r="N70" s="357">
        <v>0.33394614335696499</v>
      </c>
      <c r="O70" s="357">
        <v>0.21251118202743799</v>
      </c>
      <c r="P70" s="357">
        <v>9.1076220882055109E-2</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990">
        <v>0</v>
      </c>
      <c r="AH70" s="1332">
        <v>0</v>
      </c>
      <c r="AI70" s="85">
        <f t="shared" si="52"/>
        <v>11.232733913820077</v>
      </c>
    </row>
    <row r="71" spans="2:35" s="463" customFormat="1">
      <c r="B71" s="364" t="s">
        <v>27</v>
      </c>
      <c r="C71" s="340">
        <v>230.84576023319701</v>
      </c>
      <c r="D71" s="340">
        <v>230.84576023319701</v>
      </c>
      <c r="E71" s="340">
        <v>230.84576023319701</v>
      </c>
      <c r="F71" s="340">
        <v>230.84576023319701</v>
      </c>
      <c r="G71" s="340">
        <v>230.84576023319701</v>
      </c>
      <c r="H71" s="340">
        <v>230.84576023319701</v>
      </c>
      <c r="I71" s="80">
        <v>230.84576023319701</v>
      </c>
      <c r="J71" s="340">
        <v>230.84576023319701</v>
      </c>
      <c r="K71" s="340">
        <v>230.84576023319701</v>
      </c>
      <c r="L71" s="340">
        <v>230.84576023319701</v>
      </c>
      <c r="M71" s="340">
        <v>230.84576023319701</v>
      </c>
      <c r="N71" s="340">
        <v>230.84576023319701</v>
      </c>
      <c r="O71" s="340">
        <v>230.84576023319701</v>
      </c>
      <c r="P71" s="340">
        <v>230.84576023319701</v>
      </c>
      <c r="Q71" s="340">
        <v>230.84576023319701</v>
      </c>
      <c r="R71" s="340">
        <v>230.84576023319701</v>
      </c>
      <c r="S71" s="340">
        <v>225.07461622643001</v>
      </c>
      <c r="T71" s="340">
        <v>201.990040202486</v>
      </c>
      <c r="U71" s="340">
        <v>178.90546417854199</v>
      </c>
      <c r="V71" s="340">
        <v>155.82088815459801</v>
      </c>
      <c r="W71" s="340">
        <v>132.736312130654</v>
      </c>
      <c r="X71" s="340">
        <v>109.651736109832</v>
      </c>
      <c r="Y71" s="340">
        <v>86.567160085887707</v>
      </c>
      <c r="Z71" s="340">
        <v>63.482584061943598</v>
      </c>
      <c r="AA71" s="340">
        <v>40.398008041121699</v>
      </c>
      <c r="AB71" s="340">
        <v>17.313432017177501</v>
      </c>
      <c r="AC71" s="340">
        <v>0</v>
      </c>
      <c r="AD71" s="340">
        <v>0</v>
      </c>
      <c r="AE71" s="340">
        <v>0</v>
      </c>
      <c r="AF71" s="340">
        <v>0</v>
      </c>
      <c r="AG71" s="1011">
        <v>0</v>
      </c>
      <c r="AH71" s="1333">
        <v>0</v>
      </c>
      <c r="AI71" s="80">
        <f t="shared" si="52"/>
        <v>4905.4724049398246</v>
      </c>
    </row>
    <row r="72" spans="2:35" s="463" customFormat="1">
      <c r="B72" s="364" t="s">
        <v>517</v>
      </c>
      <c r="C72" s="340">
        <v>182.8125</v>
      </c>
      <c r="D72" s="340">
        <v>182.8125</v>
      </c>
      <c r="E72" s="340">
        <v>91.40625</v>
      </c>
      <c r="F72" s="340">
        <v>0</v>
      </c>
      <c r="G72" s="340">
        <v>0</v>
      </c>
      <c r="H72" s="340">
        <v>0</v>
      </c>
      <c r="I72" s="80">
        <v>0</v>
      </c>
      <c r="J72" s="340">
        <v>0</v>
      </c>
      <c r="K72" s="340">
        <v>0</v>
      </c>
      <c r="L72" s="340">
        <v>0</v>
      </c>
      <c r="M72" s="340">
        <v>0</v>
      </c>
      <c r="N72" s="340">
        <v>0</v>
      </c>
      <c r="O72" s="340">
        <v>0</v>
      </c>
      <c r="P72" s="340">
        <v>0</v>
      </c>
      <c r="Q72" s="340">
        <v>0</v>
      </c>
      <c r="R72" s="340">
        <v>0</v>
      </c>
      <c r="S72" s="340">
        <v>0</v>
      </c>
      <c r="T72" s="340">
        <v>0</v>
      </c>
      <c r="U72" s="340">
        <v>0</v>
      </c>
      <c r="V72" s="340">
        <v>0</v>
      </c>
      <c r="W72" s="340">
        <v>0</v>
      </c>
      <c r="X72" s="340">
        <v>0</v>
      </c>
      <c r="Y72" s="340">
        <v>0</v>
      </c>
      <c r="Z72" s="340">
        <v>0</v>
      </c>
      <c r="AA72" s="340">
        <v>0</v>
      </c>
      <c r="AB72" s="340">
        <v>0</v>
      </c>
      <c r="AC72" s="340">
        <v>0</v>
      </c>
      <c r="AD72" s="340">
        <v>0</v>
      </c>
      <c r="AE72" s="340">
        <v>0</v>
      </c>
      <c r="AF72" s="340">
        <v>0</v>
      </c>
      <c r="AG72" s="1011">
        <v>0</v>
      </c>
      <c r="AH72" s="1333">
        <v>0</v>
      </c>
      <c r="AI72" s="80">
        <f t="shared" si="52"/>
        <v>457.03125</v>
      </c>
    </row>
    <row r="73" spans="2:35" s="463" customFormat="1">
      <c r="B73" s="339" t="s">
        <v>621</v>
      </c>
      <c r="C73" s="365">
        <v>80.9375</v>
      </c>
      <c r="D73" s="365">
        <v>80.9375</v>
      </c>
      <c r="E73" s="365">
        <v>80.9375</v>
      </c>
      <c r="F73" s="365">
        <v>40.46875</v>
      </c>
      <c r="G73" s="365">
        <v>0</v>
      </c>
      <c r="H73" s="365">
        <v>0</v>
      </c>
      <c r="I73" s="80">
        <v>0</v>
      </c>
      <c r="J73" s="365">
        <v>0</v>
      </c>
      <c r="K73" s="365">
        <v>0</v>
      </c>
      <c r="L73" s="365">
        <v>0</v>
      </c>
      <c r="M73" s="365">
        <v>0</v>
      </c>
      <c r="N73" s="365">
        <v>0</v>
      </c>
      <c r="O73" s="365">
        <v>0</v>
      </c>
      <c r="P73" s="365">
        <v>0</v>
      </c>
      <c r="Q73" s="365">
        <v>0</v>
      </c>
      <c r="R73" s="365">
        <v>0</v>
      </c>
      <c r="S73" s="365">
        <v>0</v>
      </c>
      <c r="T73" s="365">
        <v>0</v>
      </c>
      <c r="U73" s="365">
        <v>0</v>
      </c>
      <c r="V73" s="365">
        <v>0</v>
      </c>
      <c r="W73" s="365">
        <v>0</v>
      </c>
      <c r="X73" s="365">
        <v>0</v>
      </c>
      <c r="Y73" s="365">
        <v>0</v>
      </c>
      <c r="Z73" s="365">
        <v>0</v>
      </c>
      <c r="AA73" s="365">
        <v>0</v>
      </c>
      <c r="AB73" s="365">
        <v>0</v>
      </c>
      <c r="AC73" s="365">
        <v>0</v>
      </c>
      <c r="AD73" s="365">
        <v>0</v>
      </c>
      <c r="AE73" s="365">
        <v>0</v>
      </c>
      <c r="AF73" s="365">
        <v>0</v>
      </c>
      <c r="AG73" s="365">
        <v>0</v>
      </c>
      <c r="AH73" s="1334">
        <v>0</v>
      </c>
      <c r="AI73" s="80">
        <f t="shared" si="52"/>
        <v>283.28125</v>
      </c>
    </row>
    <row r="74" spans="2:35" s="463" customFormat="1">
      <c r="B74" s="339" t="s">
        <v>622</v>
      </c>
      <c r="C74" s="365">
        <v>249.6875</v>
      </c>
      <c r="D74" s="365">
        <v>249.6875</v>
      </c>
      <c r="E74" s="365">
        <v>249.6875</v>
      </c>
      <c r="F74" s="365">
        <v>249.6875</v>
      </c>
      <c r="G74" s="365">
        <v>249.6875</v>
      </c>
      <c r="H74" s="365">
        <v>249.6875</v>
      </c>
      <c r="I74" s="80">
        <v>249.6875</v>
      </c>
      <c r="J74" s="365">
        <v>249.6875</v>
      </c>
      <c r="K74" s="365">
        <v>124.84375</v>
      </c>
      <c r="L74" s="365">
        <v>0</v>
      </c>
      <c r="M74" s="365">
        <v>0</v>
      </c>
      <c r="N74" s="365">
        <v>0</v>
      </c>
      <c r="O74" s="365">
        <v>0</v>
      </c>
      <c r="P74" s="365">
        <v>0</v>
      </c>
      <c r="Q74" s="365">
        <v>0</v>
      </c>
      <c r="R74" s="365">
        <v>0</v>
      </c>
      <c r="S74" s="365">
        <v>0</v>
      </c>
      <c r="T74" s="365">
        <v>0</v>
      </c>
      <c r="U74" s="365">
        <v>0</v>
      </c>
      <c r="V74" s="365">
        <v>0</v>
      </c>
      <c r="W74" s="365">
        <v>0</v>
      </c>
      <c r="X74" s="365">
        <v>0</v>
      </c>
      <c r="Y74" s="365">
        <v>0</v>
      </c>
      <c r="Z74" s="365">
        <v>0</v>
      </c>
      <c r="AA74" s="365">
        <v>0</v>
      </c>
      <c r="AB74" s="365">
        <v>0</v>
      </c>
      <c r="AC74" s="365">
        <v>0</v>
      </c>
      <c r="AD74" s="365">
        <v>0</v>
      </c>
      <c r="AE74" s="365">
        <v>0</v>
      </c>
      <c r="AF74" s="365">
        <v>0</v>
      </c>
      <c r="AG74" s="365">
        <v>0</v>
      </c>
      <c r="AH74" s="1334">
        <v>0</v>
      </c>
      <c r="AI74" s="80">
        <f t="shared" si="52"/>
        <v>2122.34375</v>
      </c>
    </row>
    <row r="75" spans="2:35" s="463" customFormat="1">
      <c r="B75" s="339" t="s">
        <v>426</v>
      </c>
      <c r="C75" s="365">
        <v>66.25</v>
      </c>
      <c r="D75" s="365">
        <v>66.25</v>
      </c>
      <c r="E75" s="365">
        <v>66.25</v>
      </c>
      <c r="F75" s="365">
        <v>66.25</v>
      </c>
      <c r="G75" s="365">
        <v>66.25</v>
      </c>
      <c r="H75" s="365">
        <v>66.25</v>
      </c>
      <c r="I75" s="80">
        <v>66.25</v>
      </c>
      <c r="J75" s="365">
        <v>66.25</v>
      </c>
      <c r="K75" s="365">
        <v>66.25</v>
      </c>
      <c r="L75" s="365">
        <v>0</v>
      </c>
      <c r="M75" s="365">
        <v>0</v>
      </c>
      <c r="N75" s="365">
        <v>0</v>
      </c>
      <c r="O75" s="365">
        <v>0</v>
      </c>
      <c r="P75" s="365">
        <v>0</v>
      </c>
      <c r="Q75" s="365">
        <v>0</v>
      </c>
      <c r="R75" s="365">
        <v>0</v>
      </c>
      <c r="S75" s="365">
        <v>0</v>
      </c>
      <c r="T75" s="365">
        <v>0</v>
      </c>
      <c r="U75" s="365">
        <v>0</v>
      </c>
      <c r="V75" s="365">
        <v>0</v>
      </c>
      <c r="W75" s="365">
        <v>0</v>
      </c>
      <c r="X75" s="365">
        <v>0</v>
      </c>
      <c r="Y75" s="365">
        <v>0</v>
      </c>
      <c r="Z75" s="365">
        <v>0</v>
      </c>
      <c r="AA75" s="365">
        <v>0</v>
      </c>
      <c r="AB75" s="365">
        <v>0</v>
      </c>
      <c r="AC75" s="365">
        <v>0</v>
      </c>
      <c r="AD75" s="365">
        <v>0</v>
      </c>
      <c r="AE75" s="365">
        <v>0</v>
      </c>
      <c r="AF75" s="365">
        <v>0</v>
      </c>
      <c r="AG75" s="365">
        <v>0</v>
      </c>
      <c r="AH75" s="1334">
        <v>0</v>
      </c>
      <c r="AI75" s="80">
        <f t="shared" si="52"/>
        <v>596.25</v>
      </c>
    </row>
    <row r="76" spans="2:35" s="463" customFormat="1">
      <c r="B76" s="364" t="s">
        <v>623</v>
      </c>
      <c r="C76" s="365">
        <v>206.25</v>
      </c>
      <c r="D76" s="365">
        <v>206.25</v>
      </c>
      <c r="E76" s="365">
        <v>206.25</v>
      </c>
      <c r="F76" s="365">
        <v>206.25</v>
      </c>
      <c r="G76" s="365">
        <v>206.25</v>
      </c>
      <c r="H76" s="365">
        <v>206.25</v>
      </c>
      <c r="I76" s="80">
        <v>206.25</v>
      </c>
      <c r="J76" s="365">
        <v>206.25</v>
      </c>
      <c r="K76" s="365">
        <v>206.25</v>
      </c>
      <c r="L76" s="365">
        <v>206.25</v>
      </c>
      <c r="M76" s="365">
        <v>206.25</v>
      </c>
      <c r="N76" s="365">
        <v>206.25</v>
      </c>
      <c r="O76" s="365">
        <v>206.25</v>
      </c>
      <c r="P76" s="365">
        <v>206.25</v>
      </c>
      <c r="Q76" s="365">
        <v>206.25</v>
      </c>
      <c r="R76" s="365">
        <v>206.25</v>
      </c>
      <c r="S76" s="365">
        <v>206.25</v>
      </c>
      <c r="T76" s="365">
        <v>206.25</v>
      </c>
      <c r="U76" s="365">
        <v>206.25</v>
      </c>
      <c r="V76" s="365">
        <v>206.25</v>
      </c>
      <c r="W76" s="365">
        <v>206.25</v>
      </c>
      <c r="X76" s="365">
        <v>206.25</v>
      </c>
      <c r="Y76" s="365">
        <v>206.25</v>
      </c>
      <c r="Z76" s="365">
        <v>206.25</v>
      </c>
      <c r="AA76" s="365">
        <v>206.25</v>
      </c>
      <c r="AB76" s="365">
        <v>206.25</v>
      </c>
      <c r="AC76" s="365">
        <v>206.25</v>
      </c>
      <c r="AD76" s="365">
        <v>206.25</v>
      </c>
      <c r="AE76" s="365">
        <v>103.125</v>
      </c>
      <c r="AF76" s="365">
        <v>0</v>
      </c>
      <c r="AG76" s="365">
        <v>0</v>
      </c>
      <c r="AH76" s="1334">
        <v>0</v>
      </c>
      <c r="AI76" s="80">
        <f t="shared" si="52"/>
        <v>5878.125</v>
      </c>
    </row>
    <row r="77" spans="2:35" s="463" customFormat="1">
      <c r="B77" s="364" t="s">
        <v>419</v>
      </c>
      <c r="C77" s="365">
        <v>309.375</v>
      </c>
      <c r="D77" s="365">
        <v>154.6875</v>
      </c>
      <c r="E77" s="365">
        <v>0</v>
      </c>
      <c r="F77" s="365">
        <v>0</v>
      </c>
      <c r="G77" s="365">
        <v>0</v>
      </c>
      <c r="H77" s="365">
        <v>0</v>
      </c>
      <c r="I77" s="80">
        <v>0</v>
      </c>
      <c r="J77" s="365">
        <v>0</v>
      </c>
      <c r="K77" s="365">
        <v>0</v>
      </c>
      <c r="L77" s="365">
        <v>0</v>
      </c>
      <c r="M77" s="365">
        <v>0</v>
      </c>
      <c r="N77" s="365">
        <v>0</v>
      </c>
      <c r="O77" s="365">
        <v>0</v>
      </c>
      <c r="P77" s="365">
        <v>0</v>
      </c>
      <c r="Q77" s="365">
        <v>0</v>
      </c>
      <c r="R77" s="365">
        <v>0</v>
      </c>
      <c r="S77" s="365">
        <v>0</v>
      </c>
      <c r="T77" s="365">
        <v>0</v>
      </c>
      <c r="U77" s="365">
        <v>0</v>
      </c>
      <c r="V77" s="365">
        <v>0</v>
      </c>
      <c r="W77" s="365">
        <v>0</v>
      </c>
      <c r="X77" s="365">
        <v>0</v>
      </c>
      <c r="Y77" s="365">
        <v>0</v>
      </c>
      <c r="Z77" s="365">
        <v>0</v>
      </c>
      <c r="AA77" s="365">
        <v>0</v>
      </c>
      <c r="AB77" s="365">
        <v>0</v>
      </c>
      <c r="AC77" s="365">
        <v>0</v>
      </c>
      <c r="AD77" s="365">
        <v>0</v>
      </c>
      <c r="AE77" s="365">
        <v>0</v>
      </c>
      <c r="AF77" s="365">
        <v>0</v>
      </c>
      <c r="AG77" s="365">
        <v>0</v>
      </c>
      <c r="AH77" s="1334">
        <v>0</v>
      </c>
      <c r="AI77" s="80">
        <f t="shared" si="52"/>
        <v>464.0625</v>
      </c>
    </row>
    <row r="78" spans="2:35" s="463" customFormat="1">
      <c r="B78" s="364" t="s">
        <v>518</v>
      </c>
      <c r="C78" s="365">
        <v>257.8125</v>
      </c>
      <c r="D78" s="365">
        <v>257.8125</v>
      </c>
      <c r="E78" s="365">
        <v>257.8125</v>
      </c>
      <c r="F78" s="365">
        <v>257.8125</v>
      </c>
      <c r="G78" s="365">
        <v>257.8125</v>
      </c>
      <c r="H78" s="365">
        <v>257.8125</v>
      </c>
      <c r="I78" s="80">
        <v>257.8125</v>
      </c>
      <c r="J78" s="365">
        <v>128.90625</v>
      </c>
      <c r="K78" s="365">
        <v>0</v>
      </c>
      <c r="L78" s="365">
        <v>0</v>
      </c>
      <c r="M78" s="365">
        <v>0</v>
      </c>
      <c r="N78" s="365">
        <v>0</v>
      </c>
      <c r="O78" s="365">
        <v>0</v>
      </c>
      <c r="P78" s="365">
        <v>0</v>
      </c>
      <c r="Q78" s="365">
        <v>0</v>
      </c>
      <c r="R78" s="365">
        <v>0</v>
      </c>
      <c r="S78" s="365">
        <v>0</v>
      </c>
      <c r="T78" s="365">
        <v>0</v>
      </c>
      <c r="U78" s="365">
        <v>0</v>
      </c>
      <c r="V78" s="365">
        <v>0</v>
      </c>
      <c r="W78" s="365">
        <v>0</v>
      </c>
      <c r="X78" s="365">
        <v>0</v>
      </c>
      <c r="Y78" s="365">
        <v>0</v>
      </c>
      <c r="Z78" s="365">
        <v>0</v>
      </c>
      <c r="AA78" s="365">
        <v>0</v>
      </c>
      <c r="AB78" s="365">
        <v>0</v>
      </c>
      <c r="AC78" s="365">
        <v>0</v>
      </c>
      <c r="AD78" s="365">
        <v>0</v>
      </c>
      <c r="AE78" s="365">
        <v>0</v>
      </c>
      <c r="AF78" s="365">
        <v>0</v>
      </c>
      <c r="AG78" s="365">
        <v>0</v>
      </c>
      <c r="AH78" s="1334">
        <v>0</v>
      </c>
      <c r="AI78" s="80">
        <f t="shared" si="52"/>
        <v>1933.59375</v>
      </c>
    </row>
    <row r="79" spans="2:35" s="463" customFormat="1">
      <c r="B79" s="364" t="s">
        <v>427</v>
      </c>
      <c r="C79" s="365">
        <v>124.6875</v>
      </c>
      <c r="D79" s="365">
        <v>124.6875</v>
      </c>
      <c r="E79" s="365">
        <v>124.6875</v>
      </c>
      <c r="F79" s="365">
        <v>124.6875</v>
      </c>
      <c r="G79" s="365">
        <v>124.6875</v>
      </c>
      <c r="H79" s="365">
        <v>124.6875</v>
      </c>
      <c r="I79" s="80">
        <v>124.6875</v>
      </c>
      <c r="J79" s="365">
        <v>124.6875</v>
      </c>
      <c r="K79" s="365">
        <v>124.6875</v>
      </c>
      <c r="L79" s="365">
        <v>124.6875</v>
      </c>
      <c r="M79" s="365">
        <v>124.6875</v>
      </c>
      <c r="N79" s="365">
        <v>124.6875</v>
      </c>
      <c r="O79" s="365">
        <v>124.6875</v>
      </c>
      <c r="P79" s="365">
        <v>124.6875</v>
      </c>
      <c r="Q79" s="365">
        <v>124.6875</v>
      </c>
      <c r="R79" s="365">
        <v>124.6875</v>
      </c>
      <c r="S79" s="365">
        <v>124.6875</v>
      </c>
      <c r="T79" s="365">
        <v>0</v>
      </c>
      <c r="U79" s="365">
        <v>0</v>
      </c>
      <c r="V79" s="365">
        <v>0</v>
      </c>
      <c r="W79" s="365">
        <v>0</v>
      </c>
      <c r="X79" s="365">
        <v>0</v>
      </c>
      <c r="Y79" s="365">
        <v>0</v>
      </c>
      <c r="Z79" s="365">
        <v>0</v>
      </c>
      <c r="AA79" s="365">
        <v>0</v>
      </c>
      <c r="AB79" s="365">
        <v>0</v>
      </c>
      <c r="AC79" s="365">
        <v>0</v>
      </c>
      <c r="AD79" s="365">
        <v>0</v>
      </c>
      <c r="AE79" s="365">
        <v>0</v>
      </c>
      <c r="AF79" s="365">
        <v>0</v>
      </c>
      <c r="AG79" s="365">
        <v>0</v>
      </c>
      <c r="AH79" s="1334">
        <v>0</v>
      </c>
      <c r="AI79" s="80">
        <f t="shared" si="52"/>
        <v>2119.6875</v>
      </c>
    </row>
    <row r="80" spans="2:35" s="463" customFormat="1">
      <c r="B80" s="364" t="s">
        <v>538</v>
      </c>
      <c r="C80" s="365">
        <v>195.9375</v>
      </c>
      <c r="D80" s="365">
        <v>195.9375</v>
      </c>
      <c r="E80" s="365">
        <v>195.9375</v>
      </c>
      <c r="F80" s="365">
        <v>195.9375</v>
      </c>
      <c r="G80" s="365">
        <v>195.9375</v>
      </c>
      <c r="H80" s="365">
        <v>195.9375</v>
      </c>
      <c r="I80" s="80">
        <v>195.9375</v>
      </c>
      <c r="J80" s="365">
        <v>195.9375</v>
      </c>
      <c r="K80" s="365">
        <v>195.9375</v>
      </c>
      <c r="L80" s="365">
        <v>195.9375</v>
      </c>
      <c r="M80" s="365">
        <v>195.9375</v>
      </c>
      <c r="N80" s="365">
        <v>195.9375</v>
      </c>
      <c r="O80" s="365">
        <v>195.9375</v>
      </c>
      <c r="P80" s="365">
        <v>195.9375</v>
      </c>
      <c r="Q80" s="365">
        <v>195.9375</v>
      </c>
      <c r="R80" s="365">
        <v>195.9375</v>
      </c>
      <c r="S80" s="365">
        <v>195.9375</v>
      </c>
      <c r="T80" s="365">
        <v>195.9375</v>
      </c>
      <c r="U80" s="365">
        <v>195.9375</v>
      </c>
      <c r="V80" s="365">
        <v>195.9375</v>
      </c>
      <c r="W80" s="365">
        <v>195.9375</v>
      </c>
      <c r="X80" s="365">
        <v>195.9375</v>
      </c>
      <c r="Y80" s="365">
        <v>195.9375</v>
      </c>
      <c r="Z80" s="365">
        <v>195.9375</v>
      </c>
      <c r="AA80" s="365">
        <v>195.9375</v>
      </c>
      <c r="AB80" s="365">
        <v>195.9375</v>
      </c>
      <c r="AC80" s="365">
        <v>195.9375</v>
      </c>
      <c r="AD80" s="365">
        <v>195.9375</v>
      </c>
      <c r="AE80" s="365">
        <v>195.9375</v>
      </c>
      <c r="AF80" s="365">
        <v>195.9375</v>
      </c>
      <c r="AG80" s="365">
        <v>195.9375</v>
      </c>
      <c r="AH80" s="1334">
        <v>13029.84375</v>
      </c>
      <c r="AI80" s="80">
        <f t="shared" si="52"/>
        <v>19103.90625</v>
      </c>
    </row>
    <row r="81" spans="2:35" s="463" customFormat="1">
      <c r="B81" s="364" t="s">
        <v>420</v>
      </c>
      <c r="C81" s="365">
        <v>487.5</v>
      </c>
      <c r="D81" s="365">
        <v>487.5</v>
      </c>
      <c r="E81" s="365">
        <v>487.5</v>
      </c>
      <c r="F81" s="365">
        <v>487.5</v>
      </c>
      <c r="G81" s="365">
        <v>487.5</v>
      </c>
      <c r="H81" s="365">
        <v>487.5</v>
      </c>
      <c r="I81" s="80">
        <v>243.75</v>
      </c>
      <c r="J81" s="365">
        <v>0</v>
      </c>
      <c r="K81" s="365">
        <v>0</v>
      </c>
      <c r="L81" s="365">
        <v>0</v>
      </c>
      <c r="M81" s="365">
        <v>0</v>
      </c>
      <c r="N81" s="365">
        <v>0</v>
      </c>
      <c r="O81" s="365">
        <v>0</v>
      </c>
      <c r="P81" s="365">
        <v>0</v>
      </c>
      <c r="Q81" s="365">
        <v>0</v>
      </c>
      <c r="R81" s="365">
        <v>0</v>
      </c>
      <c r="S81" s="365">
        <v>0</v>
      </c>
      <c r="T81" s="365">
        <v>0</v>
      </c>
      <c r="U81" s="365">
        <v>0</v>
      </c>
      <c r="V81" s="365">
        <v>0</v>
      </c>
      <c r="W81" s="365">
        <v>0</v>
      </c>
      <c r="X81" s="365">
        <v>0</v>
      </c>
      <c r="Y81" s="365">
        <v>0</v>
      </c>
      <c r="Z81" s="365">
        <v>0</v>
      </c>
      <c r="AA81" s="365">
        <v>0</v>
      </c>
      <c r="AB81" s="365">
        <v>0</v>
      </c>
      <c r="AC81" s="365">
        <v>0</v>
      </c>
      <c r="AD81" s="365">
        <v>0</v>
      </c>
      <c r="AE81" s="365">
        <v>0</v>
      </c>
      <c r="AF81" s="365">
        <v>0</v>
      </c>
      <c r="AG81" s="365">
        <v>0</v>
      </c>
      <c r="AH81" s="1334">
        <v>0</v>
      </c>
      <c r="AI81" s="80">
        <f t="shared" si="52"/>
        <v>3168.75</v>
      </c>
    </row>
    <row r="82" spans="2:35" s="463" customFormat="1">
      <c r="B82" s="339" t="s">
        <v>421</v>
      </c>
      <c r="C82" s="365">
        <v>209.6875</v>
      </c>
      <c r="D82" s="365">
        <v>209.6875</v>
      </c>
      <c r="E82" s="365">
        <v>209.6875</v>
      </c>
      <c r="F82" s="365">
        <v>209.6875</v>
      </c>
      <c r="G82" s="365">
        <v>209.6875</v>
      </c>
      <c r="H82" s="365">
        <v>209.6875</v>
      </c>
      <c r="I82" s="80">
        <v>209.6875</v>
      </c>
      <c r="J82" s="365">
        <v>209.6875</v>
      </c>
      <c r="K82" s="365">
        <v>209.6875</v>
      </c>
      <c r="L82" s="365">
        <v>209.6875</v>
      </c>
      <c r="M82" s="365">
        <v>209.6875</v>
      </c>
      <c r="N82" s="365">
        <v>209.6875</v>
      </c>
      <c r="O82" s="365">
        <v>209.6875</v>
      </c>
      <c r="P82" s="365">
        <v>209.6875</v>
      </c>
      <c r="Q82" s="365">
        <v>209.6875</v>
      </c>
      <c r="R82" s="365">
        <v>209.6875</v>
      </c>
      <c r="S82" s="365">
        <v>209.6875</v>
      </c>
      <c r="T82" s="365">
        <v>209.6875</v>
      </c>
      <c r="U82" s="365">
        <v>209.6875</v>
      </c>
      <c r="V82" s="365">
        <v>209.6875</v>
      </c>
      <c r="W82" s="365">
        <v>209.6875</v>
      </c>
      <c r="X82" s="365">
        <v>209.6875</v>
      </c>
      <c r="Y82" s="365">
        <v>209.6875</v>
      </c>
      <c r="Z82" s="365">
        <v>209.6875</v>
      </c>
      <c r="AA82" s="365">
        <v>209.6875</v>
      </c>
      <c r="AB82" s="365">
        <v>209.6875</v>
      </c>
      <c r="AC82" s="365">
        <v>104.84375</v>
      </c>
      <c r="AD82" s="365">
        <v>0</v>
      </c>
      <c r="AE82" s="365">
        <v>0</v>
      </c>
      <c r="AF82" s="365">
        <v>0</v>
      </c>
      <c r="AG82" s="365">
        <v>0</v>
      </c>
      <c r="AH82" s="1334">
        <v>0</v>
      </c>
      <c r="AI82" s="80">
        <f t="shared" si="52"/>
        <v>5556.71875</v>
      </c>
    </row>
    <row r="83" spans="2:35" s="463" customFormat="1">
      <c r="B83" s="364" t="s">
        <v>573</v>
      </c>
      <c r="C83" s="365">
        <v>37.832081605201196</v>
      </c>
      <c r="D83" s="365">
        <v>37.935731140006702</v>
      </c>
      <c r="E83" s="365">
        <v>37.832081605201196</v>
      </c>
      <c r="F83" s="365">
        <v>37.832081605201196</v>
      </c>
      <c r="G83" s="365">
        <v>0</v>
      </c>
      <c r="H83" s="365">
        <v>0</v>
      </c>
      <c r="I83" s="80">
        <v>0</v>
      </c>
      <c r="J83" s="365">
        <v>0</v>
      </c>
      <c r="K83" s="365">
        <v>0</v>
      </c>
      <c r="L83" s="365">
        <v>0</v>
      </c>
      <c r="M83" s="365">
        <v>0</v>
      </c>
      <c r="N83" s="365">
        <v>0</v>
      </c>
      <c r="O83" s="365">
        <v>0</v>
      </c>
      <c r="P83" s="365">
        <v>0</v>
      </c>
      <c r="Q83" s="365">
        <v>0</v>
      </c>
      <c r="R83" s="365">
        <v>0</v>
      </c>
      <c r="S83" s="365">
        <v>0</v>
      </c>
      <c r="T83" s="365">
        <v>0</v>
      </c>
      <c r="U83" s="365">
        <v>0</v>
      </c>
      <c r="V83" s="365">
        <v>0</v>
      </c>
      <c r="W83" s="365">
        <v>0</v>
      </c>
      <c r="X83" s="365">
        <v>0</v>
      </c>
      <c r="Y83" s="365">
        <v>0</v>
      </c>
      <c r="Z83" s="365">
        <v>0</v>
      </c>
      <c r="AA83" s="365">
        <v>0</v>
      </c>
      <c r="AB83" s="365">
        <v>0</v>
      </c>
      <c r="AC83" s="365">
        <v>0</v>
      </c>
      <c r="AD83" s="365">
        <v>0</v>
      </c>
      <c r="AE83" s="365">
        <v>0</v>
      </c>
      <c r="AF83" s="365">
        <v>0</v>
      </c>
      <c r="AG83" s="365">
        <v>0</v>
      </c>
      <c r="AH83" s="1334">
        <v>0</v>
      </c>
      <c r="AI83" s="80">
        <f t="shared" si="52"/>
        <v>151.43197595561028</v>
      </c>
    </row>
    <row r="84" spans="2:35" s="463" customFormat="1">
      <c r="B84" s="364" t="s">
        <v>511</v>
      </c>
      <c r="C84" s="365">
        <v>54.296043044501701</v>
      </c>
      <c r="D84" s="365">
        <v>54.444799327429699</v>
      </c>
      <c r="E84" s="365">
        <v>54.296043044501701</v>
      </c>
      <c r="F84" s="365">
        <v>0</v>
      </c>
      <c r="G84" s="365">
        <v>0</v>
      </c>
      <c r="H84" s="365">
        <v>0</v>
      </c>
      <c r="I84" s="80">
        <v>0</v>
      </c>
      <c r="J84" s="365">
        <v>0</v>
      </c>
      <c r="K84" s="365">
        <v>0</v>
      </c>
      <c r="L84" s="365">
        <v>0</v>
      </c>
      <c r="M84" s="365">
        <v>0</v>
      </c>
      <c r="N84" s="365">
        <v>0</v>
      </c>
      <c r="O84" s="365">
        <v>0</v>
      </c>
      <c r="P84" s="365">
        <v>0</v>
      </c>
      <c r="Q84" s="365">
        <v>0</v>
      </c>
      <c r="R84" s="365">
        <v>0</v>
      </c>
      <c r="S84" s="365">
        <v>0</v>
      </c>
      <c r="T84" s="365">
        <v>0</v>
      </c>
      <c r="U84" s="365">
        <v>0</v>
      </c>
      <c r="V84" s="365">
        <v>0</v>
      </c>
      <c r="W84" s="365">
        <v>0</v>
      </c>
      <c r="X84" s="365">
        <v>0</v>
      </c>
      <c r="Y84" s="365">
        <v>0</v>
      </c>
      <c r="Z84" s="365">
        <v>0</v>
      </c>
      <c r="AA84" s="365">
        <v>0</v>
      </c>
      <c r="AB84" s="365">
        <v>0</v>
      </c>
      <c r="AC84" s="365">
        <v>0</v>
      </c>
      <c r="AD84" s="365">
        <v>0</v>
      </c>
      <c r="AE84" s="365">
        <v>0</v>
      </c>
      <c r="AF84" s="365">
        <v>0</v>
      </c>
      <c r="AG84" s="365">
        <v>0</v>
      </c>
      <c r="AH84" s="1334">
        <v>0</v>
      </c>
      <c r="AI84" s="80">
        <f t="shared" si="52"/>
        <v>163.03688541643311</v>
      </c>
    </row>
    <row r="85" spans="2:35" s="463" customFormat="1">
      <c r="B85" s="339" t="s">
        <v>512</v>
      </c>
      <c r="C85" s="366">
        <v>70.059410380002205</v>
      </c>
      <c r="D85" s="366">
        <v>70.251353973769795</v>
      </c>
      <c r="E85" s="366">
        <v>70.059410380002205</v>
      </c>
      <c r="F85" s="366">
        <v>70.059410380002205</v>
      </c>
      <c r="G85" s="366">
        <v>70.059410380002205</v>
      </c>
      <c r="H85" s="366">
        <v>70.251353973769795</v>
      </c>
      <c r="I85" s="80">
        <v>70.059410380002205</v>
      </c>
      <c r="J85" s="366">
        <v>70.059410380002205</v>
      </c>
      <c r="K85" s="366">
        <v>0</v>
      </c>
      <c r="L85" s="366">
        <v>0</v>
      </c>
      <c r="M85" s="366">
        <v>0</v>
      </c>
      <c r="N85" s="366">
        <v>0</v>
      </c>
      <c r="O85" s="366">
        <v>0</v>
      </c>
      <c r="P85" s="366">
        <v>0</v>
      </c>
      <c r="Q85" s="366">
        <v>0</v>
      </c>
      <c r="R85" s="366">
        <v>0</v>
      </c>
      <c r="S85" s="366">
        <v>0</v>
      </c>
      <c r="T85" s="366">
        <v>0</v>
      </c>
      <c r="U85" s="366">
        <v>0</v>
      </c>
      <c r="V85" s="366">
        <v>0</v>
      </c>
      <c r="W85" s="366">
        <v>0</v>
      </c>
      <c r="X85" s="366">
        <v>0</v>
      </c>
      <c r="Y85" s="366">
        <v>0</v>
      </c>
      <c r="Z85" s="366">
        <v>0</v>
      </c>
      <c r="AA85" s="366">
        <v>0</v>
      </c>
      <c r="AB85" s="366">
        <v>0</v>
      </c>
      <c r="AC85" s="366">
        <v>0</v>
      </c>
      <c r="AD85" s="366">
        <v>0</v>
      </c>
      <c r="AE85" s="366">
        <v>0</v>
      </c>
      <c r="AF85" s="366">
        <v>0</v>
      </c>
      <c r="AG85" s="366">
        <v>0</v>
      </c>
      <c r="AH85" s="1335">
        <v>0</v>
      </c>
      <c r="AI85" s="80">
        <f t="shared" si="52"/>
        <v>560.8591702275528</v>
      </c>
    </row>
    <row r="86" spans="2:35" s="463" customFormat="1">
      <c r="B86" s="339" t="s">
        <v>574</v>
      </c>
      <c r="C86" s="366">
        <v>58.849904719201902</v>
      </c>
      <c r="D86" s="366">
        <v>59.011137338863399</v>
      </c>
      <c r="E86" s="366">
        <v>58.849904719201902</v>
      </c>
      <c r="F86" s="366">
        <v>58.849904719201902</v>
      </c>
      <c r="G86" s="366">
        <v>58.849904719201902</v>
      </c>
      <c r="H86" s="366">
        <v>59.011137338863399</v>
      </c>
      <c r="I86" s="80">
        <v>58.849904719201902</v>
      </c>
      <c r="J86" s="366">
        <v>58.849904719201902</v>
      </c>
      <c r="K86" s="366">
        <v>58.849904719201902</v>
      </c>
      <c r="L86" s="366">
        <v>0</v>
      </c>
      <c r="M86" s="366">
        <v>0</v>
      </c>
      <c r="N86" s="366">
        <v>0</v>
      </c>
      <c r="O86" s="366">
        <v>0</v>
      </c>
      <c r="P86" s="366">
        <v>0</v>
      </c>
      <c r="Q86" s="366">
        <v>0</v>
      </c>
      <c r="R86" s="366">
        <v>0</v>
      </c>
      <c r="S86" s="366">
        <v>0</v>
      </c>
      <c r="T86" s="366">
        <v>0</v>
      </c>
      <c r="U86" s="366">
        <v>0</v>
      </c>
      <c r="V86" s="366">
        <v>0</v>
      </c>
      <c r="W86" s="366">
        <v>0</v>
      </c>
      <c r="X86" s="366">
        <v>0</v>
      </c>
      <c r="Y86" s="366">
        <v>0</v>
      </c>
      <c r="Z86" s="366">
        <v>0</v>
      </c>
      <c r="AA86" s="366">
        <v>0</v>
      </c>
      <c r="AB86" s="366">
        <v>0</v>
      </c>
      <c r="AC86" s="366">
        <v>0</v>
      </c>
      <c r="AD86" s="366">
        <v>0</v>
      </c>
      <c r="AE86" s="366">
        <v>0</v>
      </c>
      <c r="AF86" s="366">
        <v>0</v>
      </c>
      <c r="AG86" s="366">
        <v>0</v>
      </c>
      <c r="AH86" s="1335">
        <v>0</v>
      </c>
      <c r="AI86" s="80">
        <f t="shared" si="52"/>
        <v>529.9716077121401</v>
      </c>
    </row>
    <row r="87" spans="2:35" s="463" customFormat="1">
      <c r="B87" s="364" t="s">
        <v>575</v>
      </c>
      <c r="C87" s="365">
        <v>52.688515480327304</v>
      </c>
      <c r="D87" s="365">
        <v>52.5445577850017</v>
      </c>
      <c r="E87" s="365">
        <v>52.5445577850017</v>
      </c>
      <c r="F87" s="365">
        <v>52.5445577850017</v>
      </c>
      <c r="G87" s="365">
        <v>52.688515480327304</v>
      </c>
      <c r="H87" s="365">
        <v>52.5445577850017</v>
      </c>
      <c r="I87" s="80">
        <v>52.5445577850017</v>
      </c>
      <c r="J87" s="365">
        <v>52.5445577850017</v>
      </c>
      <c r="K87" s="365">
        <v>52.688515480327304</v>
      </c>
      <c r="L87" s="365">
        <v>52.5445577850017</v>
      </c>
      <c r="M87" s="365">
        <v>52.5445577850017</v>
      </c>
      <c r="N87" s="365">
        <v>52.5445577850017</v>
      </c>
      <c r="O87" s="365">
        <v>52.688515480327304</v>
      </c>
      <c r="P87" s="365">
        <v>52.5445577850017</v>
      </c>
      <c r="Q87" s="365">
        <v>52.5445577850017</v>
      </c>
      <c r="R87" s="365">
        <v>52.5445577850017</v>
      </c>
      <c r="S87" s="365">
        <v>52.688515480327304</v>
      </c>
      <c r="T87" s="365">
        <v>52.5445577850017</v>
      </c>
      <c r="U87" s="365">
        <v>52.5445577850017</v>
      </c>
      <c r="V87" s="365">
        <v>52.5445577850017</v>
      </c>
      <c r="W87" s="365">
        <v>52.688515480327304</v>
      </c>
      <c r="X87" s="365">
        <v>52.5445577850017</v>
      </c>
      <c r="Y87" s="365">
        <v>52.5445577850017</v>
      </c>
      <c r="Z87" s="365">
        <v>52.5445577850017</v>
      </c>
      <c r="AA87" s="365">
        <v>52.688515480327304</v>
      </c>
      <c r="AB87" s="365">
        <v>52.5445577850017</v>
      </c>
      <c r="AC87" s="365">
        <v>52.5445577850017</v>
      </c>
      <c r="AD87" s="365">
        <v>52.5445577850017</v>
      </c>
      <c r="AE87" s="365">
        <v>0</v>
      </c>
      <c r="AF87" s="365">
        <v>0</v>
      </c>
      <c r="AG87" s="365">
        <v>0</v>
      </c>
      <c r="AH87" s="1334">
        <v>0</v>
      </c>
      <c r="AI87" s="80">
        <f t="shared" si="52"/>
        <v>1472.2553218473265</v>
      </c>
    </row>
    <row r="88" spans="2:35" s="463" customFormat="1">
      <c r="B88" s="364" t="s">
        <v>539</v>
      </c>
      <c r="C88" s="365">
        <v>13.949163050217001</v>
      </c>
      <c r="D88" s="365">
        <v>0</v>
      </c>
      <c r="E88" s="365">
        <v>0</v>
      </c>
      <c r="F88" s="365">
        <v>0</v>
      </c>
      <c r="G88" s="365">
        <v>0</v>
      </c>
      <c r="H88" s="365">
        <v>0</v>
      </c>
      <c r="I88" s="80">
        <v>0</v>
      </c>
      <c r="J88" s="365">
        <v>0</v>
      </c>
      <c r="K88" s="365">
        <v>0</v>
      </c>
      <c r="L88" s="365">
        <v>0</v>
      </c>
      <c r="M88" s="365">
        <v>0</v>
      </c>
      <c r="N88" s="365">
        <v>0</v>
      </c>
      <c r="O88" s="365">
        <v>0</v>
      </c>
      <c r="P88" s="365">
        <v>0</v>
      </c>
      <c r="Q88" s="365">
        <v>0</v>
      </c>
      <c r="R88" s="365">
        <v>0</v>
      </c>
      <c r="S88" s="365">
        <v>0</v>
      </c>
      <c r="T88" s="365">
        <v>0</v>
      </c>
      <c r="U88" s="365">
        <v>0</v>
      </c>
      <c r="V88" s="365">
        <v>0</v>
      </c>
      <c r="W88" s="365">
        <v>0</v>
      </c>
      <c r="X88" s="365">
        <v>0</v>
      </c>
      <c r="Y88" s="365">
        <v>0</v>
      </c>
      <c r="Z88" s="365">
        <v>0</v>
      </c>
      <c r="AA88" s="365">
        <v>0</v>
      </c>
      <c r="AB88" s="365">
        <v>0</v>
      </c>
      <c r="AC88" s="365">
        <v>0</v>
      </c>
      <c r="AD88" s="365">
        <v>0</v>
      </c>
      <c r="AE88" s="365">
        <v>0</v>
      </c>
      <c r="AF88" s="365">
        <v>0</v>
      </c>
      <c r="AG88" s="365">
        <v>0</v>
      </c>
      <c r="AH88" s="1334">
        <v>0</v>
      </c>
      <c r="AI88" s="80">
        <f t="shared" si="52"/>
        <v>13.949163050217001</v>
      </c>
    </row>
    <row r="89" spans="2:35" s="463" customFormat="1">
      <c r="B89" s="364" t="s">
        <v>534</v>
      </c>
      <c r="C89" s="365">
        <v>447.61167911899298</v>
      </c>
      <c r="D89" s="365">
        <v>446.38869638915997</v>
      </c>
      <c r="E89" s="365">
        <v>222.582856829663</v>
      </c>
      <c r="F89" s="365">
        <v>0</v>
      </c>
      <c r="G89" s="365">
        <v>0</v>
      </c>
      <c r="H89" s="365">
        <v>0</v>
      </c>
      <c r="I89" s="80">
        <v>0</v>
      </c>
      <c r="J89" s="365">
        <v>0</v>
      </c>
      <c r="K89" s="365">
        <v>0</v>
      </c>
      <c r="L89" s="365">
        <v>0</v>
      </c>
      <c r="M89" s="365">
        <v>0</v>
      </c>
      <c r="N89" s="365">
        <v>0</v>
      </c>
      <c r="O89" s="365">
        <v>0</v>
      </c>
      <c r="P89" s="365">
        <v>0</v>
      </c>
      <c r="Q89" s="365">
        <v>0</v>
      </c>
      <c r="R89" s="365">
        <v>0</v>
      </c>
      <c r="S89" s="365">
        <v>0</v>
      </c>
      <c r="T89" s="365">
        <v>0</v>
      </c>
      <c r="U89" s="365">
        <v>0</v>
      </c>
      <c r="V89" s="365">
        <v>0</v>
      </c>
      <c r="W89" s="365">
        <v>0</v>
      </c>
      <c r="X89" s="365">
        <v>0</v>
      </c>
      <c r="Y89" s="365">
        <v>0</v>
      </c>
      <c r="Z89" s="365">
        <v>0</v>
      </c>
      <c r="AA89" s="365">
        <v>0</v>
      </c>
      <c r="AB89" s="365">
        <v>0</v>
      </c>
      <c r="AC89" s="365">
        <v>0</v>
      </c>
      <c r="AD89" s="365">
        <v>0</v>
      </c>
      <c r="AE89" s="365">
        <v>0</v>
      </c>
      <c r="AF89" s="365">
        <v>0</v>
      </c>
      <c r="AG89" s="365">
        <v>0</v>
      </c>
      <c r="AH89" s="1334">
        <v>0</v>
      </c>
      <c r="AI89" s="80">
        <f t="shared" si="52"/>
        <v>1116.5832323378158</v>
      </c>
    </row>
    <row r="90" spans="2:35" s="463" customFormat="1">
      <c r="B90" s="364" t="s">
        <v>690</v>
      </c>
      <c r="C90" s="365">
        <v>301.62266361543499</v>
      </c>
      <c r="D90" s="365">
        <v>0</v>
      </c>
      <c r="E90" s="365">
        <v>0</v>
      </c>
      <c r="F90" s="365">
        <v>0</v>
      </c>
      <c r="G90" s="365">
        <v>0</v>
      </c>
      <c r="H90" s="365">
        <v>0</v>
      </c>
      <c r="I90" s="80">
        <v>0</v>
      </c>
      <c r="J90" s="365">
        <v>0</v>
      </c>
      <c r="K90" s="365">
        <v>0</v>
      </c>
      <c r="L90" s="365">
        <v>0</v>
      </c>
      <c r="M90" s="365">
        <v>0</v>
      </c>
      <c r="N90" s="365">
        <v>0</v>
      </c>
      <c r="O90" s="365">
        <v>0</v>
      </c>
      <c r="P90" s="365">
        <v>0</v>
      </c>
      <c r="Q90" s="365">
        <v>0</v>
      </c>
      <c r="R90" s="365">
        <v>0</v>
      </c>
      <c r="S90" s="365">
        <v>0</v>
      </c>
      <c r="T90" s="365">
        <v>0</v>
      </c>
      <c r="U90" s="365">
        <v>0</v>
      </c>
      <c r="V90" s="365">
        <v>0</v>
      </c>
      <c r="W90" s="365">
        <v>0</v>
      </c>
      <c r="X90" s="365">
        <v>0</v>
      </c>
      <c r="Y90" s="365">
        <v>0</v>
      </c>
      <c r="Z90" s="365">
        <v>0</v>
      </c>
      <c r="AA90" s="365">
        <v>0</v>
      </c>
      <c r="AB90" s="365">
        <v>0</v>
      </c>
      <c r="AC90" s="365">
        <v>0</v>
      </c>
      <c r="AD90" s="365">
        <v>0</v>
      </c>
      <c r="AE90" s="365">
        <v>0</v>
      </c>
      <c r="AF90" s="365">
        <v>0</v>
      </c>
      <c r="AG90" s="365">
        <v>0</v>
      </c>
      <c r="AH90" s="1334">
        <v>0</v>
      </c>
      <c r="AI90" s="80">
        <f t="shared" si="52"/>
        <v>301.62266361543499</v>
      </c>
    </row>
    <row r="91" spans="2:35" s="463" customFormat="1">
      <c r="B91" s="364" t="s">
        <v>387</v>
      </c>
      <c r="C91" s="365">
        <v>35.5861173817514</v>
      </c>
      <c r="D91" s="365">
        <v>0</v>
      </c>
      <c r="E91" s="365">
        <v>0</v>
      </c>
      <c r="F91" s="365">
        <v>0</v>
      </c>
      <c r="G91" s="365">
        <v>0</v>
      </c>
      <c r="H91" s="365">
        <v>0</v>
      </c>
      <c r="I91" s="80">
        <v>0</v>
      </c>
      <c r="J91" s="365">
        <v>0</v>
      </c>
      <c r="K91" s="365">
        <v>0</v>
      </c>
      <c r="L91" s="365">
        <v>0</v>
      </c>
      <c r="M91" s="365">
        <v>0</v>
      </c>
      <c r="N91" s="365">
        <v>0</v>
      </c>
      <c r="O91" s="365">
        <v>0</v>
      </c>
      <c r="P91" s="365">
        <v>0</v>
      </c>
      <c r="Q91" s="365">
        <v>0</v>
      </c>
      <c r="R91" s="365">
        <v>0</v>
      </c>
      <c r="S91" s="365">
        <v>0</v>
      </c>
      <c r="T91" s="365">
        <v>0</v>
      </c>
      <c r="U91" s="365">
        <v>0</v>
      </c>
      <c r="V91" s="365">
        <v>0</v>
      </c>
      <c r="W91" s="365">
        <v>0</v>
      </c>
      <c r="X91" s="365">
        <v>0</v>
      </c>
      <c r="Y91" s="365">
        <v>0</v>
      </c>
      <c r="Z91" s="365">
        <v>0</v>
      </c>
      <c r="AA91" s="365">
        <v>0</v>
      </c>
      <c r="AB91" s="365">
        <v>0</v>
      </c>
      <c r="AC91" s="365">
        <v>0</v>
      </c>
      <c r="AD91" s="365">
        <v>0</v>
      </c>
      <c r="AE91" s="365">
        <v>0</v>
      </c>
      <c r="AF91" s="365">
        <v>0</v>
      </c>
      <c r="AG91" s="365">
        <v>0</v>
      </c>
      <c r="AH91" s="1334">
        <v>0</v>
      </c>
      <c r="AI91" s="80">
        <f t="shared" si="52"/>
        <v>35.5861173817514</v>
      </c>
    </row>
    <row r="92" spans="2:35" s="463" customFormat="1">
      <c r="B92" s="364" t="s">
        <v>656</v>
      </c>
      <c r="C92" s="365">
        <v>45.538592913431799</v>
      </c>
      <c r="D92" s="365">
        <v>41.3292886434594</v>
      </c>
      <c r="E92" s="365">
        <v>36.967256282160399</v>
      </c>
      <c r="F92" s="365">
        <v>32.303409154019498</v>
      </c>
      <c r="G92" s="365">
        <v>27.403277457383801</v>
      </c>
      <c r="H92" s="365">
        <v>21.991257600634398</v>
      </c>
      <c r="I92" s="80">
        <v>16.291201389264501</v>
      </c>
      <c r="J92" s="365">
        <v>10.1967507778613</v>
      </c>
      <c r="K92" s="365">
        <v>3.6989554226563097</v>
      </c>
      <c r="L92" s="365">
        <v>0</v>
      </c>
      <c r="M92" s="365">
        <v>0</v>
      </c>
      <c r="N92" s="365">
        <v>0</v>
      </c>
      <c r="O92" s="365">
        <v>0</v>
      </c>
      <c r="P92" s="365">
        <v>0</v>
      </c>
      <c r="Q92" s="365">
        <v>0</v>
      </c>
      <c r="R92" s="365">
        <v>0</v>
      </c>
      <c r="S92" s="365">
        <v>0</v>
      </c>
      <c r="T92" s="365">
        <v>0</v>
      </c>
      <c r="U92" s="365">
        <v>0</v>
      </c>
      <c r="V92" s="365">
        <v>0</v>
      </c>
      <c r="W92" s="365">
        <v>0</v>
      </c>
      <c r="X92" s="365">
        <v>0</v>
      </c>
      <c r="Y92" s="365">
        <v>0</v>
      </c>
      <c r="Z92" s="365">
        <v>0</v>
      </c>
      <c r="AA92" s="365">
        <v>0</v>
      </c>
      <c r="AB92" s="365">
        <v>0</v>
      </c>
      <c r="AC92" s="365">
        <v>0</v>
      </c>
      <c r="AD92" s="365">
        <v>0</v>
      </c>
      <c r="AE92" s="365">
        <v>0</v>
      </c>
      <c r="AF92" s="365">
        <v>0</v>
      </c>
      <c r="AG92" s="365">
        <v>0</v>
      </c>
      <c r="AH92" s="1334">
        <v>0</v>
      </c>
      <c r="AI92" s="80">
        <f t="shared" si="52"/>
        <v>235.7199896408714</v>
      </c>
    </row>
    <row r="93" spans="2:35" s="463" customFormat="1">
      <c r="B93" s="364" t="s">
        <v>425</v>
      </c>
      <c r="C93" s="365">
        <v>6.9468719400000003</v>
      </c>
      <c r="D93" s="365">
        <v>6.9468719400000003</v>
      </c>
      <c r="E93" s="365">
        <v>6.9468719400000003</v>
      </c>
      <c r="F93" s="365">
        <v>6.9468719400000003</v>
      </c>
      <c r="G93" s="365">
        <v>0</v>
      </c>
      <c r="H93" s="365">
        <v>0</v>
      </c>
      <c r="I93" s="80">
        <v>0</v>
      </c>
      <c r="J93" s="365">
        <v>0</v>
      </c>
      <c r="K93" s="365">
        <v>0</v>
      </c>
      <c r="L93" s="365">
        <v>0</v>
      </c>
      <c r="M93" s="365">
        <v>0</v>
      </c>
      <c r="N93" s="365">
        <v>0</v>
      </c>
      <c r="O93" s="365">
        <v>0</v>
      </c>
      <c r="P93" s="365">
        <v>0</v>
      </c>
      <c r="Q93" s="365">
        <v>0</v>
      </c>
      <c r="R93" s="365">
        <v>0</v>
      </c>
      <c r="S93" s="365">
        <v>0</v>
      </c>
      <c r="T93" s="365">
        <v>0</v>
      </c>
      <c r="U93" s="365">
        <v>0</v>
      </c>
      <c r="V93" s="365">
        <v>0</v>
      </c>
      <c r="W93" s="365">
        <v>0</v>
      </c>
      <c r="X93" s="365">
        <v>0</v>
      </c>
      <c r="Y93" s="365">
        <v>0</v>
      </c>
      <c r="Z93" s="365">
        <v>0</v>
      </c>
      <c r="AA93" s="365">
        <v>0</v>
      </c>
      <c r="AB93" s="365">
        <v>0</v>
      </c>
      <c r="AC93" s="365">
        <v>0</v>
      </c>
      <c r="AD93" s="365">
        <v>0</v>
      </c>
      <c r="AE93" s="365">
        <v>0</v>
      </c>
      <c r="AF93" s="365">
        <v>0</v>
      </c>
      <c r="AG93" s="365">
        <v>0</v>
      </c>
      <c r="AH93" s="1334">
        <v>0</v>
      </c>
      <c r="AI93" s="80">
        <f t="shared" si="52"/>
        <v>27.787487760000001</v>
      </c>
    </row>
    <row r="94" spans="2:35" s="463" customFormat="1">
      <c r="B94" s="364" t="s">
        <v>540</v>
      </c>
      <c r="C94" s="365">
        <v>88.309304659999995</v>
      </c>
      <c r="D94" s="365">
        <v>88.309304659999995</v>
      </c>
      <c r="E94" s="365">
        <v>88.309304659999995</v>
      </c>
      <c r="F94" s="365">
        <v>73.738269389999999</v>
      </c>
      <c r="G94" s="365">
        <v>44.59619885</v>
      </c>
      <c r="H94" s="365">
        <v>15.012581789999999</v>
      </c>
      <c r="I94" s="80">
        <v>0</v>
      </c>
      <c r="J94" s="365">
        <v>0</v>
      </c>
      <c r="K94" s="365">
        <v>0</v>
      </c>
      <c r="L94" s="365">
        <v>0</v>
      </c>
      <c r="M94" s="365">
        <v>0</v>
      </c>
      <c r="N94" s="365">
        <v>0</v>
      </c>
      <c r="O94" s="365">
        <v>0</v>
      </c>
      <c r="P94" s="365">
        <v>0</v>
      </c>
      <c r="Q94" s="365">
        <v>0</v>
      </c>
      <c r="R94" s="365">
        <v>0</v>
      </c>
      <c r="S94" s="365">
        <v>0</v>
      </c>
      <c r="T94" s="365">
        <v>0</v>
      </c>
      <c r="U94" s="365">
        <v>0</v>
      </c>
      <c r="V94" s="365">
        <v>0</v>
      </c>
      <c r="W94" s="365">
        <v>0</v>
      </c>
      <c r="X94" s="365">
        <v>0</v>
      </c>
      <c r="Y94" s="365">
        <v>0</v>
      </c>
      <c r="Z94" s="365">
        <v>0</v>
      </c>
      <c r="AA94" s="365">
        <v>0</v>
      </c>
      <c r="AB94" s="365">
        <v>0</v>
      </c>
      <c r="AC94" s="365">
        <v>0</v>
      </c>
      <c r="AD94" s="365">
        <v>0</v>
      </c>
      <c r="AE94" s="365">
        <v>0</v>
      </c>
      <c r="AF94" s="365">
        <v>0</v>
      </c>
      <c r="AG94" s="365">
        <v>0</v>
      </c>
      <c r="AH94" s="1334">
        <v>0</v>
      </c>
      <c r="AI94" s="80">
        <f t="shared" si="52"/>
        <v>398.27496401000002</v>
      </c>
    </row>
    <row r="95" spans="2:35" s="463" customFormat="1">
      <c r="B95" s="1010" t="s">
        <v>541</v>
      </c>
      <c r="C95" s="95">
        <v>207.45959052000001</v>
      </c>
      <c r="D95" s="95">
        <v>207.45959052000001</v>
      </c>
      <c r="E95" s="95">
        <v>207.45959052000001</v>
      </c>
      <c r="F95" s="95">
        <v>207.45959052000001</v>
      </c>
      <c r="G95" s="95">
        <v>207.45959052000001</v>
      </c>
      <c r="H95" s="95">
        <v>207.45959052000001</v>
      </c>
      <c r="I95" s="80">
        <v>207.45959052000001</v>
      </c>
      <c r="J95" s="95">
        <v>207.45959052000001</v>
      </c>
      <c r="K95" s="95">
        <v>207.45959052000001</v>
      </c>
      <c r="L95" s="95">
        <v>207.45959052000001</v>
      </c>
      <c r="M95" s="95">
        <v>207.45959052000001</v>
      </c>
      <c r="N95" s="95">
        <v>207.45959052000001</v>
      </c>
      <c r="O95" s="95">
        <v>207.45959052000001</v>
      </c>
      <c r="P95" s="95">
        <v>207.45959052000001</v>
      </c>
      <c r="Q95" s="95">
        <v>207.45959052000001</v>
      </c>
      <c r="R95" s="95">
        <v>173.22875808000001</v>
      </c>
      <c r="S95" s="95">
        <v>104.76709321</v>
      </c>
      <c r="T95" s="95">
        <v>35.268130390000003</v>
      </c>
      <c r="U95" s="95">
        <v>0</v>
      </c>
      <c r="V95" s="95">
        <v>0</v>
      </c>
      <c r="W95" s="95">
        <v>0</v>
      </c>
      <c r="X95" s="95">
        <v>0</v>
      </c>
      <c r="Y95" s="95">
        <v>0</v>
      </c>
      <c r="Z95" s="95">
        <v>0</v>
      </c>
      <c r="AA95" s="95">
        <v>0</v>
      </c>
      <c r="AB95" s="95">
        <v>0</v>
      </c>
      <c r="AC95" s="95">
        <v>0</v>
      </c>
      <c r="AD95" s="95">
        <v>0</v>
      </c>
      <c r="AE95" s="95">
        <v>0</v>
      </c>
      <c r="AF95" s="95">
        <v>0</v>
      </c>
      <c r="AG95" s="95">
        <v>0</v>
      </c>
      <c r="AH95" s="1336">
        <v>0</v>
      </c>
      <c r="AI95" s="80">
        <f t="shared" si="52"/>
        <v>3425.1578394799985</v>
      </c>
    </row>
    <row r="96" spans="2:35" s="463" customFormat="1">
      <c r="B96" s="1008" t="s">
        <v>494</v>
      </c>
      <c r="C96" s="95">
        <v>348.57588936000002</v>
      </c>
      <c r="D96" s="80">
        <v>348.57588936000002</v>
      </c>
      <c r="E96" s="80">
        <v>348.57588936000002</v>
      </c>
      <c r="F96" s="80">
        <v>0</v>
      </c>
      <c r="G96" s="80">
        <v>0</v>
      </c>
      <c r="H96" s="80">
        <v>0</v>
      </c>
      <c r="I96" s="80">
        <v>0</v>
      </c>
      <c r="J96" s="95">
        <v>0</v>
      </c>
      <c r="K96" s="95">
        <v>0</v>
      </c>
      <c r="L96" s="95">
        <v>0</v>
      </c>
      <c r="M96" s="95">
        <v>0</v>
      </c>
      <c r="N96" s="95">
        <v>0</v>
      </c>
      <c r="O96" s="95">
        <v>0</v>
      </c>
      <c r="P96" s="95">
        <v>0</v>
      </c>
      <c r="Q96" s="95">
        <v>0</v>
      </c>
      <c r="R96" s="95">
        <v>0</v>
      </c>
      <c r="S96" s="95">
        <v>0</v>
      </c>
      <c r="T96" s="95">
        <v>0</v>
      </c>
      <c r="U96" s="95">
        <v>0</v>
      </c>
      <c r="V96" s="95">
        <v>0</v>
      </c>
      <c r="W96" s="95">
        <v>0</v>
      </c>
      <c r="X96" s="95">
        <v>0</v>
      </c>
      <c r="Y96" s="95">
        <v>0</v>
      </c>
      <c r="Z96" s="95">
        <v>0</v>
      </c>
      <c r="AA96" s="95">
        <v>0</v>
      </c>
      <c r="AB96" s="95">
        <v>0</v>
      </c>
      <c r="AC96" s="95">
        <v>0</v>
      </c>
      <c r="AD96" s="95">
        <v>0</v>
      </c>
      <c r="AE96" s="95">
        <v>0</v>
      </c>
      <c r="AF96" s="95">
        <v>0</v>
      </c>
      <c r="AG96" s="95">
        <v>0</v>
      </c>
      <c r="AH96" s="1336">
        <v>0</v>
      </c>
      <c r="AI96" s="80">
        <f t="shared" si="52"/>
        <v>1045.7276680800001</v>
      </c>
    </row>
    <row r="97" spans="2:35" s="1012" customFormat="1">
      <c r="B97" s="1008" t="s">
        <v>495</v>
      </c>
      <c r="C97" s="95">
        <v>355.19892777999996</v>
      </c>
      <c r="D97" s="1007">
        <v>355.19892777999996</v>
      </c>
      <c r="E97" s="1007">
        <v>355.19892777999996</v>
      </c>
      <c r="F97" s="1007">
        <v>355.19892777999996</v>
      </c>
      <c r="G97" s="1007">
        <v>355.19892777999996</v>
      </c>
      <c r="H97" s="1007">
        <v>355.19892777999996</v>
      </c>
      <c r="I97" s="1007">
        <v>0</v>
      </c>
      <c r="J97" s="1007">
        <v>0</v>
      </c>
      <c r="K97" s="1007">
        <v>0</v>
      </c>
      <c r="L97" s="1007">
        <v>0</v>
      </c>
      <c r="M97" s="1007">
        <v>0</v>
      </c>
      <c r="N97" s="1007">
        <v>0</v>
      </c>
      <c r="O97" s="1007">
        <v>0</v>
      </c>
      <c r="P97" s="1007">
        <v>0</v>
      </c>
      <c r="Q97" s="1007">
        <v>0</v>
      </c>
      <c r="R97" s="1007">
        <v>0</v>
      </c>
      <c r="S97" s="1007">
        <v>0</v>
      </c>
      <c r="T97" s="1007">
        <v>0</v>
      </c>
      <c r="U97" s="95">
        <v>0</v>
      </c>
      <c r="V97" s="95">
        <v>0</v>
      </c>
      <c r="W97" s="95">
        <v>0</v>
      </c>
      <c r="X97" s="95">
        <v>0</v>
      </c>
      <c r="Y97" s="95">
        <v>0</v>
      </c>
      <c r="Z97" s="95">
        <v>0</v>
      </c>
      <c r="AA97" s="95">
        <v>0</v>
      </c>
      <c r="AB97" s="95">
        <v>0</v>
      </c>
      <c r="AC97" s="95">
        <v>0</v>
      </c>
      <c r="AD97" s="95">
        <v>0</v>
      </c>
      <c r="AE97" s="95">
        <v>0</v>
      </c>
      <c r="AF97" s="95">
        <v>0</v>
      </c>
      <c r="AG97" s="95">
        <v>0</v>
      </c>
      <c r="AH97" s="1336">
        <v>0</v>
      </c>
      <c r="AI97" s="1007">
        <f t="shared" si="52"/>
        <v>2131.1935666799995</v>
      </c>
    </row>
    <row r="98" spans="2:35" s="463" customFormat="1">
      <c r="B98" s="339" t="s">
        <v>496</v>
      </c>
      <c r="C98" s="95">
        <v>369.37684057999996</v>
      </c>
      <c r="D98" s="95">
        <v>369.37684057999996</v>
      </c>
      <c r="E98" s="95">
        <v>369.37684057999996</v>
      </c>
      <c r="F98" s="95">
        <v>369.37684057999996</v>
      </c>
      <c r="G98" s="95">
        <v>369.37684057999996</v>
      </c>
      <c r="H98" s="95">
        <v>369.37684057999996</v>
      </c>
      <c r="I98" s="80">
        <v>369.37684057999996</v>
      </c>
      <c r="J98" s="95">
        <v>369.37684057999996</v>
      </c>
      <c r="K98" s="95">
        <v>0</v>
      </c>
      <c r="L98" s="95">
        <v>0</v>
      </c>
      <c r="M98" s="95">
        <v>0</v>
      </c>
      <c r="N98" s="95">
        <v>0</v>
      </c>
      <c r="O98" s="95">
        <v>0</v>
      </c>
      <c r="P98" s="95">
        <v>0</v>
      </c>
      <c r="Q98" s="95">
        <v>0</v>
      </c>
      <c r="R98" s="95">
        <v>0</v>
      </c>
      <c r="S98" s="95">
        <v>0</v>
      </c>
      <c r="T98" s="95">
        <v>0</v>
      </c>
      <c r="U98" s="95">
        <v>0</v>
      </c>
      <c r="V98" s="95">
        <v>0</v>
      </c>
      <c r="W98" s="95">
        <v>0</v>
      </c>
      <c r="X98" s="95">
        <v>0</v>
      </c>
      <c r="Y98" s="95">
        <v>0</v>
      </c>
      <c r="Z98" s="95">
        <v>0</v>
      </c>
      <c r="AA98" s="95">
        <v>0</v>
      </c>
      <c r="AB98" s="95">
        <v>0</v>
      </c>
      <c r="AC98" s="95">
        <v>0</v>
      </c>
      <c r="AD98" s="95">
        <v>0</v>
      </c>
      <c r="AE98" s="95">
        <v>0</v>
      </c>
      <c r="AF98" s="95">
        <v>0</v>
      </c>
      <c r="AG98" s="95">
        <v>0</v>
      </c>
      <c r="AH98" s="1336">
        <v>0</v>
      </c>
      <c r="AI98" s="80">
        <f t="shared" si="52"/>
        <v>2955.0147246400002</v>
      </c>
    </row>
    <row r="99" spans="2:35" s="463" customFormat="1">
      <c r="B99" s="364" t="s">
        <v>379</v>
      </c>
      <c r="C99" s="80">
        <v>235.80485336000001</v>
      </c>
      <c r="D99" s="80">
        <v>0</v>
      </c>
      <c r="E99" s="80">
        <v>0</v>
      </c>
      <c r="F99" s="80">
        <v>0</v>
      </c>
      <c r="G99" s="80">
        <v>0</v>
      </c>
      <c r="H99" s="80">
        <v>0</v>
      </c>
      <c r="I99" s="80">
        <v>0</v>
      </c>
      <c r="J99" s="80">
        <v>0</v>
      </c>
      <c r="K99" s="80">
        <v>0</v>
      </c>
      <c r="L99" s="80">
        <v>0</v>
      </c>
      <c r="M99" s="80">
        <v>0</v>
      </c>
      <c r="N99" s="80">
        <v>0</v>
      </c>
      <c r="O99" s="80">
        <v>0</v>
      </c>
      <c r="P99" s="80">
        <v>0</v>
      </c>
      <c r="Q99" s="80">
        <v>0</v>
      </c>
      <c r="R99" s="80">
        <v>0</v>
      </c>
      <c r="S99" s="80">
        <v>0</v>
      </c>
      <c r="T99" s="80">
        <v>0</v>
      </c>
      <c r="U99" s="80">
        <v>0</v>
      </c>
      <c r="V99" s="80">
        <v>0</v>
      </c>
      <c r="W99" s="80">
        <v>0</v>
      </c>
      <c r="X99" s="80">
        <v>0</v>
      </c>
      <c r="Y99" s="80">
        <v>0</v>
      </c>
      <c r="Z99" s="80">
        <v>0</v>
      </c>
      <c r="AA99" s="80">
        <v>0</v>
      </c>
      <c r="AB99" s="80">
        <v>0</v>
      </c>
      <c r="AC99" s="80">
        <v>0</v>
      </c>
      <c r="AD99" s="80">
        <v>0</v>
      </c>
      <c r="AE99" s="80">
        <v>0</v>
      </c>
      <c r="AF99" s="80">
        <v>0</v>
      </c>
      <c r="AG99" s="1007">
        <v>0</v>
      </c>
      <c r="AH99" s="1337">
        <v>0</v>
      </c>
      <c r="AI99" s="80">
        <f t="shared" si="52"/>
        <v>235.80485336000001</v>
      </c>
    </row>
    <row r="100" spans="2:35" s="463" customFormat="1">
      <c r="B100" s="339" t="s">
        <v>631</v>
      </c>
      <c r="C100" s="80">
        <v>522.47211823999999</v>
      </c>
      <c r="D100" s="80">
        <v>406.42911743999997</v>
      </c>
      <c r="E100" s="80">
        <v>290.38611664000001</v>
      </c>
      <c r="F100" s="80">
        <v>174.34311584</v>
      </c>
      <c r="G100" s="80">
        <v>58.160807720000001</v>
      </c>
      <c r="H100" s="80">
        <v>0</v>
      </c>
      <c r="I100" s="80">
        <v>0</v>
      </c>
      <c r="J100" s="80">
        <v>0</v>
      </c>
      <c r="K100" s="80">
        <v>0</v>
      </c>
      <c r="L100" s="80">
        <v>0</v>
      </c>
      <c r="M100" s="80">
        <v>0</v>
      </c>
      <c r="N100" s="80">
        <v>0</v>
      </c>
      <c r="O100" s="80">
        <v>0</v>
      </c>
      <c r="P100" s="80">
        <v>0</v>
      </c>
      <c r="Q100" s="80">
        <v>0</v>
      </c>
      <c r="R100" s="80">
        <v>0</v>
      </c>
      <c r="S100" s="80">
        <v>0</v>
      </c>
      <c r="T100" s="80">
        <v>0</v>
      </c>
      <c r="U100" s="80">
        <v>0</v>
      </c>
      <c r="V100" s="80">
        <v>0</v>
      </c>
      <c r="W100" s="80">
        <v>0</v>
      </c>
      <c r="X100" s="80">
        <v>0</v>
      </c>
      <c r="Y100" s="80">
        <v>0</v>
      </c>
      <c r="Z100" s="80">
        <v>0</v>
      </c>
      <c r="AA100" s="80">
        <v>0</v>
      </c>
      <c r="AB100" s="80">
        <v>0</v>
      </c>
      <c r="AC100" s="80">
        <v>0</v>
      </c>
      <c r="AD100" s="80">
        <v>0</v>
      </c>
      <c r="AE100" s="80">
        <v>0</v>
      </c>
      <c r="AF100" s="80">
        <v>0</v>
      </c>
      <c r="AG100" s="1007">
        <v>0</v>
      </c>
      <c r="AH100" s="1337">
        <v>0</v>
      </c>
      <c r="AI100" s="80">
        <f t="shared" ref="AI100:AI127" si="53">SUM(C100:AH100)</f>
        <v>1451.7912758800001</v>
      </c>
    </row>
    <row r="101" spans="2:35" s="463" customFormat="1">
      <c r="B101" s="364" t="s">
        <v>510</v>
      </c>
      <c r="C101" s="80">
        <v>58.938424056922898</v>
      </c>
      <c r="D101" s="80">
        <v>0</v>
      </c>
      <c r="E101" s="80">
        <v>0</v>
      </c>
      <c r="F101" s="80">
        <v>0</v>
      </c>
      <c r="G101" s="80">
        <v>0</v>
      </c>
      <c r="H101" s="80">
        <v>0</v>
      </c>
      <c r="I101" s="80">
        <v>0</v>
      </c>
      <c r="J101" s="80">
        <v>0</v>
      </c>
      <c r="K101" s="80">
        <v>0</v>
      </c>
      <c r="L101" s="80">
        <v>0</v>
      </c>
      <c r="M101" s="80">
        <v>0</v>
      </c>
      <c r="N101" s="80">
        <v>0</v>
      </c>
      <c r="O101" s="80">
        <v>0</v>
      </c>
      <c r="P101" s="80">
        <v>0</v>
      </c>
      <c r="Q101" s="80">
        <v>0</v>
      </c>
      <c r="R101" s="80">
        <v>0</v>
      </c>
      <c r="S101" s="80">
        <v>0</v>
      </c>
      <c r="T101" s="80">
        <v>0</v>
      </c>
      <c r="U101" s="80">
        <v>0</v>
      </c>
      <c r="V101" s="80">
        <v>0</v>
      </c>
      <c r="W101" s="80">
        <v>0</v>
      </c>
      <c r="X101" s="80">
        <v>0</v>
      </c>
      <c r="Y101" s="80">
        <v>0</v>
      </c>
      <c r="Z101" s="80">
        <v>0</v>
      </c>
      <c r="AA101" s="80">
        <v>0</v>
      </c>
      <c r="AB101" s="80">
        <v>0</v>
      </c>
      <c r="AC101" s="80">
        <v>0</v>
      </c>
      <c r="AD101" s="80">
        <v>0</v>
      </c>
      <c r="AE101" s="80">
        <v>0</v>
      </c>
      <c r="AF101" s="80">
        <v>0</v>
      </c>
      <c r="AG101" s="1007">
        <v>0</v>
      </c>
      <c r="AH101" s="1337">
        <v>0</v>
      </c>
      <c r="AI101" s="80">
        <f t="shared" si="53"/>
        <v>58.938424056922898</v>
      </c>
    </row>
    <row r="102" spans="2:35" s="463" customFormat="1">
      <c r="B102" s="364" t="s">
        <v>428</v>
      </c>
      <c r="C102" s="80">
        <v>71.515439353288201</v>
      </c>
      <c r="D102" s="80">
        <v>71.515439353288201</v>
      </c>
      <c r="E102" s="80">
        <v>0</v>
      </c>
      <c r="F102" s="80">
        <v>0</v>
      </c>
      <c r="G102" s="80">
        <v>0</v>
      </c>
      <c r="H102" s="80">
        <v>0</v>
      </c>
      <c r="I102" s="80">
        <v>0</v>
      </c>
      <c r="J102" s="80">
        <v>0</v>
      </c>
      <c r="K102" s="80">
        <v>0</v>
      </c>
      <c r="L102" s="80">
        <v>0</v>
      </c>
      <c r="M102" s="80">
        <v>0</v>
      </c>
      <c r="N102" s="80">
        <v>0</v>
      </c>
      <c r="O102" s="80">
        <v>0</v>
      </c>
      <c r="P102" s="80">
        <v>0</v>
      </c>
      <c r="Q102" s="80">
        <v>0</v>
      </c>
      <c r="R102" s="80">
        <v>0</v>
      </c>
      <c r="S102" s="80">
        <v>0</v>
      </c>
      <c r="T102" s="80">
        <v>0</v>
      </c>
      <c r="U102" s="80">
        <v>0</v>
      </c>
      <c r="V102" s="80">
        <v>0</v>
      </c>
      <c r="W102" s="80">
        <v>0</v>
      </c>
      <c r="X102" s="80">
        <v>0</v>
      </c>
      <c r="Y102" s="80">
        <v>0</v>
      </c>
      <c r="Z102" s="80">
        <v>0</v>
      </c>
      <c r="AA102" s="80">
        <v>0</v>
      </c>
      <c r="AB102" s="80">
        <v>0</v>
      </c>
      <c r="AC102" s="80">
        <v>0</v>
      </c>
      <c r="AD102" s="80">
        <v>0</v>
      </c>
      <c r="AE102" s="80">
        <v>0</v>
      </c>
      <c r="AF102" s="80">
        <v>0</v>
      </c>
      <c r="AG102" s="1007">
        <v>0</v>
      </c>
      <c r="AH102" s="1337">
        <v>0</v>
      </c>
      <c r="AI102" s="80">
        <f t="shared" si="53"/>
        <v>143.0308787065764</v>
      </c>
    </row>
    <row r="103" spans="2:35" s="463" customFormat="1">
      <c r="B103" s="1010" t="s">
        <v>624</v>
      </c>
      <c r="C103" s="80">
        <v>40.0994517337556</v>
      </c>
      <c r="D103" s="80">
        <v>40.0994517337556</v>
      </c>
      <c r="E103" s="80">
        <v>40.0994517337556</v>
      </c>
      <c r="F103" s="80">
        <v>20.0497258668778</v>
      </c>
      <c r="G103" s="80">
        <v>0</v>
      </c>
      <c r="H103" s="80">
        <v>0</v>
      </c>
      <c r="I103" s="80">
        <v>0</v>
      </c>
      <c r="J103" s="80">
        <v>0</v>
      </c>
      <c r="K103" s="80">
        <v>0</v>
      </c>
      <c r="L103" s="80">
        <v>0</v>
      </c>
      <c r="M103" s="80">
        <v>0</v>
      </c>
      <c r="N103" s="80">
        <v>0</v>
      </c>
      <c r="O103" s="80">
        <v>0</v>
      </c>
      <c r="P103" s="80">
        <v>0</v>
      </c>
      <c r="Q103" s="80">
        <v>0</v>
      </c>
      <c r="R103" s="80">
        <v>0</v>
      </c>
      <c r="S103" s="80">
        <v>0</v>
      </c>
      <c r="T103" s="80">
        <v>0</v>
      </c>
      <c r="U103" s="80">
        <v>0</v>
      </c>
      <c r="V103" s="80">
        <v>0</v>
      </c>
      <c r="W103" s="80">
        <v>0</v>
      </c>
      <c r="X103" s="80">
        <v>0</v>
      </c>
      <c r="Y103" s="80">
        <v>0</v>
      </c>
      <c r="Z103" s="80">
        <v>0</v>
      </c>
      <c r="AA103" s="80">
        <v>0</v>
      </c>
      <c r="AB103" s="80">
        <v>0</v>
      </c>
      <c r="AC103" s="80">
        <v>0</v>
      </c>
      <c r="AD103" s="80">
        <v>0</v>
      </c>
      <c r="AE103" s="80">
        <v>0</v>
      </c>
      <c r="AF103" s="80">
        <v>0</v>
      </c>
      <c r="AG103" s="1007">
        <v>0</v>
      </c>
      <c r="AH103" s="1337">
        <v>0</v>
      </c>
      <c r="AI103" s="80">
        <f t="shared" si="53"/>
        <v>140.34808106814461</v>
      </c>
    </row>
    <row r="104" spans="2:35" s="463" customFormat="1">
      <c r="B104" s="339" t="s">
        <v>668</v>
      </c>
      <c r="C104" s="80">
        <v>39.677905536646705</v>
      </c>
      <c r="D104" s="80">
        <v>39.677905536646705</v>
      </c>
      <c r="E104" s="80">
        <v>39.677905536646705</v>
      </c>
      <c r="F104" s="80">
        <v>39.677905536646705</v>
      </c>
      <c r="G104" s="80">
        <v>39.677905536646705</v>
      </c>
      <c r="H104" s="80">
        <v>19.838952768323299</v>
      </c>
      <c r="I104" s="80">
        <v>0</v>
      </c>
      <c r="J104" s="80">
        <v>0</v>
      </c>
      <c r="K104" s="80">
        <v>0</v>
      </c>
      <c r="L104" s="80">
        <v>0</v>
      </c>
      <c r="M104" s="80">
        <v>0</v>
      </c>
      <c r="N104" s="80">
        <v>0</v>
      </c>
      <c r="O104" s="80">
        <v>0</v>
      </c>
      <c r="P104" s="80">
        <v>0</v>
      </c>
      <c r="Q104" s="80">
        <v>0</v>
      </c>
      <c r="R104" s="80">
        <v>0</v>
      </c>
      <c r="S104" s="80">
        <v>0</v>
      </c>
      <c r="T104" s="80">
        <v>0</v>
      </c>
      <c r="U104" s="80">
        <v>0</v>
      </c>
      <c r="V104" s="80">
        <v>0</v>
      </c>
      <c r="W104" s="80">
        <v>0</v>
      </c>
      <c r="X104" s="80">
        <v>0</v>
      </c>
      <c r="Y104" s="80">
        <v>0</v>
      </c>
      <c r="Z104" s="80">
        <v>0</v>
      </c>
      <c r="AA104" s="80">
        <v>0</v>
      </c>
      <c r="AB104" s="80">
        <v>0</v>
      </c>
      <c r="AC104" s="80">
        <v>0</v>
      </c>
      <c r="AD104" s="80">
        <v>0</v>
      </c>
      <c r="AE104" s="80">
        <v>0</v>
      </c>
      <c r="AF104" s="80">
        <v>0</v>
      </c>
      <c r="AG104" s="1007">
        <v>0</v>
      </c>
      <c r="AH104" s="1337">
        <v>0</v>
      </c>
      <c r="AI104" s="80">
        <f t="shared" si="53"/>
        <v>218.22848045155683</v>
      </c>
    </row>
    <row r="105" spans="2:35" s="463" customFormat="1">
      <c r="B105" s="339" t="s">
        <v>507</v>
      </c>
      <c r="C105" s="340">
        <v>249.90910142248899</v>
      </c>
      <c r="D105" s="340">
        <v>249.90910142248899</v>
      </c>
      <c r="E105" s="340">
        <v>249.90910142248899</v>
      </c>
      <c r="F105" s="340">
        <v>249.90910142248899</v>
      </c>
      <c r="G105" s="340">
        <v>249.90910142248899</v>
      </c>
      <c r="H105" s="340">
        <v>249.90910142248899</v>
      </c>
      <c r="I105" s="80">
        <v>249.90910142248899</v>
      </c>
      <c r="J105" s="340">
        <v>0</v>
      </c>
      <c r="K105" s="340">
        <v>0</v>
      </c>
      <c r="L105" s="340">
        <v>0</v>
      </c>
      <c r="M105" s="340">
        <v>0</v>
      </c>
      <c r="N105" s="340">
        <v>0</v>
      </c>
      <c r="O105" s="340">
        <v>0</v>
      </c>
      <c r="P105" s="340">
        <v>0</v>
      </c>
      <c r="Q105" s="340">
        <v>0</v>
      </c>
      <c r="R105" s="340">
        <v>0</v>
      </c>
      <c r="S105" s="340">
        <v>0</v>
      </c>
      <c r="T105" s="340">
        <v>0</v>
      </c>
      <c r="U105" s="340">
        <v>0</v>
      </c>
      <c r="V105" s="340">
        <v>0</v>
      </c>
      <c r="W105" s="340">
        <v>0</v>
      </c>
      <c r="X105" s="340">
        <v>0</v>
      </c>
      <c r="Y105" s="340">
        <v>0</v>
      </c>
      <c r="Z105" s="340">
        <v>0</v>
      </c>
      <c r="AA105" s="340">
        <v>0</v>
      </c>
      <c r="AB105" s="340">
        <v>0</v>
      </c>
      <c r="AC105" s="340">
        <v>0</v>
      </c>
      <c r="AD105" s="340">
        <v>0</v>
      </c>
      <c r="AE105" s="340">
        <v>0</v>
      </c>
      <c r="AF105" s="340">
        <v>0</v>
      </c>
      <c r="AG105" s="1011">
        <v>0</v>
      </c>
      <c r="AH105" s="1333">
        <v>0</v>
      </c>
      <c r="AI105" s="80">
        <f t="shared" si="53"/>
        <v>1749.3637099574228</v>
      </c>
    </row>
    <row r="106" spans="2:35" s="463" customFormat="1">
      <c r="B106" s="339" t="s">
        <v>508</v>
      </c>
      <c r="C106" s="340">
        <v>171.36750127656703</v>
      </c>
      <c r="D106" s="340">
        <v>171.36750127656703</v>
      </c>
      <c r="E106" s="340">
        <v>171.36750127656703</v>
      </c>
      <c r="F106" s="340">
        <v>171.36750127656703</v>
      </c>
      <c r="G106" s="340">
        <v>0</v>
      </c>
      <c r="H106" s="340">
        <v>0</v>
      </c>
      <c r="I106" s="80">
        <v>0</v>
      </c>
      <c r="J106" s="340">
        <v>0</v>
      </c>
      <c r="K106" s="340">
        <v>0</v>
      </c>
      <c r="L106" s="340">
        <v>0</v>
      </c>
      <c r="M106" s="340">
        <v>0</v>
      </c>
      <c r="N106" s="340">
        <v>0</v>
      </c>
      <c r="O106" s="340">
        <v>0</v>
      </c>
      <c r="P106" s="340">
        <v>0</v>
      </c>
      <c r="Q106" s="340">
        <v>0</v>
      </c>
      <c r="R106" s="340">
        <v>0</v>
      </c>
      <c r="S106" s="340">
        <v>0</v>
      </c>
      <c r="T106" s="340">
        <v>0</v>
      </c>
      <c r="U106" s="340">
        <v>0</v>
      </c>
      <c r="V106" s="340">
        <v>0</v>
      </c>
      <c r="W106" s="340">
        <v>0</v>
      </c>
      <c r="X106" s="340">
        <v>0</v>
      </c>
      <c r="Y106" s="340">
        <v>0</v>
      </c>
      <c r="Z106" s="340">
        <v>0</v>
      </c>
      <c r="AA106" s="340">
        <v>0</v>
      </c>
      <c r="AB106" s="340">
        <v>0</v>
      </c>
      <c r="AC106" s="340">
        <v>0</v>
      </c>
      <c r="AD106" s="340">
        <v>0</v>
      </c>
      <c r="AE106" s="340">
        <v>0</v>
      </c>
      <c r="AF106" s="340">
        <v>0</v>
      </c>
      <c r="AG106" s="1011">
        <v>0</v>
      </c>
      <c r="AH106" s="1333">
        <v>0</v>
      </c>
      <c r="AI106" s="80">
        <f t="shared" si="53"/>
        <v>685.4700051062681</v>
      </c>
    </row>
    <row r="107" spans="2:35" s="463" customFormat="1">
      <c r="B107" s="339" t="s">
        <v>509</v>
      </c>
      <c r="C107" s="340">
        <v>189.915685756073</v>
      </c>
      <c r="D107" s="340">
        <v>189.915685756073</v>
      </c>
      <c r="E107" s="340">
        <v>0</v>
      </c>
      <c r="F107" s="340">
        <v>0</v>
      </c>
      <c r="G107" s="340">
        <v>0</v>
      </c>
      <c r="H107" s="340">
        <v>0</v>
      </c>
      <c r="I107" s="80">
        <v>0</v>
      </c>
      <c r="J107" s="340">
        <v>0</v>
      </c>
      <c r="K107" s="340">
        <v>0</v>
      </c>
      <c r="L107" s="340">
        <v>0</v>
      </c>
      <c r="M107" s="340">
        <v>0</v>
      </c>
      <c r="N107" s="340">
        <v>0</v>
      </c>
      <c r="O107" s="340">
        <v>0</v>
      </c>
      <c r="P107" s="340">
        <v>0</v>
      </c>
      <c r="Q107" s="340">
        <v>0</v>
      </c>
      <c r="R107" s="340">
        <v>0</v>
      </c>
      <c r="S107" s="340">
        <v>0</v>
      </c>
      <c r="T107" s="340">
        <v>0</v>
      </c>
      <c r="U107" s="340">
        <v>0</v>
      </c>
      <c r="V107" s="340">
        <v>0</v>
      </c>
      <c r="W107" s="340">
        <v>0</v>
      </c>
      <c r="X107" s="340">
        <v>0</v>
      </c>
      <c r="Y107" s="340">
        <v>0</v>
      </c>
      <c r="Z107" s="340">
        <v>0</v>
      </c>
      <c r="AA107" s="340">
        <v>0</v>
      </c>
      <c r="AB107" s="340">
        <v>0</v>
      </c>
      <c r="AC107" s="340">
        <v>0</v>
      </c>
      <c r="AD107" s="340">
        <v>0</v>
      </c>
      <c r="AE107" s="340">
        <v>0</v>
      </c>
      <c r="AF107" s="340">
        <v>0</v>
      </c>
      <c r="AG107" s="1011">
        <v>0</v>
      </c>
      <c r="AH107" s="1333">
        <v>0</v>
      </c>
      <c r="AI107" s="80">
        <f t="shared" si="53"/>
        <v>379.83137151214601</v>
      </c>
    </row>
    <row r="108" spans="2:35" s="463" customFormat="1">
      <c r="B108" s="364" t="s">
        <v>724</v>
      </c>
      <c r="C108" s="340">
        <v>0</v>
      </c>
      <c r="D108" s="340">
        <v>0</v>
      </c>
      <c r="E108" s="340">
        <v>0</v>
      </c>
      <c r="F108" s="340">
        <v>0</v>
      </c>
      <c r="G108" s="340">
        <v>0</v>
      </c>
      <c r="H108" s="340">
        <v>0</v>
      </c>
      <c r="I108" s="80">
        <v>0</v>
      </c>
      <c r="J108" s="340">
        <v>0</v>
      </c>
      <c r="K108" s="340">
        <v>0</v>
      </c>
      <c r="L108" s="340">
        <v>0</v>
      </c>
      <c r="M108" s="340">
        <v>0</v>
      </c>
      <c r="N108" s="340">
        <v>0</v>
      </c>
      <c r="O108" s="340">
        <v>0</v>
      </c>
      <c r="P108" s="340">
        <v>0</v>
      </c>
      <c r="Q108" s="340">
        <v>0</v>
      </c>
      <c r="R108" s="340">
        <v>0</v>
      </c>
      <c r="S108" s="340">
        <v>0</v>
      </c>
      <c r="T108" s="340">
        <v>0</v>
      </c>
      <c r="U108" s="340">
        <v>0</v>
      </c>
      <c r="V108" s="340">
        <v>0</v>
      </c>
      <c r="W108" s="340">
        <v>0</v>
      </c>
      <c r="X108" s="340">
        <v>0</v>
      </c>
      <c r="Y108" s="340">
        <v>0</v>
      </c>
      <c r="Z108" s="340">
        <v>0</v>
      </c>
      <c r="AA108" s="340">
        <v>0</v>
      </c>
      <c r="AB108" s="340">
        <v>0</v>
      </c>
      <c r="AC108" s="340">
        <v>0</v>
      </c>
      <c r="AD108" s="340">
        <v>0</v>
      </c>
      <c r="AE108" s="340">
        <v>0</v>
      </c>
      <c r="AF108" s="340">
        <v>0</v>
      </c>
      <c r="AG108" s="1011">
        <v>0</v>
      </c>
      <c r="AH108" s="1333">
        <v>0</v>
      </c>
      <c r="AI108" s="80">
        <f t="shared" si="53"/>
        <v>0</v>
      </c>
    </row>
    <row r="109" spans="2:35" s="463" customFormat="1">
      <c r="B109" s="339" t="s">
        <v>682</v>
      </c>
      <c r="C109" s="340">
        <v>541.78566276517199</v>
      </c>
      <c r="D109" s="340">
        <v>0</v>
      </c>
      <c r="E109" s="340">
        <v>0</v>
      </c>
      <c r="F109" s="340">
        <v>0</v>
      </c>
      <c r="G109" s="340">
        <v>0</v>
      </c>
      <c r="H109" s="340">
        <v>0</v>
      </c>
      <c r="I109" s="80">
        <v>0</v>
      </c>
      <c r="J109" s="340">
        <v>0</v>
      </c>
      <c r="K109" s="340">
        <v>0</v>
      </c>
      <c r="L109" s="340">
        <v>0</v>
      </c>
      <c r="M109" s="340">
        <v>0</v>
      </c>
      <c r="N109" s="340">
        <v>0</v>
      </c>
      <c r="O109" s="340">
        <v>0</v>
      </c>
      <c r="P109" s="340">
        <v>0</v>
      </c>
      <c r="Q109" s="340">
        <v>0</v>
      </c>
      <c r="R109" s="340">
        <v>0</v>
      </c>
      <c r="S109" s="340">
        <v>0</v>
      </c>
      <c r="T109" s="340">
        <v>0</v>
      </c>
      <c r="U109" s="340">
        <v>0</v>
      </c>
      <c r="V109" s="340">
        <v>0</v>
      </c>
      <c r="W109" s="340">
        <v>0</v>
      </c>
      <c r="X109" s="340">
        <v>0</v>
      </c>
      <c r="Y109" s="340">
        <v>0</v>
      </c>
      <c r="Z109" s="340">
        <v>0</v>
      </c>
      <c r="AA109" s="340">
        <v>0</v>
      </c>
      <c r="AB109" s="340">
        <v>0</v>
      </c>
      <c r="AC109" s="340">
        <v>0</v>
      </c>
      <c r="AD109" s="340">
        <v>0</v>
      </c>
      <c r="AE109" s="340">
        <v>0</v>
      </c>
      <c r="AF109" s="340">
        <v>0</v>
      </c>
      <c r="AG109" s="1011">
        <v>0</v>
      </c>
      <c r="AH109" s="1333">
        <v>0</v>
      </c>
      <c r="AI109" s="80">
        <f t="shared" si="53"/>
        <v>541.78566276517199</v>
      </c>
    </row>
    <row r="110" spans="2:35" s="463" customFormat="1">
      <c r="B110" s="364" t="s">
        <v>569</v>
      </c>
      <c r="C110" s="80">
        <v>837.29212240537595</v>
      </c>
      <c r="D110" s="80">
        <v>0</v>
      </c>
      <c r="E110" s="80">
        <v>0</v>
      </c>
      <c r="F110" s="80">
        <v>0</v>
      </c>
      <c r="G110" s="80">
        <v>0</v>
      </c>
      <c r="H110" s="80">
        <v>0</v>
      </c>
      <c r="I110" s="80">
        <v>0</v>
      </c>
      <c r="J110" s="80">
        <v>0</v>
      </c>
      <c r="K110" s="80">
        <v>0</v>
      </c>
      <c r="L110" s="80">
        <v>0</v>
      </c>
      <c r="M110" s="80">
        <v>0</v>
      </c>
      <c r="N110" s="80">
        <v>0</v>
      </c>
      <c r="O110" s="80">
        <v>0</v>
      </c>
      <c r="P110" s="80">
        <v>0</v>
      </c>
      <c r="Q110" s="80">
        <v>0</v>
      </c>
      <c r="R110" s="80">
        <v>0</v>
      </c>
      <c r="S110" s="80">
        <v>0</v>
      </c>
      <c r="T110" s="80">
        <v>0</v>
      </c>
      <c r="U110" s="80">
        <v>0</v>
      </c>
      <c r="V110" s="80">
        <v>0</v>
      </c>
      <c r="W110" s="80">
        <v>0</v>
      </c>
      <c r="X110" s="80">
        <v>0</v>
      </c>
      <c r="Y110" s="80">
        <v>0</v>
      </c>
      <c r="Z110" s="80">
        <v>0</v>
      </c>
      <c r="AA110" s="80">
        <v>0</v>
      </c>
      <c r="AB110" s="80">
        <v>0</v>
      </c>
      <c r="AC110" s="80">
        <v>0</v>
      </c>
      <c r="AD110" s="80">
        <v>0</v>
      </c>
      <c r="AE110" s="80">
        <v>0</v>
      </c>
      <c r="AF110" s="80">
        <v>0</v>
      </c>
      <c r="AG110" s="1007">
        <v>0</v>
      </c>
      <c r="AH110" s="1337">
        <v>0</v>
      </c>
      <c r="AI110" s="80">
        <f t="shared" si="53"/>
        <v>837.29212240537595</v>
      </c>
    </row>
    <row r="111" spans="2:35" s="463" customFormat="1">
      <c r="B111" s="364" t="s">
        <v>704</v>
      </c>
      <c r="C111" s="340">
        <v>116.69121895000001</v>
      </c>
      <c r="D111" s="340">
        <v>0</v>
      </c>
      <c r="E111" s="340">
        <v>0</v>
      </c>
      <c r="F111" s="340">
        <v>0</v>
      </c>
      <c r="G111" s="340">
        <v>0</v>
      </c>
      <c r="H111" s="340">
        <v>0</v>
      </c>
      <c r="I111" s="80">
        <v>0</v>
      </c>
      <c r="J111" s="340">
        <v>0</v>
      </c>
      <c r="K111" s="340">
        <v>0</v>
      </c>
      <c r="L111" s="340">
        <v>0</v>
      </c>
      <c r="M111" s="340">
        <v>0</v>
      </c>
      <c r="N111" s="340">
        <v>0</v>
      </c>
      <c r="O111" s="340">
        <v>0</v>
      </c>
      <c r="P111" s="340">
        <v>0</v>
      </c>
      <c r="Q111" s="340">
        <v>0</v>
      </c>
      <c r="R111" s="340">
        <v>0</v>
      </c>
      <c r="S111" s="340">
        <v>0</v>
      </c>
      <c r="T111" s="340">
        <v>0</v>
      </c>
      <c r="U111" s="340">
        <v>0</v>
      </c>
      <c r="V111" s="340">
        <v>0</v>
      </c>
      <c r="W111" s="340">
        <v>0</v>
      </c>
      <c r="X111" s="340">
        <v>0</v>
      </c>
      <c r="Y111" s="340">
        <v>0</v>
      </c>
      <c r="Z111" s="340">
        <v>0</v>
      </c>
      <c r="AA111" s="340">
        <v>0</v>
      </c>
      <c r="AB111" s="340">
        <v>0</v>
      </c>
      <c r="AC111" s="340">
        <v>0</v>
      </c>
      <c r="AD111" s="340">
        <v>0</v>
      </c>
      <c r="AE111" s="340">
        <v>0</v>
      </c>
      <c r="AF111" s="340">
        <v>0</v>
      </c>
      <c r="AG111" s="1011">
        <v>0</v>
      </c>
      <c r="AH111" s="1333">
        <v>0</v>
      </c>
      <c r="AI111" s="1007">
        <f t="shared" si="53"/>
        <v>116.69121895000001</v>
      </c>
    </row>
    <row r="112" spans="2:35" s="463" customFormat="1">
      <c r="B112" s="339" t="s">
        <v>702</v>
      </c>
      <c r="C112" s="340">
        <v>84.81139395999999</v>
      </c>
      <c r="D112" s="340">
        <v>0</v>
      </c>
      <c r="E112" s="340">
        <v>0</v>
      </c>
      <c r="F112" s="340">
        <v>0</v>
      </c>
      <c r="G112" s="340">
        <v>0</v>
      </c>
      <c r="H112" s="340">
        <v>0</v>
      </c>
      <c r="I112" s="80">
        <v>0</v>
      </c>
      <c r="J112" s="340">
        <v>0</v>
      </c>
      <c r="K112" s="340">
        <v>0</v>
      </c>
      <c r="L112" s="340">
        <v>0</v>
      </c>
      <c r="M112" s="340">
        <v>0</v>
      </c>
      <c r="N112" s="340">
        <v>0</v>
      </c>
      <c r="O112" s="340">
        <v>0</v>
      </c>
      <c r="P112" s="340">
        <v>0</v>
      </c>
      <c r="Q112" s="340">
        <v>0</v>
      </c>
      <c r="R112" s="340">
        <v>0</v>
      </c>
      <c r="S112" s="340">
        <v>0</v>
      </c>
      <c r="T112" s="340">
        <v>0</v>
      </c>
      <c r="U112" s="340">
        <v>0</v>
      </c>
      <c r="V112" s="340">
        <v>0</v>
      </c>
      <c r="W112" s="340">
        <v>0</v>
      </c>
      <c r="X112" s="340">
        <v>0</v>
      </c>
      <c r="Y112" s="340">
        <v>0</v>
      </c>
      <c r="Z112" s="340">
        <v>0</v>
      </c>
      <c r="AA112" s="340">
        <v>0</v>
      </c>
      <c r="AB112" s="340">
        <v>0</v>
      </c>
      <c r="AC112" s="340">
        <v>0</v>
      </c>
      <c r="AD112" s="340">
        <v>0</v>
      </c>
      <c r="AE112" s="340">
        <v>0</v>
      </c>
      <c r="AF112" s="340">
        <v>0</v>
      </c>
      <c r="AG112" s="1011">
        <v>0</v>
      </c>
      <c r="AH112" s="1333">
        <v>0</v>
      </c>
      <c r="AI112" s="80">
        <f t="shared" si="53"/>
        <v>84.81139395999999</v>
      </c>
    </row>
    <row r="113" spans="2:35" s="463" customFormat="1">
      <c r="B113" s="339" t="s">
        <v>703</v>
      </c>
      <c r="C113" s="340">
        <v>76.363170869620703</v>
      </c>
      <c r="D113" s="340">
        <v>76.363170869620703</v>
      </c>
      <c r="E113" s="340">
        <v>76.363170869620703</v>
      </c>
      <c r="F113" s="340">
        <v>0</v>
      </c>
      <c r="G113" s="340">
        <v>0</v>
      </c>
      <c r="H113" s="340">
        <v>0</v>
      </c>
      <c r="I113" s="80">
        <v>0</v>
      </c>
      <c r="J113" s="340">
        <v>0</v>
      </c>
      <c r="K113" s="340">
        <v>0</v>
      </c>
      <c r="L113" s="340">
        <v>0</v>
      </c>
      <c r="M113" s="340">
        <v>0</v>
      </c>
      <c r="N113" s="340">
        <v>0</v>
      </c>
      <c r="O113" s="340">
        <v>0</v>
      </c>
      <c r="P113" s="340">
        <v>0</v>
      </c>
      <c r="Q113" s="340">
        <v>0</v>
      </c>
      <c r="R113" s="340">
        <v>0</v>
      </c>
      <c r="S113" s="340">
        <v>0</v>
      </c>
      <c r="T113" s="340">
        <v>0</v>
      </c>
      <c r="U113" s="340">
        <v>0</v>
      </c>
      <c r="V113" s="340">
        <v>0</v>
      </c>
      <c r="W113" s="340">
        <v>0</v>
      </c>
      <c r="X113" s="340">
        <v>0</v>
      </c>
      <c r="Y113" s="340">
        <v>0</v>
      </c>
      <c r="Z113" s="340">
        <v>0</v>
      </c>
      <c r="AA113" s="340">
        <v>0</v>
      </c>
      <c r="AB113" s="340">
        <v>0</v>
      </c>
      <c r="AC113" s="340">
        <v>0</v>
      </c>
      <c r="AD113" s="340">
        <v>0</v>
      </c>
      <c r="AE113" s="340">
        <v>0</v>
      </c>
      <c r="AF113" s="340">
        <v>0</v>
      </c>
      <c r="AG113" s="1011">
        <v>0</v>
      </c>
      <c r="AH113" s="1333">
        <v>0</v>
      </c>
      <c r="AI113" s="80">
        <f t="shared" si="53"/>
        <v>229.08951260886209</v>
      </c>
    </row>
    <row r="114" spans="2:35" s="463" customFormat="1">
      <c r="B114" s="364" t="s">
        <v>714</v>
      </c>
      <c r="C114" s="340">
        <v>333.88194838994701</v>
      </c>
      <c r="D114" s="340">
        <v>83.926609977800908</v>
      </c>
      <c r="E114" s="340">
        <v>0</v>
      </c>
      <c r="F114" s="340">
        <v>0</v>
      </c>
      <c r="G114" s="340">
        <v>0</v>
      </c>
      <c r="H114" s="340">
        <v>0</v>
      </c>
      <c r="I114" s="80">
        <v>0</v>
      </c>
      <c r="J114" s="340">
        <v>0</v>
      </c>
      <c r="K114" s="340">
        <v>0</v>
      </c>
      <c r="L114" s="340">
        <v>0</v>
      </c>
      <c r="M114" s="340">
        <v>0</v>
      </c>
      <c r="N114" s="340">
        <v>0</v>
      </c>
      <c r="O114" s="340">
        <v>0</v>
      </c>
      <c r="P114" s="340">
        <v>0</v>
      </c>
      <c r="Q114" s="340">
        <v>0</v>
      </c>
      <c r="R114" s="340">
        <v>0</v>
      </c>
      <c r="S114" s="340">
        <v>0</v>
      </c>
      <c r="T114" s="340">
        <v>0</v>
      </c>
      <c r="U114" s="340">
        <v>0</v>
      </c>
      <c r="V114" s="340">
        <v>0</v>
      </c>
      <c r="W114" s="340">
        <v>0</v>
      </c>
      <c r="X114" s="340">
        <v>0</v>
      </c>
      <c r="Y114" s="340">
        <v>0</v>
      </c>
      <c r="Z114" s="340">
        <v>0</v>
      </c>
      <c r="AA114" s="340">
        <v>0</v>
      </c>
      <c r="AB114" s="340">
        <v>0</v>
      </c>
      <c r="AC114" s="340">
        <v>0</v>
      </c>
      <c r="AD114" s="340">
        <v>0</v>
      </c>
      <c r="AE114" s="340">
        <v>0</v>
      </c>
      <c r="AF114" s="340">
        <v>0</v>
      </c>
      <c r="AG114" s="1011">
        <v>0</v>
      </c>
      <c r="AH114" s="1333">
        <v>0</v>
      </c>
      <c r="AI114" s="80">
        <f t="shared" si="53"/>
        <v>417.80855836774793</v>
      </c>
    </row>
    <row r="115" spans="2:35" s="463" customFormat="1">
      <c r="B115" s="339" t="s">
        <v>830</v>
      </c>
      <c r="C115" s="80">
        <v>0</v>
      </c>
      <c r="D115" s="80">
        <v>0</v>
      </c>
      <c r="E115" s="80">
        <v>0</v>
      </c>
      <c r="F115" s="80">
        <v>0</v>
      </c>
      <c r="G115" s="80">
        <v>0</v>
      </c>
      <c r="H115" s="80">
        <v>0</v>
      </c>
      <c r="I115" s="80">
        <v>0</v>
      </c>
      <c r="J115" s="80">
        <v>0</v>
      </c>
      <c r="K115" s="80">
        <v>0</v>
      </c>
      <c r="L115" s="80">
        <v>0</v>
      </c>
      <c r="M115" s="80">
        <v>0</v>
      </c>
      <c r="N115" s="80">
        <v>0</v>
      </c>
      <c r="O115" s="80">
        <v>0</v>
      </c>
      <c r="P115" s="80">
        <v>0</v>
      </c>
      <c r="Q115" s="80">
        <v>0</v>
      </c>
      <c r="R115" s="80">
        <v>0</v>
      </c>
      <c r="S115" s="80">
        <v>0</v>
      </c>
      <c r="T115" s="80">
        <v>0</v>
      </c>
      <c r="U115" s="80">
        <v>0</v>
      </c>
      <c r="V115" s="80">
        <v>0</v>
      </c>
      <c r="W115" s="80">
        <v>0</v>
      </c>
      <c r="X115" s="80">
        <v>0</v>
      </c>
      <c r="Y115" s="80">
        <v>0</v>
      </c>
      <c r="Z115" s="80">
        <v>0</v>
      </c>
      <c r="AA115" s="80">
        <v>0</v>
      </c>
      <c r="AB115" s="80">
        <v>0</v>
      </c>
      <c r="AC115" s="80">
        <v>0</v>
      </c>
      <c r="AD115" s="80">
        <v>0</v>
      </c>
      <c r="AE115" s="80">
        <v>0</v>
      </c>
      <c r="AF115" s="80">
        <v>0</v>
      </c>
      <c r="AG115" s="1007">
        <v>0</v>
      </c>
      <c r="AH115" s="1337">
        <v>0</v>
      </c>
      <c r="AI115" s="80">
        <f t="shared" si="53"/>
        <v>0</v>
      </c>
    </row>
    <row r="116" spans="2:35" s="1012" customFormat="1">
      <c r="B116" s="1008" t="s">
        <v>79</v>
      </c>
      <c r="C116" s="1007">
        <v>554.4557915800001</v>
      </c>
      <c r="D116" s="1007">
        <v>501.91429811</v>
      </c>
      <c r="E116" s="1007">
        <v>401.03439199000002</v>
      </c>
      <c r="F116" s="1007">
        <v>319.22243414000002</v>
      </c>
      <c r="G116" s="1007">
        <v>217.34109432000002</v>
      </c>
      <c r="H116" s="1007">
        <v>77.149865629999994</v>
      </c>
      <c r="I116" s="1007">
        <v>15.795483520000001</v>
      </c>
      <c r="J116" s="1007">
        <v>13.40037442</v>
      </c>
      <c r="K116" s="1007">
        <v>13.43708777</v>
      </c>
      <c r="L116" s="1007">
        <v>13.36366106</v>
      </c>
      <c r="M116" s="1007">
        <v>0</v>
      </c>
      <c r="N116" s="1007">
        <v>0</v>
      </c>
      <c r="O116" s="1007">
        <v>0</v>
      </c>
      <c r="P116" s="1007">
        <v>0</v>
      </c>
      <c r="Q116" s="1007">
        <v>0</v>
      </c>
      <c r="R116" s="1007">
        <v>0</v>
      </c>
      <c r="S116" s="1007">
        <v>0</v>
      </c>
      <c r="T116" s="1007">
        <v>0</v>
      </c>
      <c r="U116" s="1007">
        <v>0</v>
      </c>
      <c r="V116" s="1007">
        <v>0</v>
      </c>
      <c r="W116" s="1007">
        <v>0</v>
      </c>
      <c r="X116" s="1007">
        <v>0</v>
      </c>
      <c r="Y116" s="1007">
        <v>0</v>
      </c>
      <c r="Z116" s="1007">
        <v>0</v>
      </c>
      <c r="AA116" s="1007">
        <v>0</v>
      </c>
      <c r="AB116" s="1007">
        <v>0</v>
      </c>
      <c r="AC116" s="1007">
        <v>0</v>
      </c>
      <c r="AD116" s="1007">
        <v>0</v>
      </c>
      <c r="AE116" s="1007">
        <v>0</v>
      </c>
      <c r="AF116" s="1007">
        <v>0</v>
      </c>
      <c r="AG116" s="1007">
        <v>0</v>
      </c>
      <c r="AH116" s="1337">
        <v>0</v>
      </c>
      <c r="AI116" s="1007">
        <f t="shared" si="53"/>
        <v>2127.1144825400002</v>
      </c>
    </row>
    <row r="117" spans="2:35" s="463" customFormat="1">
      <c r="B117" s="339" t="s">
        <v>220</v>
      </c>
      <c r="C117" s="340">
        <f t="shared" ref="C117:G117" si="54">+C118+C119</f>
        <v>785.85238689529024</v>
      </c>
      <c r="D117" s="340">
        <f t="shared" si="54"/>
        <v>0</v>
      </c>
      <c r="E117" s="340">
        <f t="shared" si="54"/>
        <v>0</v>
      </c>
      <c r="F117" s="340">
        <f t="shared" si="54"/>
        <v>0</v>
      </c>
      <c r="G117" s="340">
        <f t="shared" si="54"/>
        <v>0</v>
      </c>
      <c r="H117" s="340">
        <f t="shared" ref="H117:AH117" si="55">+H118+H119</f>
        <v>0</v>
      </c>
      <c r="I117" s="340">
        <f t="shared" si="55"/>
        <v>0</v>
      </c>
      <c r="J117" s="340">
        <f t="shared" si="55"/>
        <v>0</v>
      </c>
      <c r="K117" s="340">
        <f t="shared" si="55"/>
        <v>0</v>
      </c>
      <c r="L117" s="340">
        <f t="shared" si="55"/>
        <v>0</v>
      </c>
      <c r="M117" s="340">
        <f t="shared" si="55"/>
        <v>0</v>
      </c>
      <c r="N117" s="340">
        <f t="shared" si="55"/>
        <v>0</v>
      </c>
      <c r="O117" s="340">
        <f t="shared" si="55"/>
        <v>0</v>
      </c>
      <c r="P117" s="340">
        <f t="shared" si="55"/>
        <v>0</v>
      </c>
      <c r="Q117" s="340">
        <f t="shared" si="55"/>
        <v>0</v>
      </c>
      <c r="R117" s="340">
        <f t="shared" si="55"/>
        <v>0</v>
      </c>
      <c r="S117" s="340">
        <f t="shared" si="55"/>
        <v>0</v>
      </c>
      <c r="T117" s="340">
        <f t="shared" si="55"/>
        <v>0</v>
      </c>
      <c r="U117" s="340">
        <f t="shared" si="55"/>
        <v>0</v>
      </c>
      <c r="V117" s="340">
        <f t="shared" si="55"/>
        <v>0</v>
      </c>
      <c r="W117" s="340">
        <f t="shared" si="55"/>
        <v>0</v>
      </c>
      <c r="X117" s="340">
        <f t="shared" si="55"/>
        <v>0</v>
      </c>
      <c r="Y117" s="340">
        <f t="shared" si="55"/>
        <v>0</v>
      </c>
      <c r="Z117" s="340">
        <f t="shared" si="55"/>
        <v>0</v>
      </c>
      <c r="AA117" s="340">
        <f t="shared" si="55"/>
        <v>0</v>
      </c>
      <c r="AB117" s="340">
        <f t="shared" si="55"/>
        <v>0</v>
      </c>
      <c r="AC117" s="340">
        <f t="shared" si="55"/>
        <v>0</v>
      </c>
      <c r="AD117" s="340">
        <f t="shared" si="55"/>
        <v>0</v>
      </c>
      <c r="AE117" s="340">
        <f t="shared" si="55"/>
        <v>0</v>
      </c>
      <c r="AF117" s="340">
        <f t="shared" si="55"/>
        <v>0</v>
      </c>
      <c r="AG117" s="1011">
        <f t="shared" ref="AG117" si="56">+AG118+AG119</f>
        <v>0</v>
      </c>
      <c r="AH117" s="1333">
        <f t="shared" si="55"/>
        <v>0</v>
      </c>
      <c r="AI117" s="80">
        <f t="shared" si="53"/>
        <v>785.85238689529024</v>
      </c>
    </row>
    <row r="118" spans="2:35" s="463" customFormat="1">
      <c r="B118" s="347" t="s">
        <v>72</v>
      </c>
      <c r="C118" s="343">
        <v>785.85238689529024</v>
      </c>
      <c r="D118" s="343">
        <v>0</v>
      </c>
      <c r="E118" s="343">
        <v>0</v>
      </c>
      <c r="F118" s="343">
        <v>0</v>
      </c>
      <c r="G118" s="343">
        <v>0</v>
      </c>
      <c r="H118" s="343">
        <v>0</v>
      </c>
      <c r="I118" s="83">
        <v>0</v>
      </c>
      <c r="J118" s="343">
        <v>0</v>
      </c>
      <c r="K118" s="343">
        <v>0</v>
      </c>
      <c r="L118" s="343">
        <v>0</v>
      </c>
      <c r="M118" s="343">
        <v>0</v>
      </c>
      <c r="N118" s="343">
        <v>0</v>
      </c>
      <c r="O118" s="343">
        <v>0</v>
      </c>
      <c r="P118" s="343">
        <v>0</v>
      </c>
      <c r="Q118" s="343">
        <v>0</v>
      </c>
      <c r="R118" s="343">
        <v>0</v>
      </c>
      <c r="S118" s="343">
        <v>0</v>
      </c>
      <c r="T118" s="343">
        <v>0</v>
      </c>
      <c r="U118" s="343">
        <v>0</v>
      </c>
      <c r="V118" s="343">
        <v>0</v>
      </c>
      <c r="W118" s="343">
        <v>0</v>
      </c>
      <c r="X118" s="343">
        <v>0</v>
      </c>
      <c r="Y118" s="343">
        <v>0</v>
      </c>
      <c r="Z118" s="343">
        <v>0</v>
      </c>
      <c r="AA118" s="343">
        <v>0</v>
      </c>
      <c r="AB118" s="343">
        <v>0</v>
      </c>
      <c r="AC118" s="343">
        <v>0</v>
      </c>
      <c r="AD118" s="343">
        <v>0</v>
      </c>
      <c r="AE118" s="343">
        <v>0</v>
      </c>
      <c r="AF118" s="343">
        <v>0</v>
      </c>
      <c r="AG118" s="1000">
        <v>0</v>
      </c>
      <c r="AH118" s="1325">
        <v>0</v>
      </c>
      <c r="AI118" s="83">
        <f t="shared" si="53"/>
        <v>785.85238689529024</v>
      </c>
    </row>
    <row r="119" spans="2:35" s="463" customFormat="1">
      <c r="B119" s="377" t="s">
        <v>70</v>
      </c>
      <c r="C119" s="344">
        <v>0</v>
      </c>
      <c r="D119" s="344">
        <v>0</v>
      </c>
      <c r="E119" s="344">
        <v>0</v>
      </c>
      <c r="F119" s="344">
        <v>0</v>
      </c>
      <c r="G119" s="344">
        <v>0</v>
      </c>
      <c r="H119" s="344">
        <v>0</v>
      </c>
      <c r="I119" s="82">
        <v>0</v>
      </c>
      <c r="J119" s="344">
        <v>0</v>
      </c>
      <c r="K119" s="344">
        <v>0</v>
      </c>
      <c r="L119" s="344">
        <v>0</v>
      </c>
      <c r="M119" s="344">
        <v>0</v>
      </c>
      <c r="N119" s="344">
        <v>0</v>
      </c>
      <c r="O119" s="344">
        <v>0</v>
      </c>
      <c r="P119" s="344">
        <v>0</v>
      </c>
      <c r="Q119" s="344">
        <v>0</v>
      </c>
      <c r="R119" s="344">
        <v>0</v>
      </c>
      <c r="S119" s="344">
        <v>0</v>
      </c>
      <c r="T119" s="344">
        <v>0</v>
      </c>
      <c r="U119" s="344">
        <v>0</v>
      </c>
      <c r="V119" s="344">
        <v>0</v>
      </c>
      <c r="W119" s="344">
        <v>0</v>
      </c>
      <c r="X119" s="344">
        <v>0</v>
      </c>
      <c r="Y119" s="344">
        <v>0</v>
      </c>
      <c r="Z119" s="344">
        <v>0</v>
      </c>
      <c r="AA119" s="344">
        <v>0</v>
      </c>
      <c r="AB119" s="344">
        <v>0</v>
      </c>
      <c r="AC119" s="344">
        <v>0</v>
      </c>
      <c r="AD119" s="344">
        <v>0</v>
      </c>
      <c r="AE119" s="344">
        <v>0</v>
      </c>
      <c r="AF119" s="344">
        <v>0</v>
      </c>
      <c r="AG119" s="987">
        <v>0</v>
      </c>
      <c r="AH119" s="1326">
        <v>0</v>
      </c>
      <c r="AI119" s="82">
        <f t="shared" si="53"/>
        <v>0</v>
      </c>
    </row>
    <row r="120" spans="2:35" s="463" customFormat="1">
      <c r="B120" s="339" t="s">
        <v>344</v>
      </c>
      <c r="C120" s="340">
        <f t="shared" ref="C120:H120" si="57">+C121+C126</f>
        <v>64.170702206392278</v>
      </c>
      <c r="D120" s="340">
        <f t="shared" si="57"/>
        <v>41.823920035387246</v>
      </c>
      <c r="E120" s="340">
        <f t="shared" si="57"/>
        <v>19.649111606857144</v>
      </c>
      <c r="F120" s="340">
        <f t="shared" si="57"/>
        <v>0.88453634557027994</v>
      </c>
      <c r="G120" s="340">
        <f t="shared" si="57"/>
        <v>0.1039697671496731</v>
      </c>
      <c r="H120" s="340">
        <f t="shared" si="57"/>
        <v>5.2260000000000001E-2</v>
      </c>
      <c r="I120" s="340">
        <f t="shared" ref="I120:AH120" si="58">+I121+I126</f>
        <v>5.2260000000000001E-2</v>
      </c>
      <c r="J120" s="340">
        <f t="shared" si="58"/>
        <v>5.2260000000000001E-2</v>
      </c>
      <c r="K120" s="340">
        <f t="shared" si="58"/>
        <v>0</v>
      </c>
      <c r="L120" s="340">
        <f t="shared" si="58"/>
        <v>0</v>
      </c>
      <c r="M120" s="340">
        <f t="shared" si="58"/>
        <v>0</v>
      </c>
      <c r="N120" s="340">
        <f t="shared" si="58"/>
        <v>0</v>
      </c>
      <c r="O120" s="340">
        <f t="shared" si="58"/>
        <v>0</v>
      </c>
      <c r="P120" s="340">
        <f t="shared" si="58"/>
        <v>0</v>
      </c>
      <c r="Q120" s="340">
        <f t="shared" si="58"/>
        <v>0</v>
      </c>
      <c r="R120" s="340">
        <f t="shared" si="58"/>
        <v>0</v>
      </c>
      <c r="S120" s="340">
        <f t="shared" si="58"/>
        <v>0</v>
      </c>
      <c r="T120" s="340">
        <f t="shared" si="58"/>
        <v>0</v>
      </c>
      <c r="U120" s="340">
        <f t="shared" si="58"/>
        <v>0</v>
      </c>
      <c r="V120" s="340">
        <f t="shared" si="58"/>
        <v>0</v>
      </c>
      <c r="W120" s="340">
        <f t="shared" si="58"/>
        <v>0</v>
      </c>
      <c r="X120" s="340">
        <f t="shared" si="58"/>
        <v>0</v>
      </c>
      <c r="Y120" s="340">
        <f t="shared" si="58"/>
        <v>0</v>
      </c>
      <c r="Z120" s="340">
        <f t="shared" si="58"/>
        <v>0</v>
      </c>
      <c r="AA120" s="340">
        <f t="shared" si="58"/>
        <v>0</v>
      </c>
      <c r="AB120" s="340">
        <f t="shared" si="58"/>
        <v>0</v>
      </c>
      <c r="AC120" s="340">
        <f t="shared" si="58"/>
        <v>0</v>
      </c>
      <c r="AD120" s="340">
        <f t="shared" si="58"/>
        <v>0</v>
      </c>
      <c r="AE120" s="340">
        <f t="shared" si="58"/>
        <v>0</v>
      </c>
      <c r="AF120" s="340">
        <f t="shared" si="58"/>
        <v>0</v>
      </c>
      <c r="AG120" s="1011">
        <f t="shared" ref="AG120" si="59">+AG121+AG126</f>
        <v>0</v>
      </c>
      <c r="AH120" s="1333">
        <f t="shared" si="58"/>
        <v>0</v>
      </c>
      <c r="AI120" s="80">
        <f t="shared" si="53"/>
        <v>126.78901996135664</v>
      </c>
    </row>
    <row r="121" spans="2:35" s="463" customFormat="1">
      <c r="B121" s="346" t="s">
        <v>72</v>
      </c>
      <c r="C121" s="367">
        <f t="shared" ref="C121:G121" si="60">+C122+C124</f>
        <v>64.118442206392274</v>
      </c>
      <c r="D121" s="367">
        <f t="shared" si="60"/>
        <v>41.771660035387249</v>
      </c>
      <c r="E121" s="367">
        <f t="shared" si="60"/>
        <v>19.596851606857143</v>
      </c>
      <c r="F121" s="367">
        <f t="shared" si="60"/>
        <v>0.83227634557027996</v>
      </c>
      <c r="G121" s="367">
        <f t="shared" si="60"/>
        <v>5.1709767149673097E-2</v>
      </c>
      <c r="H121" s="367">
        <f t="shared" ref="H121:AH121" si="61">+H122+H124</f>
        <v>0</v>
      </c>
      <c r="I121" s="367">
        <f t="shared" si="61"/>
        <v>0</v>
      </c>
      <c r="J121" s="367">
        <f t="shared" si="61"/>
        <v>0</v>
      </c>
      <c r="K121" s="367">
        <f t="shared" si="61"/>
        <v>0</v>
      </c>
      <c r="L121" s="367">
        <f t="shared" si="61"/>
        <v>0</v>
      </c>
      <c r="M121" s="367">
        <f t="shared" si="61"/>
        <v>0</v>
      </c>
      <c r="N121" s="367">
        <f t="shared" si="61"/>
        <v>0</v>
      </c>
      <c r="O121" s="367">
        <f t="shared" si="61"/>
        <v>0</v>
      </c>
      <c r="P121" s="367">
        <f t="shared" si="61"/>
        <v>0</v>
      </c>
      <c r="Q121" s="367">
        <f t="shared" si="61"/>
        <v>0</v>
      </c>
      <c r="R121" s="367">
        <f t="shared" si="61"/>
        <v>0</v>
      </c>
      <c r="S121" s="367">
        <f t="shared" si="61"/>
        <v>0</v>
      </c>
      <c r="T121" s="367">
        <f t="shared" si="61"/>
        <v>0</v>
      </c>
      <c r="U121" s="367">
        <f t="shared" si="61"/>
        <v>0</v>
      </c>
      <c r="V121" s="367">
        <f t="shared" si="61"/>
        <v>0</v>
      </c>
      <c r="W121" s="367">
        <f t="shared" si="61"/>
        <v>0</v>
      </c>
      <c r="X121" s="367">
        <f t="shared" si="61"/>
        <v>0</v>
      </c>
      <c r="Y121" s="367">
        <f t="shared" si="61"/>
        <v>0</v>
      </c>
      <c r="Z121" s="367">
        <f t="shared" si="61"/>
        <v>0</v>
      </c>
      <c r="AA121" s="367">
        <f t="shared" si="61"/>
        <v>0</v>
      </c>
      <c r="AB121" s="367">
        <f t="shared" si="61"/>
        <v>0</v>
      </c>
      <c r="AC121" s="367">
        <f t="shared" si="61"/>
        <v>0</v>
      </c>
      <c r="AD121" s="367">
        <f t="shared" si="61"/>
        <v>0</v>
      </c>
      <c r="AE121" s="367">
        <f t="shared" si="61"/>
        <v>0</v>
      </c>
      <c r="AF121" s="367">
        <f t="shared" si="61"/>
        <v>0</v>
      </c>
      <c r="AG121" s="367">
        <f t="shared" ref="AG121" si="62">+AG122+AG124</f>
        <v>0</v>
      </c>
      <c r="AH121" s="1338">
        <f t="shared" si="61"/>
        <v>0</v>
      </c>
      <c r="AI121" s="94">
        <f t="shared" si="53"/>
        <v>126.37093996135661</v>
      </c>
    </row>
    <row r="122" spans="2:35" s="463" customFormat="1">
      <c r="B122" s="350" t="s">
        <v>82</v>
      </c>
      <c r="C122" s="368">
        <f t="shared" ref="C122:G122" si="63">+C123</f>
        <v>3.8343870791282701</v>
      </c>
      <c r="D122" s="368">
        <f t="shared" si="63"/>
        <v>2.83367563625055</v>
      </c>
      <c r="E122" s="368">
        <f t="shared" si="63"/>
        <v>1.8329759955938401</v>
      </c>
      <c r="F122" s="368">
        <f t="shared" si="63"/>
        <v>0.83227634557027996</v>
      </c>
      <c r="G122" s="368">
        <f t="shared" si="63"/>
        <v>5.1709767149673097E-2</v>
      </c>
      <c r="H122" s="368">
        <f t="shared" ref="H122:AH122" si="64">+H123</f>
        <v>0</v>
      </c>
      <c r="I122" s="368">
        <f t="shared" si="64"/>
        <v>0</v>
      </c>
      <c r="J122" s="368">
        <f t="shared" si="64"/>
        <v>0</v>
      </c>
      <c r="K122" s="368">
        <f t="shared" si="64"/>
        <v>0</v>
      </c>
      <c r="L122" s="368">
        <f t="shared" si="64"/>
        <v>0</v>
      </c>
      <c r="M122" s="368">
        <f t="shared" si="64"/>
        <v>0</v>
      </c>
      <c r="N122" s="368">
        <f t="shared" si="64"/>
        <v>0</v>
      </c>
      <c r="O122" s="368">
        <f t="shared" si="64"/>
        <v>0</v>
      </c>
      <c r="P122" s="368">
        <f t="shared" si="64"/>
        <v>0</v>
      </c>
      <c r="Q122" s="368">
        <f t="shared" si="64"/>
        <v>0</v>
      </c>
      <c r="R122" s="368">
        <f t="shared" si="64"/>
        <v>0</v>
      </c>
      <c r="S122" s="368">
        <f t="shared" si="64"/>
        <v>0</v>
      </c>
      <c r="T122" s="368">
        <f t="shared" si="64"/>
        <v>0</v>
      </c>
      <c r="U122" s="368">
        <f t="shared" si="64"/>
        <v>0</v>
      </c>
      <c r="V122" s="368">
        <f t="shared" si="64"/>
        <v>0</v>
      </c>
      <c r="W122" s="368">
        <f t="shared" si="64"/>
        <v>0</v>
      </c>
      <c r="X122" s="368">
        <f t="shared" si="64"/>
        <v>0</v>
      </c>
      <c r="Y122" s="368">
        <f t="shared" si="64"/>
        <v>0</v>
      </c>
      <c r="Z122" s="368">
        <f t="shared" si="64"/>
        <v>0</v>
      </c>
      <c r="AA122" s="368">
        <f t="shared" si="64"/>
        <v>0</v>
      </c>
      <c r="AB122" s="368">
        <f t="shared" si="64"/>
        <v>0</v>
      </c>
      <c r="AC122" s="368">
        <f t="shared" si="64"/>
        <v>0</v>
      </c>
      <c r="AD122" s="368">
        <f t="shared" si="64"/>
        <v>0</v>
      </c>
      <c r="AE122" s="368">
        <f t="shared" si="64"/>
        <v>0</v>
      </c>
      <c r="AF122" s="368">
        <f t="shared" si="64"/>
        <v>0</v>
      </c>
      <c r="AG122" s="1003">
        <f t="shared" si="64"/>
        <v>0</v>
      </c>
      <c r="AH122" s="1339">
        <f t="shared" si="64"/>
        <v>0</v>
      </c>
      <c r="AI122" s="81">
        <f t="shared" si="53"/>
        <v>9.3850248236926124</v>
      </c>
    </row>
    <row r="123" spans="2:35" s="463" customFormat="1">
      <c r="B123" s="350" t="s">
        <v>813</v>
      </c>
      <c r="C123" s="368">
        <v>3.8343870791282701</v>
      </c>
      <c r="D123" s="368">
        <v>2.83367563625055</v>
      </c>
      <c r="E123" s="368">
        <v>1.8329759955938401</v>
      </c>
      <c r="F123" s="368">
        <v>0.83227634557027996</v>
      </c>
      <c r="G123" s="368">
        <v>5.1709767149673097E-2</v>
      </c>
      <c r="H123" s="368">
        <v>0</v>
      </c>
      <c r="I123" s="81">
        <v>0</v>
      </c>
      <c r="J123" s="368">
        <v>0</v>
      </c>
      <c r="K123" s="368">
        <v>0</v>
      </c>
      <c r="L123" s="368">
        <v>0</v>
      </c>
      <c r="M123" s="368">
        <v>0</v>
      </c>
      <c r="N123" s="368">
        <v>0</v>
      </c>
      <c r="O123" s="368">
        <v>0</v>
      </c>
      <c r="P123" s="368">
        <v>0</v>
      </c>
      <c r="Q123" s="368">
        <v>0</v>
      </c>
      <c r="R123" s="368">
        <v>0</v>
      </c>
      <c r="S123" s="368">
        <v>0</v>
      </c>
      <c r="T123" s="368">
        <v>0</v>
      </c>
      <c r="U123" s="368">
        <v>0</v>
      </c>
      <c r="V123" s="368">
        <v>0</v>
      </c>
      <c r="W123" s="368">
        <v>0</v>
      </c>
      <c r="X123" s="368">
        <v>0</v>
      </c>
      <c r="Y123" s="368">
        <v>0</v>
      </c>
      <c r="Z123" s="368">
        <v>0</v>
      </c>
      <c r="AA123" s="368">
        <v>0</v>
      </c>
      <c r="AB123" s="368">
        <v>0</v>
      </c>
      <c r="AC123" s="368">
        <v>0</v>
      </c>
      <c r="AD123" s="368">
        <v>0</v>
      </c>
      <c r="AE123" s="368">
        <v>0</v>
      </c>
      <c r="AF123" s="368">
        <v>0</v>
      </c>
      <c r="AG123" s="1003">
        <v>0</v>
      </c>
      <c r="AH123" s="1339">
        <v>0</v>
      </c>
      <c r="AI123" s="81">
        <f t="shared" si="53"/>
        <v>9.3850248236926124</v>
      </c>
    </row>
    <row r="124" spans="2:35" s="463" customFormat="1">
      <c r="B124" s="369" t="s">
        <v>86</v>
      </c>
      <c r="C124" s="368">
        <f t="shared" ref="C124:G124" si="65">+C125</f>
        <v>60.284055127263997</v>
      </c>
      <c r="D124" s="368">
        <f t="shared" si="65"/>
        <v>38.937984399136703</v>
      </c>
      <c r="E124" s="368">
        <f t="shared" si="65"/>
        <v>17.763875611263302</v>
      </c>
      <c r="F124" s="368">
        <f t="shared" si="65"/>
        <v>0</v>
      </c>
      <c r="G124" s="368">
        <f t="shared" si="65"/>
        <v>0</v>
      </c>
      <c r="H124" s="368">
        <f t="shared" ref="H124:AH124" si="66">+H125</f>
        <v>0</v>
      </c>
      <c r="I124" s="368">
        <f t="shared" si="66"/>
        <v>0</v>
      </c>
      <c r="J124" s="368">
        <f t="shared" si="66"/>
        <v>0</v>
      </c>
      <c r="K124" s="368">
        <f t="shared" si="66"/>
        <v>0</v>
      </c>
      <c r="L124" s="368">
        <f t="shared" si="66"/>
        <v>0</v>
      </c>
      <c r="M124" s="368">
        <f t="shared" si="66"/>
        <v>0</v>
      </c>
      <c r="N124" s="368">
        <f t="shared" si="66"/>
        <v>0</v>
      </c>
      <c r="O124" s="368">
        <f t="shared" si="66"/>
        <v>0</v>
      </c>
      <c r="P124" s="368">
        <f t="shared" si="66"/>
        <v>0</v>
      </c>
      <c r="Q124" s="368">
        <f t="shared" si="66"/>
        <v>0</v>
      </c>
      <c r="R124" s="368">
        <f t="shared" si="66"/>
        <v>0</v>
      </c>
      <c r="S124" s="368">
        <f t="shared" si="66"/>
        <v>0</v>
      </c>
      <c r="T124" s="368">
        <f t="shared" si="66"/>
        <v>0</v>
      </c>
      <c r="U124" s="368">
        <f t="shared" si="66"/>
        <v>0</v>
      </c>
      <c r="V124" s="368">
        <f t="shared" si="66"/>
        <v>0</v>
      </c>
      <c r="W124" s="368">
        <f t="shared" si="66"/>
        <v>0</v>
      </c>
      <c r="X124" s="368">
        <f t="shared" si="66"/>
        <v>0</v>
      </c>
      <c r="Y124" s="368">
        <f t="shared" si="66"/>
        <v>0</v>
      </c>
      <c r="Z124" s="368">
        <f t="shared" si="66"/>
        <v>0</v>
      </c>
      <c r="AA124" s="368">
        <f t="shared" si="66"/>
        <v>0</v>
      </c>
      <c r="AB124" s="368">
        <f t="shared" si="66"/>
        <v>0</v>
      </c>
      <c r="AC124" s="368">
        <f t="shared" si="66"/>
        <v>0</v>
      </c>
      <c r="AD124" s="368">
        <f t="shared" si="66"/>
        <v>0</v>
      </c>
      <c r="AE124" s="368">
        <f t="shared" si="66"/>
        <v>0</v>
      </c>
      <c r="AF124" s="368">
        <f t="shared" si="66"/>
        <v>0</v>
      </c>
      <c r="AG124" s="1003">
        <f t="shared" si="66"/>
        <v>0</v>
      </c>
      <c r="AH124" s="1339">
        <f t="shared" si="66"/>
        <v>0</v>
      </c>
      <c r="AI124" s="81">
        <f t="shared" si="53"/>
        <v>116.98591513766399</v>
      </c>
    </row>
    <row r="125" spans="2:35" s="463" customFormat="1">
      <c r="B125" s="350" t="s">
        <v>813</v>
      </c>
      <c r="C125" s="368">
        <v>60.284055127263997</v>
      </c>
      <c r="D125" s="368">
        <v>38.937984399136703</v>
      </c>
      <c r="E125" s="368">
        <v>17.763875611263302</v>
      </c>
      <c r="F125" s="368">
        <v>0</v>
      </c>
      <c r="G125" s="368">
        <v>0</v>
      </c>
      <c r="H125" s="368">
        <v>0</v>
      </c>
      <c r="I125" s="81">
        <v>0</v>
      </c>
      <c r="J125" s="368">
        <v>0</v>
      </c>
      <c r="K125" s="368">
        <v>0</v>
      </c>
      <c r="L125" s="368">
        <v>0</v>
      </c>
      <c r="M125" s="368">
        <v>0</v>
      </c>
      <c r="N125" s="368">
        <v>0</v>
      </c>
      <c r="O125" s="368">
        <v>0</v>
      </c>
      <c r="P125" s="368">
        <v>0</v>
      </c>
      <c r="Q125" s="368">
        <v>0</v>
      </c>
      <c r="R125" s="368">
        <v>0</v>
      </c>
      <c r="S125" s="368">
        <v>0</v>
      </c>
      <c r="T125" s="368">
        <v>0</v>
      </c>
      <c r="U125" s="368">
        <v>0</v>
      </c>
      <c r="V125" s="368">
        <v>0</v>
      </c>
      <c r="W125" s="368">
        <v>0</v>
      </c>
      <c r="X125" s="368">
        <v>0</v>
      </c>
      <c r="Y125" s="368">
        <v>0</v>
      </c>
      <c r="Z125" s="368">
        <v>0</v>
      </c>
      <c r="AA125" s="368">
        <v>0</v>
      </c>
      <c r="AB125" s="368">
        <v>0</v>
      </c>
      <c r="AC125" s="368">
        <v>0</v>
      </c>
      <c r="AD125" s="368">
        <v>0</v>
      </c>
      <c r="AE125" s="368">
        <v>0</v>
      </c>
      <c r="AF125" s="368">
        <v>0</v>
      </c>
      <c r="AG125" s="1003">
        <v>0</v>
      </c>
      <c r="AH125" s="1339">
        <v>0</v>
      </c>
      <c r="AI125" s="81">
        <f t="shared" si="53"/>
        <v>116.98591513766399</v>
      </c>
    </row>
    <row r="126" spans="2:35" s="463" customFormat="1" ht="12" customHeight="1">
      <c r="B126" s="347" t="s">
        <v>70</v>
      </c>
      <c r="C126" s="372">
        <f>+C127</f>
        <v>5.2260000000000001E-2</v>
      </c>
      <c r="D126" s="372">
        <f>+D127</f>
        <v>5.2260000000000001E-2</v>
      </c>
      <c r="E126" s="372">
        <f>+E127</f>
        <v>5.2260000000000001E-2</v>
      </c>
      <c r="F126" s="372">
        <f t="shared" ref="F126:AH126" si="67">+F127</f>
        <v>5.2260000000000001E-2</v>
      </c>
      <c r="G126" s="372">
        <f t="shared" si="67"/>
        <v>5.2260000000000001E-2</v>
      </c>
      <c r="H126" s="372">
        <f t="shared" si="67"/>
        <v>5.2260000000000001E-2</v>
      </c>
      <c r="I126" s="372">
        <f t="shared" si="67"/>
        <v>5.2260000000000001E-2</v>
      </c>
      <c r="J126" s="372">
        <f t="shared" si="67"/>
        <v>5.2260000000000001E-2</v>
      </c>
      <c r="K126" s="372">
        <f t="shared" si="67"/>
        <v>0</v>
      </c>
      <c r="L126" s="372">
        <f t="shared" si="67"/>
        <v>0</v>
      </c>
      <c r="M126" s="372">
        <f t="shared" si="67"/>
        <v>0</v>
      </c>
      <c r="N126" s="372">
        <f t="shared" si="67"/>
        <v>0</v>
      </c>
      <c r="O126" s="372">
        <f t="shared" si="67"/>
        <v>0</v>
      </c>
      <c r="P126" s="372">
        <f t="shared" si="67"/>
        <v>0</v>
      </c>
      <c r="Q126" s="372">
        <f t="shared" si="67"/>
        <v>0</v>
      </c>
      <c r="R126" s="372">
        <f t="shared" si="67"/>
        <v>0</v>
      </c>
      <c r="S126" s="372">
        <f t="shared" si="67"/>
        <v>0</v>
      </c>
      <c r="T126" s="372">
        <f t="shared" si="67"/>
        <v>0</v>
      </c>
      <c r="U126" s="372">
        <f t="shared" si="67"/>
        <v>0</v>
      </c>
      <c r="V126" s="372">
        <f t="shared" si="67"/>
        <v>0</v>
      </c>
      <c r="W126" s="372">
        <f t="shared" si="67"/>
        <v>0</v>
      </c>
      <c r="X126" s="372">
        <f t="shared" si="67"/>
        <v>0</v>
      </c>
      <c r="Y126" s="372">
        <f t="shared" si="67"/>
        <v>0</v>
      </c>
      <c r="Z126" s="372">
        <f t="shared" si="67"/>
        <v>0</v>
      </c>
      <c r="AA126" s="372">
        <f t="shared" si="67"/>
        <v>0</v>
      </c>
      <c r="AB126" s="372">
        <f t="shared" si="67"/>
        <v>0</v>
      </c>
      <c r="AC126" s="372">
        <f t="shared" si="67"/>
        <v>0</v>
      </c>
      <c r="AD126" s="372">
        <f t="shared" si="67"/>
        <v>0</v>
      </c>
      <c r="AE126" s="372">
        <f t="shared" si="67"/>
        <v>0</v>
      </c>
      <c r="AF126" s="372">
        <f t="shared" si="67"/>
        <v>0</v>
      </c>
      <c r="AG126" s="372">
        <f t="shared" si="67"/>
        <v>0</v>
      </c>
      <c r="AH126" s="1340">
        <f t="shared" si="67"/>
        <v>0</v>
      </c>
      <c r="AI126" s="83">
        <f t="shared" si="53"/>
        <v>0.4180799999999999</v>
      </c>
    </row>
    <row r="127" spans="2:35" s="463" customFormat="1" ht="12" customHeight="1">
      <c r="B127" s="350" t="s">
        <v>85</v>
      </c>
      <c r="C127" s="368">
        <v>5.2260000000000001E-2</v>
      </c>
      <c r="D127" s="368">
        <v>5.2260000000000001E-2</v>
      </c>
      <c r="E127" s="368">
        <v>5.2260000000000001E-2</v>
      </c>
      <c r="F127" s="368">
        <v>5.2260000000000001E-2</v>
      </c>
      <c r="G127" s="368">
        <v>5.2260000000000001E-2</v>
      </c>
      <c r="H127" s="368">
        <v>5.2260000000000001E-2</v>
      </c>
      <c r="I127" s="81">
        <v>5.2260000000000001E-2</v>
      </c>
      <c r="J127" s="368">
        <v>5.2260000000000001E-2</v>
      </c>
      <c r="K127" s="368">
        <v>0</v>
      </c>
      <c r="L127" s="368">
        <v>0</v>
      </c>
      <c r="M127" s="368">
        <v>0</v>
      </c>
      <c r="N127" s="368">
        <v>0</v>
      </c>
      <c r="O127" s="368">
        <v>0</v>
      </c>
      <c r="P127" s="368">
        <v>0</v>
      </c>
      <c r="Q127" s="368">
        <v>0</v>
      </c>
      <c r="R127" s="368">
        <v>0</v>
      </c>
      <c r="S127" s="368">
        <v>0</v>
      </c>
      <c r="T127" s="368">
        <v>0</v>
      </c>
      <c r="U127" s="368">
        <v>0</v>
      </c>
      <c r="V127" s="368">
        <v>0</v>
      </c>
      <c r="W127" s="368">
        <v>0</v>
      </c>
      <c r="X127" s="368">
        <v>0</v>
      </c>
      <c r="Y127" s="368">
        <v>0</v>
      </c>
      <c r="Z127" s="368">
        <v>0</v>
      </c>
      <c r="AA127" s="368">
        <v>0</v>
      </c>
      <c r="AB127" s="368">
        <v>0</v>
      </c>
      <c r="AC127" s="368">
        <v>0</v>
      </c>
      <c r="AD127" s="368">
        <v>0</v>
      </c>
      <c r="AE127" s="368">
        <v>0</v>
      </c>
      <c r="AF127" s="368">
        <v>0</v>
      </c>
      <c r="AG127" s="1003">
        <v>0</v>
      </c>
      <c r="AH127" s="1339">
        <v>0</v>
      </c>
      <c r="AI127" s="81">
        <f t="shared" si="53"/>
        <v>0.4180799999999999</v>
      </c>
    </row>
    <row r="128" spans="2:35" s="463" customFormat="1">
      <c r="B128" s="373"/>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1341"/>
      <c r="AI128" s="86"/>
    </row>
    <row r="129" spans="1:36" s="463" customFormat="1">
      <c r="B129" s="337" t="s">
        <v>105</v>
      </c>
      <c r="C129" s="123">
        <f t="shared" ref="C129:AH129" si="68">+C130+C131</f>
        <v>5033.7674793983551</v>
      </c>
      <c r="D129" s="123">
        <f t="shared" si="68"/>
        <v>1903.6574685659657</v>
      </c>
      <c r="E129" s="123">
        <f t="shared" si="68"/>
        <v>1305.7529471904177</v>
      </c>
      <c r="F129" s="123">
        <f t="shared" si="68"/>
        <v>960.91234610418303</v>
      </c>
      <c r="G129" s="123">
        <f t="shared" si="68"/>
        <v>759.26151834184759</v>
      </c>
      <c r="H129" s="123">
        <f t="shared" si="68"/>
        <v>717.12745954526224</v>
      </c>
      <c r="I129" s="123">
        <f t="shared" si="68"/>
        <v>674.82124909072832</v>
      </c>
      <c r="J129" s="123">
        <f t="shared" si="68"/>
        <v>400.47202105028396</v>
      </c>
      <c r="K129" s="123">
        <f t="shared" si="68"/>
        <v>372.53577554837818</v>
      </c>
      <c r="L129" s="123">
        <f t="shared" si="68"/>
        <v>355.28126167303668</v>
      </c>
      <c r="M129" s="123">
        <f t="shared" si="68"/>
        <v>339.36002017617801</v>
      </c>
      <c r="N129" s="123">
        <f t="shared" si="68"/>
        <v>307.51903914309645</v>
      </c>
      <c r="O129" s="123">
        <f t="shared" si="68"/>
        <v>276.77968868051488</v>
      </c>
      <c r="P129" s="123">
        <f t="shared" si="68"/>
        <v>257.72402846957988</v>
      </c>
      <c r="Q129" s="123">
        <f t="shared" si="68"/>
        <v>242.86016861876868</v>
      </c>
      <c r="R129" s="123">
        <f t="shared" si="68"/>
        <v>240.57170987955189</v>
      </c>
      <c r="S129" s="123">
        <f t="shared" si="68"/>
        <v>232.51210713044577</v>
      </c>
      <c r="T129" s="123">
        <f t="shared" si="68"/>
        <v>207.13907236728497</v>
      </c>
      <c r="U129" s="123">
        <f t="shared" si="68"/>
        <v>182.05209494730684</v>
      </c>
      <c r="V129" s="123">
        <f t="shared" si="68"/>
        <v>155.82088815459801</v>
      </c>
      <c r="W129" s="123">
        <f t="shared" si="68"/>
        <v>132.736312130654</v>
      </c>
      <c r="X129" s="123">
        <f t="shared" si="68"/>
        <v>109.651736109832</v>
      </c>
      <c r="Y129" s="123">
        <f t="shared" si="68"/>
        <v>86.567160085887707</v>
      </c>
      <c r="Z129" s="123">
        <f t="shared" si="68"/>
        <v>63.482584061943598</v>
      </c>
      <c r="AA129" s="123">
        <f t="shared" si="68"/>
        <v>40.398008041121699</v>
      </c>
      <c r="AB129" s="123">
        <f t="shared" si="68"/>
        <v>17.313432017177501</v>
      </c>
      <c r="AC129" s="123">
        <f t="shared" si="68"/>
        <v>0</v>
      </c>
      <c r="AD129" s="123">
        <f t="shared" si="68"/>
        <v>0</v>
      </c>
      <c r="AE129" s="123">
        <f t="shared" si="68"/>
        <v>0</v>
      </c>
      <c r="AF129" s="123">
        <f t="shared" si="68"/>
        <v>0</v>
      </c>
      <c r="AG129" s="123">
        <f t="shared" ref="AG129" si="69">+AG130+AG131</f>
        <v>0</v>
      </c>
      <c r="AH129" s="1342">
        <f t="shared" si="68"/>
        <v>0</v>
      </c>
      <c r="AI129" s="123">
        <f>SUM(C129:AH129)</f>
        <v>15376.077576522401</v>
      </c>
    </row>
    <row r="130" spans="1:36" s="463" customFormat="1">
      <c r="B130" s="374" t="s">
        <v>106</v>
      </c>
      <c r="C130" s="95">
        <v>736.98020596124616</v>
      </c>
      <c r="D130" s="95">
        <v>676.83679273083158</v>
      </c>
      <c r="E130" s="95">
        <v>604.32065373688658</v>
      </c>
      <c r="F130" s="95">
        <v>506.90705735036454</v>
      </c>
      <c r="G130" s="95">
        <v>481.94913946197482</v>
      </c>
      <c r="H130" s="95">
        <v>445.22710052213887</v>
      </c>
      <c r="I130" s="95">
        <v>408.62094627897483</v>
      </c>
      <c r="J130" s="95">
        <v>390.27527027242263</v>
      </c>
      <c r="K130" s="95">
        <v>368.83682012572189</v>
      </c>
      <c r="L130" s="95">
        <v>355.28126167303668</v>
      </c>
      <c r="M130" s="95">
        <v>339.36002017617801</v>
      </c>
      <c r="N130" s="95">
        <v>307.51903914309645</v>
      </c>
      <c r="O130" s="95">
        <v>276.77968868051488</v>
      </c>
      <c r="P130" s="95">
        <v>257.72402846957988</v>
      </c>
      <c r="Q130" s="95">
        <v>242.86016861876868</v>
      </c>
      <c r="R130" s="95">
        <v>240.57170987955189</v>
      </c>
      <c r="S130" s="95">
        <v>232.51210713044577</v>
      </c>
      <c r="T130" s="95">
        <v>207.13907236728497</v>
      </c>
      <c r="U130" s="95">
        <v>182.05209494730684</v>
      </c>
      <c r="V130" s="95">
        <v>155.82088815459801</v>
      </c>
      <c r="W130" s="95">
        <v>132.736312130654</v>
      </c>
      <c r="X130" s="95">
        <v>109.651736109832</v>
      </c>
      <c r="Y130" s="95">
        <v>86.567160085887707</v>
      </c>
      <c r="Z130" s="95">
        <v>63.482584061943598</v>
      </c>
      <c r="AA130" s="95">
        <v>40.398008041121699</v>
      </c>
      <c r="AB130" s="95">
        <v>17.313432017177501</v>
      </c>
      <c r="AC130" s="95">
        <v>0</v>
      </c>
      <c r="AD130" s="95">
        <v>0</v>
      </c>
      <c r="AE130" s="95">
        <v>0</v>
      </c>
      <c r="AF130" s="95">
        <v>0</v>
      </c>
      <c r="AG130" s="95">
        <v>0</v>
      </c>
      <c r="AH130" s="1336">
        <v>0</v>
      </c>
      <c r="AI130" s="95">
        <f>SUM(C130:AH130)</f>
        <v>7867.7232981275401</v>
      </c>
    </row>
    <row r="131" spans="1:36" s="463" customFormat="1">
      <c r="B131" s="375" t="s">
        <v>542</v>
      </c>
      <c r="C131" s="85">
        <v>4296.7872734371085</v>
      </c>
      <c r="D131" s="85">
        <v>1226.8206758351341</v>
      </c>
      <c r="E131" s="85">
        <v>701.43229345353097</v>
      </c>
      <c r="F131" s="85">
        <v>454.00528875381849</v>
      </c>
      <c r="G131" s="85">
        <v>277.31237887987277</v>
      </c>
      <c r="H131" s="85">
        <v>271.90035902312337</v>
      </c>
      <c r="I131" s="85">
        <v>266.20030281175349</v>
      </c>
      <c r="J131" s="85">
        <v>10.1967507778613</v>
      </c>
      <c r="K131" s="85">
        <v>3.6989554226563097</v>
      </c>
      <c r="L131" s="85">
        <v>0</v>
      </c>
      <c r="M131" s="85">
        <v>0</v>
      </c>
      <c r="N131" s="85">
        <v>0</v>
      </c>
      <c r="O131" s="85">
        <v>0</v>
      </c>
      <c r="P131" s="85">
        <v>0</v>
      </c>
      <c r="Q131" s="85">
        <v>0</v>
      </c>
      <c r="R131" s="85">
        <v>0</v>
      </c>
      <c r="S131" s="85">
        <v>0</v>
      </c>
      <c r="T131" s="85">
        <v>0</v>
      </c>
      <c r="U131" s="85">
        <v>0</v>
      </c>
      <c r="V131" s="85">
        <v>0</v>
      </c>
      <c r="W131" s="85">
        <v>0</v>
      </c>
      <c r="X131" s="85">
        <v>0</v>
      </c>
      <c r="Y131" s="85">
        <v>0</v>
      </c>
      <c r="Z131" s="85">
        <v>0</v>
      </c>
      <c r="AA131" s="85">
        <v>0</v>
      </c>
      <c r="AB131" s="85">
        <v>0</v>
      </c>
      <c r="AC131" s="85">
        <v>0</v>
      </c>
      <c r="AD131" s="85">
        <v>0</v>
      </c>
      <c r="AE131" s="85">
        <v>0</v>
      </c>
      <c r="AF131" s="85">
        <v>0</v>
      </c>
      <c r="AG131" s="85">
        <v>0</v>
      </c>
      <c r="AH131" s="1343">
        <v>0</v>
      </c>
      <c r="AI131" s="85">
        <f>SUM(C131:AH131)</f>
        <v>7508.3542783948596</v>
      </c>
    </row>
    <row r="132" spans="1:36" s="463" customFormat="1">
      <c r="A132" s="457"/>
      <c r="B132" s="337" t="s">
        <v>107</v>
      </c>
      <c r="C132" s="123">
        <v>10214.148548985693</v>
      </c>
      <c r="D132" s="123">
        <v>9396.3019843999755</v>
      </c>
      <c r="E132" s="123">
        <v>8624.2075833583476</v>
      </c>
      <c r="F132" s="123">
        <v>6980.1418701853581</v>
      </c>
      <c r="G132" s="123">
        <v>5983.2374796482254</v>
      </c>
      <c r="H132" s="123">
        <v>5452.5687353522881</v>
      </c>
      <c r="I132" s="123">
        <v>4550.1270951329334</v>
      </c>
      <c r="J132" s="123">
        <v>3954.4310274004729</v>
      </c>
      <c r="K132" s="123">
        <v>3044.0679661332979</v>
      </c>
      <c r="L132" s="123">
        <v>2676.7278396029528</v>
      </c>
      <c r="M132" s="123">
        <v>2502.9387660870589</v>
      </c>
      <c r="N132" s="123">
        <v>2235.1815859536605</v>
      </c>
      <c r="O132" s="123">
        <v>1973.9766137949653</v>
      </c>
      <c r="P132" s="123">
        <v>1717.8209313938326</v>
      </c>
      <c r="Q132" s="123">
        <v>1505.4277864423007</v>
      </c>
      <c r="R132" s="123">
        <v>1377.8707087805292</v>
      </c>
      <c r="S132" s="123">
        <v>1217.8671345487126</v>
      </c>
      <c r="T132" s="123">
        <v>932.92604464820556</v>
      </c>
      <c r="U132" s="123">
        <v>819.27067048215599</v>
      </c>
      <c r="V132" s="123">
        <v>711.17670805159275</v>
      </c>
      <c r="W132" s="123">
        <v>703.78736595398595</v>
      </c>
      <c r="X132" s="123">
        <v>697.16727759695402</v>
      </c>
      <c r="Y132" s="123">
        <v>691.31009276905468</v>
      </c>
      <c r="Z132" s="123">
        <v>685.76209538198714</v>
      </c>
      <c r="AA132" s="123">
        <v>681.21951195032727</v>
      </c>
      <c r="AB132" s="123">
        <v>677.59941782500164</v>
      </c>
      <c r="AC132" s="123">
        <v>569.38208947500152</v>
      </c>
      <c r="AD132" s="123">
        <v>461.39755421500172</v>
      </c>
      <c r="AE132" s="123">
        <v>303.18359086000004</v>
      </c>
      <c r="AF132" s="123">
        <v>198.05513267000001</v>
      </c>
      <c r="AG132" s="123">
        <v>196.81079088999999</v>
      </c>
      <c r="AH132" s="1342">
        <v>13029.872910689999</v>
      </c>
      <c r="AI132" s="123">
        <f>SUM(C132:AH132)</f>
        <v>94765.964910659837</v>
      </c>
    </row>
    <row r="133" spans="1:36">
      <c r="A133" s="1"/>
      <c r="B133" s="379"/>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1009"/>
      <c r="AH133" s="1344"/>
      <c r="AI133" s="380"/>
    </row>
    <row r="134" spans="1:36">
      <c r="A134" s="89"/>
      <c r="B134" s="97" t="s">
        <v>345</v>
      </c>
    </row>
    <row r="135" spans="1:36">
      <c r="A135" s="89"/>
      <c r="B135" s="97"/>
    </row>
    <row r="136" spans="1:36">
      <c r="A136" s="89"/>
      <c r="B136" s="860"/>
      <c r="C136" s="1313"/>
      <c r="D136" s="1313"/>
      <c r="E136" s="1313"/>
      <c r="F136" s="1313"/>
      <c r="G136" s="1313"/>
      <c r="H136" s="1313"/>
      <c r="I136" s="1313"/>
      <c r="J136" s="1313"/>
      <c r="K136" s="1313"/>
      <c r="L136" s="1313"/>
      <c r="M136" s="1313"/>
      <c r="N136" s="1313"/>
      <c r="O136" s="1313"/>
      <c r="P136" s="1313"/>
      <c r="Q136" s="1313"/>
      <c r="R136" s="1313"/>
      <c r="S136" s="1313"/>
      <c r="T136" s="1313"/>
      <c r="U136" s="1313"/>
      <c r="V136" s="1313"/>
      <c r="W136" s="1313"/>
      <c r="X136" s="1313"/>
      <c r="Y136" s="1313"/>
      <c r="Z136" s="1313"/>
      <c r="AA136" s="1313"/>
      <c r="AB136" s="1313"/>
      <c r="AC136" s="1313"/>
      <c r="AD136" s="1313"/>
      <c r="AE136" s="1313"/>
      <c r="AF136" s="1313"/>
      <c r="AG136" s="1313"/>
      <c r="AH136" s="1345"/>
      <c r="AI136" s="1313"/>
    </row>
    <row r="137" spans="1:36">
      <c r="C137" s="1313"/>
      <c r="D137" s="1313"/>
      <c r="E137" s="1313"/>
      <c r="F137" s="1313"/>
      <c r="G137" s="1313"/>
      <c r="H137" s="1313"/>
      <c r="I137" s="1313"/>
      <c r="J137" s="1313"/>
      <c r="K137" s="1313"/>
      <c r="L137" s="1313"/>
      <c r="M137" s="1313"/>
      <c r="N137" s="1313"/>
      <c r="O137" s="1313"/>
      <c r="P137" s="1313"/>
      <c r="Q137" s="1313"/>
      <c r="R137" s="1313"/>
      <c r="S137" s="1313"/>
      <c r="T137" s="1313"/>
      <c r="U137" s="1313"/>
      <c r="V137" s="1313"/>
      <c r="W137" s="1313"/>
      <c r="X137" s="1313"/>
      <c r="Y137" s="1313"/>
      <c r="Z137" s="1313"/>
      <c r="AA137" s="1313"/>
      <c r="AB137" s="1313"/>
      <c r="AC137" s="1313"/>
      <c r="AD137" s="1313"/>
      <c r="AE137" s="1313"/>
      <c r="AF137" s="1313"/>
      <c r="AG137" s="1313"/>
      <c r="AH137" s="1345"/>
      <c r="AI137" s="1313"/>
    </row>
    <row r="138" spans="1:36">
      <c r="A138" s="89"/>
      <c r="C138" s="1313"/>
      <c r="D138" s="1313"/>
      <c r="E138" s="1313"/>
      <c r="F138" s="1313"/>
      <c r="G138" s="1313"/>
      <c r="H138" s="1313"/>
      <c r="I138" s="1313"/>
      <c r="J138" s="1313"/>
      <c r="K138" s="1313"/>
      <c r="L138" s="1313"/>
      <c r="M138" s="1313"/>
      <c r="N138" s="1313"/>
      <c r="O138" s="1313"/>
      <c r="P138" s="1313"/>
      <c r="Q138" s="1313"/>
      <c r="R138" s="1313"/>
      <c r="S138" s="1313"/>
      <c r="T138" s="1313"/>
      <c r="U138" s="1313"/>
      <c r="V138" s="1313"/>
      <c r="W138" s="1313"/>
      <c r="X138" s="1313"/>
      <c r="Y138" s="1313"/>
      <c r="Z138" s="1313"/>
      <c r="AA138" s="1313"/>
      <c r="AB138" s="1313"/>
      <c r="AC138" s="1313"/>
      <c r="AD138" s="1313"/>
      <c r="AE138" s="1313"/>
      <c r="AF138" s="1313"/>
      <c r="AG138" s="1313"/>
      <c r="AH138" s="1345"/>
      <c r="AI138" s="1313"/>
    </row>
    <row r="139" spans="1:36">
      <c r="C139" s="1311"/>
      <c r="D139" s="1311"/>
      <c r="E139" s="1311"/>
      <c r="F139" s="1311"/>
      <c r="G139" s="1311"/>
      <c r="H139" s="1311"/>
      <c r="I139" s="1311"/>
      <c r="J139" s="1311"/>
      <c r="K139" s="1311"/>
      <c r="L139" s="1311"/>
      <c r="M139" s="1311"/>
      <c r="N139" s="1311"/>
      <c r="O139" s="1311"/>
      <c r="P139" s="1311"/>
      <c r="Q139" s="1311"/>
      <c r="R139" s="1311"/>
      <c r="S139" s="1311"/>
      <c r="T139" s="1311"/>
      <c r="U139" s="1311"/>
      <c r="V139" s="1311"/>
      <c r="W139" s="1311"/>
      <c r="X139" s="1311"/>
      <c r="Y139" s="1311"/>
      <c r="Z139" s="1311"/>
      <c r="AA139" s="1311"/>
      <c r="AB139" s="1311"/>
      <c r="AC139" s="1311"/>
      <c r="AD139" s="1311"/>
      <c r="AE139" s="1311"/>
      <c r="AF139" s="1311"/>
      <c r="AG139" s="1311"/>
      <c r="AH139" s="1346"/>
      <c r="AI139" s="1311"/>
      <c r="AJ139" s="1184"/>
    </row>
    <row r="140" spans="1:36">
      <c r="C140" s="1311"/>
      <c r="D140" s="1311"/>
      <c r="E140" s="1311"/>
      <c r="F140" s="1311"/>
      <c r="G140" s="1311"/>
      <c r="H140" s="1311"/>
      <c r="I140" s="1311"/>
      <c r="J140" s="1311"/>
      <c r="K140" s="1311"/>
      <c r="L140" s="1311"/>
      <c r="M140" s="1311"/>
      <c r="N140" s="1311"/>
      <c r="O140" s="1311"/>
      <c r="P140" s="1311"/>
      <c r="Q140" s="1311"/>
      <c r="R140" s="1311"/>
      <c r="S140" s="1311"/>
      <c r="T140" s="1311"/>
      <c r="U140" s="1311"/>
      <c r="V140" s="1311"/>
      <c r="W140" s="1311"/>
      <c r="X140" s="1311"/>
      <c r="Y140" s="1311"/>
      <c r="Z140" s="1311"/>
      <c r="AA140" s="1311"/>
      <c r="AB140" s="1311"/>
      <c r="AC140" s="1311"/>
      <c r="AD140" s="1311"/>
      <c r="AE140" s="1311"/>
      <c r="AF140" s="1311"/>
      <c r="AG140" s="1311"/>
      <c r="AH140" s="1346"/>
      <c r="AI140" s="1311"/>
    </row>
    <row r="141" spans="1:36">
      <c r="C141" s="1311"/>
      <c r="D141" s="1311"/>
      <c r="E141" s="1311"/>
      <c r="F141" s="1311"/>
      <c r="G141" s="1311"/>
      <c r="H141" s="1311"/>
      <c r="I141" s="1311"/>
      <c r="J141" s="1311"/>
      <c r="K141" s="1311"/>
      <c r="L141" s="1311"/>
      <c r="M141" s="1311"/>
      <c r="N141" s="1311"/>
      <c r="O141" s="1311"/>
      <c r="P141" s="1311"/>
      <c r="Q141" s="1311"/>
      <c r="R141" s="1311"/>
      <c r="S141" s="1311"/>
      <c r="T141" s="1311"/>
      <c r="U141" s="1311"/>
      <c r="V141" s="1311"/>
      <c r="W141" s="1311"/>
      <c r="X141" s="1311"/>
      <c r="Y141" s="1311"/>
      <c r="Z141" s="1311"/>
      <c r="AA141" s="1311"/>
      <c r="AB141" s="1311"/>
      <c r="AC141" s="1311"/>
      <c r="AD141" s="1311"/>
      <c r="AE141" s="1311"/>
      <c r="AF141" s="1311"/>
      <c r="AG141" s="1311"/>
      <c r="AH141" s="1346"/>
      <c r="AI141" s="1311"/>
    </row>
    <row r="142" spans="1:36">
      <c r="C142" s="1311"/>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1346"/>
      <c r="AI142" s="89"/>
    </row>
    <row r="143" spans="1:36">
      <c r="C143" s="1311"/>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1346"/>
      <c r="AI143" s="89"/>
    </row>
    <row r="144" spans="1:36">
      <c r="C144" s="1313"/>
    </row>
  </sheetData>
  <mergeCells count="2">
    <mergeCell ref="B11:AI11"/>
    <mergeCell ref="B6:AI6"/>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ignoredErrors>
    <ignoredError sqref="AI96" formula="1"/>
  </ignoredErrors>
</worksheet>
</file>

<file path=xl/worksheets/sheet25.xml><?xml version="1.0" encoding="utf-8"?>
<worksheet xmlns="http://schemas.openxmlformats.org/spreadsheetml/2006/main" xmlns:r="http://schemas.openxmlformats.org/officeDocument/2006/relationships">
  <sheetPr codeName="Hoja5">
    <tabColor theme="3" tint="0.79998168889431442"/>
    <pageSetUpPr fitToPage="1"/>
  </sheetPr>
  <dimension ref="A1:J32"/>
  <sheetViews>
    <sheetView showGridLines="0" zoomScaleNormal="100" zoomScaleSheetLayoutView="85" workbookViewId="0"/>
  </sheetViews>
  <sheetFormatPr baseColWidth="10" defaultColWidth="11.453125" defaultRowHeight="13"/>
  <cols>
    <col min="1" max="1" width="6.81640625" style="29" customWidth="1"/>
    <col min="2" max="2" width="39.7265625" style="29" customWidth="1"/>
    <col min="3" max="3" width="20.7265625" style="29" customWidth="1"/>
    <col min="4" max="4" width="25.453125" style="29" customWidth="1"/>
    <col min="5" max="5" width="24.453125" style="29" customWidth="1"/>
    <col min="6" max="6" width="22.81640625" style="29" customWidth="1"/>
    <col min="7" max="7" width="26.54296875" style="29" bestFit="1" customWidth="1"/>
    <col min="8" max="8" width="26.1796875" style="29" bestFit="1" customWidth="1"/>
    <col min="9" max="9" width="30.26953125" style="29" bestFit="1" customWidth="1"/>
    <col min="10" max="10" width="26.54296875" style="29" bestFit="1" customWidth="1"/>
    <col min="11" max="16384" width="11.453125" style="29"/>
  </cols>
  <sheetData>
    <row r="1" spans="1:7" ht="14.5">
      <c r="A1" s="738" t="s">
        <v>219</v>
      </c>
      <c r="B1" s="413"/>
    </row>
    <row r="2" spans="1:7" ht="15" customHeight="1">
      <c r="A2" s="413"/>
      <c r="B2" s="386" t="str">
        <f>+INDICE!B2</f>
        <v>MINISTERIO DE ECONOMÍA</v>
      </c>
      <c r="C2" s="3"/>
      <c r="D2" s="3"/>
      <c r="E2" s="3"/>
      <c r="F2" s="5"/>
    </row>
    <row r="3" spans="1:7" ht="15" customHeight="1">
      <c r="A3" s="413"/>
      <c r="B3" s="386" t="str">
        <f>+A.3.8!B3</f>
        <v>SECRETARÍA DE FINANZAS</v>
      </c>
      <c r="C3" s="6"/>
      <c r="D3" s="6"/>
      <c r="E3" s="6"/>
      <c r="F3" s="5"/>
    </row>
    <row r="4" spans="1:7">
      <c r="B4" s="5"/>
      <c r="C4" s="5"/>
      <c r="D4" s="5"/>
      <c r="E4" s="5"/>
      <c r="F4" s="5"/>
    </row>
    <row r="5" spans="1:7">
      <c r="B5" s="5"/>
      <c r="C5" s="5"/>
      <c r="D5" s="5"/>
      <c r="E5" s="5"/>
      <c r="F5" s="5"/>
    </row>
    <row r="6" spans="1:7" ht="15.75" customHeight="1">
      <c r="B6" s="1495" t="s">
        <v>110</v>
      </c>
      <c r="C6" s="1495"/>
      <c r="D6" s="1495"/>
      <c r="E6" s="1495"/>
      <c r="F6" s="1495"/>
    </row>
    <row r="7" spans="1:7" ht="12.75" customHeight="1">
      <c r="B7" s="5"/>
      <c r="C7" s="5"/>
      <c r="D7" s="5"/>
      <c r="E7" s="5"/>
      <c r="F7" s="5"/>
    </row>
    <row r="8" spans="1:7" ht="15" thickBot="1">
      <c r="C8" s="42"/>
      <c r="D8" s="42"/>
      <c r="E8" s="42"/>
      <c r="F8" s="64"/>
    </row>
    <row r="9" spans="1:7" ht="15.5" thickTop="1" thickBot="1">
      <c r="A9" s="47"/>
      <c r="B9" s="5" t="s">
        <v>887</v>
      </c>
      <c r="C9" s="1496" t="s">
        <v>393</v>
      </c>
      <c r="D9" s="1497"/>
      <c r="E9" s="65"/>
      <c r="F9" s="65"/>
    </row>
    <row r="10" spans="1:7" ht="15.5" thickTop="1" thickBot="1">
      <c r="A10" s="47"/>
      <c r="B10" s="1498" t="s">
        <v>394</v>
      </c>
      <c r="C10" s="1498" t="s">
        <v>554</v>
      </c>
      <c r="D10" s="1500" t="s">
        <v>555</v>
      </c>
      <c r="E10" s="1496" t="s">
        <v>395</v>
      </c>
      <c r="F10" s="1497"/>
    </row>
    <row r="11" spans="1:7" ht="30" thickTop="1" thickBot="1">
      <c r="B11" s="1499"/>
      <c r="C11" s="1499"/>
      <c r="D11" s="1501"/>
      <c r="E11" s="509" t="s">
        <v>556</v>
      </c>
      <c r="F11" s="509" t="s">
        <v>396</v>
      </c>
    </row>
    <row r="12" spans="1:7" ht="16" thickTop="1">
      <c r="B12" s="66"/>
      <c r="C12" s="67"/>
      <c r="D12" s="67"/>
      <c r="E12" s="67"/>
      <c r="F12" s="67"/>
    </row>
    <row r="13" spans="1:7" ht="14.5">
      <c r="B13" s="487" t="s">
        <v>28</v>
      </c>
      <c r="C13" s="510">
        <v>17192865.484000001</v>
      </c>
      <c r="D13" s="511">
        <v>29.960259999999998</v>
      </c>
      <c r="E13" s="510">
        <v>5151027.2004566584</v>
      </c>
      <c r="F13" s="510">
        <v>5151027.2004566584</v>
      </c>
      <c r="G13" s="779"/>
    </row>
    <row r="14" spans="1:7" ht="14.5">
      <c r="B14" s="487" t="s">
        <v>257</v>
      </c>
      <c r="C14" s="510">
        <v>3103379.4509999999</v>
      </c>
      <c r="D14" s="511">
        <v>29.960259999999998</v>
      </c>
      <c r="E14" s="510">
        <v>929780.55230617255</v>
      </c>
      <c r="F14" s="510">
        <v>929780.55230617255</v>
      </c>
      <c r="G14" s="779"/>
    </row>
    <row r="15" spans="1:7" ht="14.5">
      <c r="B15" s="487" t="s">
        <v>259</v>
      </c>
      <c r="C15" s="510">
        <v>18947454.208999999</v>
      </c>
      <c r="D15" s="511">
        <v>31.005079999999996</v>
      </c>
      <c r="E15" s="510">
        <v>5874673.3354638163</v>
      </c>
      <c r="F15" s="510">
        <v>6585218.4009234579</v>
      </c>
      <c r="G15" s="779"/>
    </row>
    <row r="16" spans="1:7" ht="14.5">
      <c r="B16" s="487" t="s">
        <v>258</v>
      </c>
      <c r="C16" s="510">
        <v>38151927.678999998</v>
      </c>
      <c r="D16" s="511">
        <v>24.593589999999999</v>
      </c>
      <c r="E16" s="510">
        <v>9382928.6704697758</v>
      </c>
      <c r="F16" s="510">
        <v>156656.29302061567</v>
      </c>
      <c r="G16" s="779"/>
    </row>
    <row r="17" spans="2:10" ht="14.5">
      <c r="B17" s="487" t="s">
        <v>226</v>
      </c>
      <c r="C17" s="510">
        <v>46303523</v>
      </c>
      <c r="D17" s="511">
        <v>32.850110000000001</v>
      </c>
      <c r="E17" s="510">
        <v>15210758.239375299</v>
      </c>
      <c r="F17" s="510">
        <v>140049.334677979</v>
      </c>
      <c r="G17" s="779"/>
    </row>
    <row r="18" spans="2:10" ht="15" thickBot="1">
      <c r="B18" s="68"/>
      <c r="C18" s="69"/>
      <c r="D18" s="69"/>
      <c r="E18" s="1059"/>
      <c r="F18" s="1059"/>
    </row>
    <row r="19" spans="2:10" ht="16.5" thickTop="1" thickBot="1">
      <c r="C19" s="70"/>
      <c r="D19" s="70"/>
      <c r="E19" s="1061" t="s">
        <v>280</v>
      </c>
      <c r="F19" s="1060">
        <f>SUM(F13:F18)</f>
        <v>12962731.781384883</v>
      </c>
      <c r="G19" s="1068"/>
    </row>
    <row r="20" spans="2:10" ht="13.5" thickTop="1">
      <c r="C20" s="794"/>
      <c r="D20" s="794"/>
      <c r="E20" s="794"/>
      <c r="F20" s="794"/>
    </row>
    <row r="21" spans="2:10">
      <c r="B21" s="1502" t="s">
        <v>397</v>
      </c>
      <c r="C21" s="1502"/>
      <c r="D21" s="1502"/>
      <c r="E21" s="1502"/>
      <c r="F21" s="1502"/>
    </row>
    <row r="22" spans="2:10">
      <c r="B22" s="1502" t="s">
        <v>398</v>
      </c>
      <c r="C22" s="1502"/>
      <c r="D22" s="1502"/>
      <c r="E22" s="1502"/>
      <c r="F22" s="1502"/>
    </row>
    <row r="23" spans="2:10">
      <c r="B23" s="1502" t="s">
        <v>399</v>
      </c>
      <c r="C23" s="1502"/>
      <c r="D23" s="1502"/>
      <c r="E23" s="1502"/>
      <c r="F23" s="1502"/>
    </row>
    <row r="24" spans="2:10">
      <c r="B24" s="1502" t="s">
        <v>400</v>
      </c>
      <c r="C24" s="1502"/>
      <c r="D24" s="1502"/>
      <c r="E24" s="1502"/>
      <c r="F24" s="1502"/>
    </row>
    <row r="25" spans="2:10">
      <c r="B25" s="476"/>
      <c r="C25" s="476"/>
      <c r="D25" s="476"/>
      <c r="E25" s="476"/>
      <c r="F25" s="476"/>
    </row>
    <row r="26" spans="2:10">
      <c r="B26" s="1502" t="s">
        <v>401</v>
      </c>
      <c r="C26" s="1502"/>
      <c r="D26" s="1502"/>
      <c r="E26" s="1502"/>
      <c r="F26" s="1502"/>
    </row>
    <row r="27" spans="2:10">
      <c r="B27" s="476"/>
      <c r="C27" s="476"/>
      <c r="D27" s="476"/>
      <c r="E27" s="476"/>
      <c r="F27" s="476"/>
    </row>
    <row r="28" spans="2:10" ht="54" customHeight="1">
      <c r="B28" s="1503" t="s">
        <v>402</v>
      </c>
      <c r="C28" s="1503"/>
      <c r="D28" s="1503"/>
      <c r="E28" s="1503"/>
      <c r="F28" s="1503"/>
    </row>
    <row r="29" spans="2:10">
      <c r="B29" s="477"/>
      <c r="C29" s="477"/>
      <c r="D29" s="477"/>
      <c r="E29" s="477"/>
      <c r="F29" s="477"/>
    </row>
    <row r="30" spans="2:10" ht="27" customHeight="1">
      <c r="B30" s="1503" t="s">
        <v>403</v>
      </c>
      <c r="C30" s="1503"/>
      <c r="D30" s="1503"/>
      <c r="E30" s="1503"/>
      <c r="F30" s="1503"/>
      <c r="J30" s="1175"/>
    </row>
    <row r="31" spans="2:10">
      <c r="B31" s="384"/>
      <c r="C31" s="384"/>
      <c r="D31" s="384"/>
      <c r="E31" s="384"/>
      <c r="F31" s="384"/>
      <c r="J31" s="1175"/>
    </row>
    <row r="32" spans="2:10">
      <c r="B32" s="1467"/>
      <c r="C32" s="1467"/>
      <c r="D32" s="1467"/>
      <c r="E32" s="1467"/>
      <c r="F32" s="1467"/>
      <c r="J32" s="1175"/>
    </row>
  </sheetData>
  <mergeCells count="14">
    <mergeCell ref="B6:F6"/>
    <mergeCell ref="B32:F32"/>
    <mergeCell ref="C9:D9"/>
    <mergeCell ref="B10:B11"/>
    <mergeCell ref="C10:C11"/>
    <mergeCell ref="D10:D11"/>
    <mergeCell ref="E10:F10"/>
    <mergeCell ref="B26:F26"/>
    <mergeCell ref="B28:F28"/>
    <mergeCell ref="B30:F30"/>
    <mergeCell ref="B21:F21"/>
    <mergeCell ref="B22:F22"/>
    <mergeCell ref="B23:F23"/>
    <mergeCell ref="B24:F24"/>
  </mergeCells>
  <phoneticPr fontId="21"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sheetPr>
    <tabColor theme="3" tint="0.79998168889431442"/>
    <pageSetUpPr fitToPage="1"/>
  </sheetPr>
  <dimension ref="A1:IJ63"/>
  <sheetViews>
    <sheetView showGridLines="0" zoomScaleNormal="100" zoomScaleSheetLayoutView="85" workbookViewId="0"/>
  </sheetViews>
  <sheetFormatPr baseColWidth="10" defaultColWidth="11.453125" defaultRowHeight="13"/>
  <cols>
    <col min="1" max="1" width="6.81640625" style="15" customWidth="1"/>
    <col min="2" max="2" width="73.7265625" style="15" customWidth="1"/>
    <col min="3" max="3" width="22.1796875" style="15" customWidth="1"/>
    <col min="4" max="4" width="11.453125" style="15"/>
    <col min="5" max="5" width="15.26953125" style="15" bestFit="1" customWidth="1"/>
    <col min="6" max="16384" width="11.453125" style="15"/>
  </cols>
  <sheetData>
    <row r="1" spans="1:7" ht="14.5">
      <c r="A1" s="738" t="s">
        <v>219</v>
      </c>
      <c r="B1" s="740"/>
    </row>
    <row r="2" spans="1:7" ht="15" customHeight="1">
      <c r="A2" s="435"/>
      <c r="B2" s="386" t="str">
        <f>+INDICE!B2</f>
        <v>MINISTERIO DE ECONOMÍA</v>
      </c>
      <c r="C2" s="44"/>
    </row>
    <row r="3" spans="1:7" ht="15" customHeight="1">
      <c r="A3" s="435"/>
      <c r="B3" s="270" t="s">
        <v>304</v>
      </c>
      <c r="C3" s="44"/>
    </row>
    <row r="4" spans="1:7">
      <c r="B4" s="45"/>
      <c r="C4" s="44"/>
    </row>
    <row r="5" spans="1:7">
      <c r="B5" s="45"/>
      <c r="C5" s="44"/>
    </row>
    <row r="6" spans="1:7" ht="15.5">
      <c r="B6" s="1359" t="s">
        <v>788</v>
      </c>
      <c r="C6" s="1359"/>
    </row>
    <row r="7" spans="1:7">
      <c r="B7" s="1504" t="s">
        <v>952</v>
      </c>
      <c r="C7" s="1504"/>
    </row>
    <row r="9" spans="1:7">
      <c r="B9" s="46"/>
      <c r="C9" s="46"/>
    </row>
    <row r="10" spans="1:7" ht="13.5" thickBot="1">
      <c r="B10" s="5"/>
      <c r="C10" s="5" t="s">
        <v>283</v>
      </c>
    </row>
    <row r="11" spans="1:7" s="421" customFormat="1" ht="12.5" thickTop="1">
      <c r="A11" s="571"/>
      <c r="B11" s="572"/>
      <c r="C11" s="572"/>
    </row>
    <row r="12" spans="1:7" ht="14.5">
      <c r="B12" s="576" t="s">
        <v>284</v>
      </c>
      <c r="C12" s="576" t="s">
        <v>286</v>
      </c>
    </row>
    <row r="13" spans="1:7" s="421" customFormat="1" ht="12.5" thickBot="1">
      <c r="B13" s="570"/>
      <c r="C13" s="570"/>
    </row>
    <row r="14" spans="1:7" ht="13.5" thickTop="1">
      <c r="B14" s="48"/>
      <c r="C14" s="160"/>
    </row>
    <row r="15" spans="1:7" s="267" customFormat="1" ht="14.5">
      <c r="B15" s="568" t="s">
        <v>308</v>
      </c>
      <c r="C15" s="335">
        <f>+C17+C22+C28</f>
        <v>136233.29244773978</v>
      </c>
    </row>
    <row r="16" spans="1:7">
      <c r="B16" s="49"/>
      <c r="C16" s="161"/>
      <c r="D16" s="267"/>
      <c r="E16" s="267"/>
      <c r="F16" s="267"/>
      <c r="G16" s="267"/>
    </row>
    <row r="17" spans="2:7" s="267" customFormat="1">
      <c r="B17" s="567" t="s">
        <v>551</v>
      </c>
      <c r="C17" s="724">
        <f>SUM(C19:C20)</f>
        <v>4855.8050825018081</v>
      </c>
    </row>
    <row r="18" spans="2:7">
      <c r="B18" s="49"/>
      <c r="C18" s="725"/>
      <c r="D18" s="267"/>
      <c r="E18" s="267"/>
      <c r="F18" s="267"/>
      <c r="G18" s="267"/>
    </row>
    <row r="19" spans="2:7">
      <c r="B19" s="49" t="s">
        <v>389</v>
      </c>
      <c r="C19" s="725">
        <v>1015.5229262326571</v>
      </c>
      <c r="D19" s="267"/>
      <c r="E19" s="267"/>
      <c r="F19" s="267"/>
      <c r="G19" s="267"/>
    </row>
    <row r="20" spans="2:7" s="267" customFormat="1">
      <c r="B20" s="280" t="s">
        <v>388</v>
      </c>
      <c r="C20" s="724">
        <v>3840.2821562691506</v>
      </c>
    </row>
    <row r="21" spans="2:7" ht="14.5">
      <c r="B21" s="49"/>
      <c r="C21" s="726"/>
      <c r="D21" s="267"/>
      <c r="E21" s="267"/>
      <c r="F21" s="267"/>
      <c r="G21" s="267"/>
    </row>
    <row r="22" spans="2:7" s="267" customFormat="1">
      <c r="B22" s="567" t="s">
        <v>552</v>
      </c>
      <c r="C22" s="285">
        <f>SUM(C24:C26)</f>
        <v>131350.72813643154</v>
      </c>
    </row>
    <row r="23" spans="2:7">
      <c r="B23" s="50"/>
      <c r="C23" s="161"/>
      <c r="D23" s="267"/>
      <c r="E23" s="852"/>
      <c r="F23" s="267"/>
      <c r="G23" s="267"/>
    </row>
    <row r="24" spans="2:7" s="267" customFormat="1">
      <c r="B24" s="569" t="s">
        <v>389</v>
      </c>
      <c r="C24" s="395">
        <v>30373.790654218512</v>
      </c>
    </row>
    <row r="25" spans="2:7" s="267" customFormat="1">
      <c r="B25" s="569" t="s">
        <v>388</v>
      </c>
      <c r="C25" s="395">
        <v>31761.495827314018</v>
      </c>
    </row>
    <row r="26" spans="2:7" s="267" customFormat="1">
      <c r="B26" s="569" t="s">
        <v>513</v>
      </c>
      <c r="C26" s="395">
        <v>69215.441654899027</v>
      </c>
    </row>
    <row r="27" spans="2:7">
      <c r="B27" s="49"/>
      <c r="C27" s="161"/>
      <c r="D27" s="267"/>
      <c r="E27" s="267"/>
      <c r="F27" s="267"/>
      <c r="G27" s="267"/>
    </row>
    <row r="28" spans="2:7" s="267" customFormat="1">
      <c r="B28" s="567" t="s">
        <v>390</v>
      </c>
      <c r="C28" s="285">
        <f>SUM(C30:C31)</f>
        <v>26.759228806413851</v>
      </c>
    </row>
    <row r="29" spans="2:7">
      <c r="B29" s="50"/>
      <c r="C29" s="161"/>
      <c r="D29" s="267"/>
      <c r="E29" s="267"/>
      <c r="F29" s="267"/>
      <c r="G29" s="267"/>
    </row>
    <row r="30" spans="2:7" s="267" customFormat="1">
      <c r="B30" s="49" t="s">
        <v>389</v>
      </c>
      <c r="C30" s="285">
        <v>13.751305467570877</v>
      </c>
    </row>
    <row r="31" spans="2:7" s="267" customFormat="1">
      <c r="B31" s="280" t="s">
        <v>388</v>
      </c>
      <c r="C31" s="285">
        <v>13.007923338842973</v>
      </c>
    </row>
    <row r="32" spans="2:7">
      <c r="B32" s="49"/>
      <c r="C32" s="161"/>
      <c r="D32" s="267"/>
      <c r="E32" s="267"/>
      <c r="F32" s="267"/>
      <c r="G32" s="267"/>
    </row>
    <row r="33" spans="1:244" s="267" customFormat="1" ht="29">
      <c r="B33" s="326" t="s">
        <v>173</v>
      </c>
      <c r="C33" s="727">
        <v>579228.87566999998</v>
      </c>
    </row>
    <row r="34" spans="1:244" ht="15.5">
      <c r="B34" s="52"/>
      <c r="C34" s="240"/>
      <c r="D34" s="267"/>
      <c r="E34" s="267"/>
      <c r="F34" s="267"/>
      <c r="G34" s="267"/>
    </row>
    <row r="35" spans="1:244" s="267" customFormat="1" ht="14.5">
      <c r="B35" s="568" t="s">
        <v>835</v>
      </c>
      <c r="C35" s="335">
        <v>775180.91999999993</v>
      </c>
    </row>
    <row r="36" spans="1:244" ht="15.5">
      <c r="B36" s="52"/>
      <c r="C36" s="240"/>
      <c r="D36" s="267"/>
      <c r="E36" s="267"/>
      <c r="F36" s="267"/>
      <c r="G36" s="267"/>
    </row>
    <row r="37" spans="1:244" ht="14.5">
      <c r="B37" s="566" t="s">
        <v>147</v>
      </c>
      <c r="C37" s="335">
        <f>+C35+C33+C15</f>
        <v>1490643.0881177397</v>
      </c>
      <c r="D37" s="852"/>
      <c r="E37" s="852"/>
      <c r="F37" s="267"/>
      <c r="G37" s="267"/>
      <c r="H37" s="780"/>
    </row>
    <row r="38" spans="1:244" ht="13.5" thickBot="1">
      <c r="B38" s="53"/>
      <c r="C38" s="728"/>
      <c r="D38" s="852"/>
      <c r="E38" s="852"/>
      <c r="F38" s="267"/>
      <c r="G38" s="267"/>
    </row>
    <row r="39" spans="1:244" s="54" customFormat="1" ht="16" thickTop="1">
      <c r="A39" s="5"/>
      <c r="B39" s="5"/>
      <c r="C39" s="159"/>
      <c r="D39" s="267"/>
      <c r="E39" s="267"/>
      <c r="F39" s="267"/>
      <c r="G39" s="267"/>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c r="IH39" s="55"/>
      <c r="II39" s="55"/>
      <c r="IJ39" s="55"/>
    </row>
    <row r="40" spans="1:244">
      <c r="B40" s="1505" t="s">
        <v>816</v>
      </c>
      <c r="C40" s="1505"/>
      <c r="D40" s="267"/>
      <c r="E40" s="267"/>
      <c r="F40" s="1173"/>
      <c r="G40" s="267"/>
    </row>
    <row r="41" spans="1:244">
      <c r="B41" s="1505"/>
      <c r="C41" s="1505"/>
      <c r="D41" s="267"/>
      <c r="E41" s="267"/>
      <c r="F41" s="267"/>
      <c r="G41" s="267"/>
    </row>
    <row r="42" spans="1:244">
      <c r="B42" s="1505"/>
      <c r="C42" s="1505"/>
      <c r="D42" s="267"/>
      <c r="E42" s="267"/>
      <c r="F42" s="267"/>
      <c r="G42" s="267"/>
    </row>
    <row r="43" spans="1:244">
      <c r="B43" s="1505"/>
      <c r="C43" s="1505"/>
      <c r="D43" s="267"/>
      <c r="E43" s="267"/>
      <c r="F43" s="267"/>
      <c r="G43" s="267"/>
    </row>
    <row r="44" spans="1:244" ht="12.75" customHeight="1">
      <c r="B44" s="56"/>
      <c r="C44" s="56"/>
      <c r="D44" s="267"/>
      <c r="E44" s="267"/>
      <c r="F44" s="267"/>
      <c r="G44" s="267"/>
    </row>
    <row r="45" spans="1:244" ht="12.75" customHeight="1">
      <c r="B45" s="56"/>
      <c r="C45" s="56"/>
      <c r="D45" s="267"/>
      <c r="E45" s="267"/>
      <c r="F45" s="267"/>
      <c r="G45" s="267"/>
    </row>
    <row r="46" spans="1:244" ht="15.5">
      <c r="B46" s="1359" t="s">
        <v>617</v>
      </c>
      <c r="C46" s="1359"/>
      <c r="D46" s="267"/>
      <c r="E46" s="267"/>
      <c r="F46" s="267"/>
      <c r="G46" s="267"/>
    </row>
    <row r="47" spans="1:244" ht="13.5" thickBot="1">
      <c r="B47" s="5"/>
      <c r="C47" s="5" t="s">
        <v>283</v>
      </c>
      <c r="D47" s="267"/>
      <c r="E47" s="267"/>
      <c r="F47" s="267"/>
      <c r="G47" s="267"/>
    </row>
    <row r="48" spans="1:244" s="421" customFormat="1" ht="13.5" thickTop="1">
      <c r="B48" s="572"/>
      <c r="C48" s="572"/>
      <c r="D48" s="267"/>
      <c r="E48" s="267"/>
      <c r="F48" s="267"/>
      <c r="G48" s="267"/>
    </row>
    <row r="49" spans="2:7" s="267" customFormat="1" ht="15" customHeight="1">
      <c r="B49" s="575" t="s">
        <v>284</v>
      </c>
      <c r="C49" s="576" t="s">
        <v>286</v>
      </c>
    </row>
    <row r="50" spans="2:7" s="421" customFormat="1" ht="13.5" thickBot="1">
      <c r="B50" s="570"/>
      <c r="C50" s="570"/>
      <c r="D50" s="267"/>
      <c r="E50" s="267"/>
      <c r="F50" s="267"/>
      <c r="G50" s="267"/>
    </row>
    <row r="51" spans="2:7" ht="13.5" thickTop="1">
      <c r="B51" s="57"/>
      <c r="C51" s="58"/>
      <c r="D51" s="267"/>
      <c r="E51" s="267"/>
      <c r="F51" s="267"/>
      <c r="G51" s="267"/>
    </row>
    <row r="52" spans="2:7" s="267" customFormat="1" ht="14.5">
      <c r="B52" s="573" t="s">
        <v>799</v>
      </c>
      <c r="C52" s="335">
        <f>+C54+C55+C57+C58</f>
        <v>262888.31187683897</v>
      </c>
      <c r="E52" s="852"/>
    </row>
    <row r="53" spans="2:7">
      <c r="B53" s="60"/>
      <c r="C53" s="161"/>
      <c r="D53" s="267"/>
      <c r="E53" s="267"/>
      <c r="F53" s="267"/>
      <c r="G53" s="267"/>
    </row>
    <row r="54" spans="2:7" s="267" customFormat="1" ht="17.25" customHeight="1">
      <c r="B54" s="574" t="s">
        <v>16</v>
      </c>
      <c r="C54" s="1171">
        <v>208196.02325999999</v>
      </c>
    </row>
    <row r="55" spans="2:7" s="267" customFormat="1">
      <c r="B55" s="574" t="s">
        <v>17</v>
      </c>
      <c r="C55" s="1171">
        <v>6039.0098200000002</v>
      </c>
    </row>
    <row r="56" spans="2:7" ht="14.5">
      <c r="B56" s="61"/>
      <c r="C56" s="1172"/>
      <c r="D56" s="267"/>
      <c r="E56" s="267"/>
      <c r="F56" s="267"/>
      <c r="G56" s="267"/>
    </row>
    <row r="57" spans="2:7" s="267" customFormat="1">
      <c r="B57" s="574" t="s">
        <v>18</v>
      </c>
      <c r="C57" s="1171">
        <v>48597.034814932995</v>
      </c>
    </row>
    <row r="58" spans="2:7" s="267" customFormat="1">
      <c r="B58" s="574" t="s">
        <v>17</v>
      </c>
      <c r="C58" s="1171">
        <v>56.243981906000002</v>
      </c>
    </row>
    <row r="59" spans="2:7" ht="13.5" thickBot="1">
      <c r="B59" s="13"/>
      <c r="C59" s="62"/>
      <c r="D59" s="267"/>
      <c r="E59" s="267"/>
      <c r="F59" s="267"/>
      <c r="G59" s="267"/>
    </row>
    <row r="60" spans="2:7" ht="13.5" thickTop="1">
      <c r="D60" s="267"/>
      <c r="E60" s="267"/>
      <c r="F60" s="267"/>
      <c r="G60" s="267"/>
    </row>
    <row r="61" spans="2:7">
      <c r="B61" s="5" t="s">
        <v>800</v>
      </c>
    </row>
    <row r="62" spans="2:7">
      <c r="C62" s="780"/>
    </row>
    <row r="63" spans="2:7">
      <c r="C63" s="780"/>
    </row>
  </sheetData>
  <mergeCells count="4">
    <mergeCell ref="B6:C6"/>
    <mergeCell ref="B7:C7"/>
    <mergeCell ref="B40:C43"/>
    <mergeCell ref="B46:C46"/>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sheetPr>
    <tabColor theme="3" tint="0.79998168889431442"/>
    <pageSetUpPr fitToPage="1"/>
  </sheetPr>
  <dimension ref="A1:D44"/>
  <sheetViews>
    <sheetView showGridLines="0" showRuler="0" zoomScaleNormal="100" zoomScaleSheetLayoutView="85" workbookViewId="0"/>
  </sheetViews>
  <sheetFormatPr baseColWidth="10" defaultColWidth="11.453125" defaultRowHeight="13"/>
  <cols>
    <col min="1" max="1" width="6.81640625" style="15" customWidth="1"/>
    <col min="2" max="2" width="41.453125" style="15" customWidth="1"/>
    <col min="3" max="3" width="30.81640625" style="15" customWidth="1"/>
    <col min="4" max="4" width="19.26953125" style="15" customWidth="1"/>
    <col min="5" max="7" width="11.453125" style="15"/>
    <col min="8" max="8" width="12.7265625" style="15" bestFit="1" customWidth="1"/>
    <col min="9" max="16384" width="11.453125" style="15"/>
  </cols>
  <sheetData>
    <row r="1" spans="1:4" ht="14.5">
      <c r="A1" s="738" t="s">
        <v>219</v>
      </c>
      <c r="B1" s="740"/>
      <c r="C1" s="247"/>
      <c r="D1" s="247"/>
    </row>
    <row r="2" spans="1:4" ht="15" customHeight="1">
      <c r="A2" s="435"/>
      <c r="B2" s="386" t="str">
        <f>+INDICE!B2</f>
        <v>MINISTERIO DE ECONOMÍA</v>
      </c>
      <c r="C2" s="19"/>
      <c r="D2" s="30"/>
    </row>
    <row r="3" spans="1:4" ht="15" customHeight="1">
      <c r="A3" s="435"/>
      <c r="B3" s="386" t="str">
        <f>+A.4.2!B3</f>
        <v>SECRETARÍA DE FINANZAS</v>
      </c>
      <c r="C3" s="19"/>
      <c r="D3" s="30"/>
    </row>
    <row r="4" spans="1:4" ht="14.5">
      <c r="B4" s="21"/>
      <c r="C4" s="19"/>
      <c r="D4" s="31"/>
    </row>
    <row r="5" spans="1:4">
      <c r="B5" s="19"/>
      <c r="C5" s="19"/>
      <c r="D5" s="31"/>
    </row>
    <row r="6" spans="1:4" ht="17">
      <c r="B6" s="1412" t="s">
        <v>321</v>
      </c>
      <c r="C6" s="1412"/>
      <c r="D6" s="32"/>
    </row>
    <row r="7" spans="1:4" ht="14.5">
      <c r="B7" s="1506" t="s">
        <v>953</v>
      </c>
      <c r="C7" s="1506"/>
      <c r="D7" s="33"/>
    </row>
    <row r="8" spans="1:4" ht="14.5">
      <c r="B8" s="34"/>
      <c r="C8" s="34"/>
      <c r="D8" s="34"/>
    </row>
    <row r="9" spans="1:4" ht="13.5" thickBot="1">
      <c r="B9" s="35"/>
      <c r="C9" s="5"/>
      <c r="D9" s="31"/>
    </row>
    <row r="10" spans="1:4" ht="13.5" customHeight="1" thickTop="1">
      <c r="B10" s="1507" t="s">
        <v>322</v>
      </c>
      <c r="C10" s="1510" t="s">
        <v>346</v>
      </c>
    </row>
    <row r="11" spans="1:4">
      <c r="B11" s="1508"/>
      <c r="C11" s="1511"/>
    </row>
    <row r="12" spans="1:4" ht="13.5" customHeight="1">
      <c r="B12" s="1508"/>
      <c r="C12" s="1511"/>
    </row>
    <row r="13" spans="1:4">
      <c r="B13" s="1509"/>
      <c r="C13" s="1512"/>
    </row>
    <row r="14" spans="1:4">
      <c r="B14" s="36"/>
      <c r="C14" s="37"/>
    </row>
    <row r="15" spans="1:4" ht="15.5">
      <c r="B15" s="577" t="s">
        <v>280</v>
      </c>
      <c r="C15" s="578">
        <f>SUM(C17:C40)</f>
        <v>775180.91999999993</v>
      </c>
      <c r="D15" s="982"/>
    </row>
    <row r="16" spans="1:4" ht="14.5">
      <c r="B16" s="38"/>
      <c r="C16" s="39"/>
    </row>
    <row r="17" spans="2:3" ht="14.5">
      <c r="B17" s="580" t="s">
        <v>323</v>
      </c>
      <c r="C17" s="581">
        <v>11274.05</v>
      </c>
    </row>
    <row r="18" spans="2:3" ht="14.5">
      <c r="B18" s="579" t="s">
        <v>324</v>
      </c>
      <c r="C18" s="581">
        <v>8991.2199999999993</v>
      </c>
    </row>
    <row r="19" spans="2:3" ht="14.5">
      <c r="B19" s="580" t="s">
        <v>325</v>
      </c>
      <c r="C19" s="581">
        <v>21172.77</v>
      </c>
    </row>
    <row r="20" spans="2:3" ht="14.5">
      <c r="B20" s="580" t="s">
        <v>326</v>
      </c>
      <c r="C20" s="581">
        <v>35530.5</v>
      </c>
    </row>
    <row r="21" spans="2:3" ht="14.5">
      <c r="B21" s="580" t="s">
        <v>327</v>
      </c>
      <c r="C21" s="581">
        <v>46282.98</v>
      </c>
    </row>
    <row r="22" spans="2:3" ht="14.5">
      <c r="B22" s="580" t="s">
        <v>328</v>
      </c>
      <c r="C22" s="581">
        <v>21182.86</v>
      </c>
    </row>
    <row r="23" spans="2:3" ht="14.5">
      <c r="B23" s="580" t="s">
        <v>329</v>
      </c>
      <c r="C23" s="581">
        <v>146332.38</v>
      </c>
    </row>
    <row r="24" spans="2:3" ht="14.5">
      <c r="B24" s="580" t="s">
        <v>330</v>
      </c>
      <c r="C24" s="581">
        <v>3859.37</v>
      </c>
    </row>
    <row r="25" spans="2:3" ht="14.5">
      <c r="B25" s="580" t="s">
        <v>0</v>
      </c>
      <c r="C25" s="581">
        <v>135903.04999999999</v>
      </c>
    </row>
    <row r="26" spans="2:3" ht="14.5">
      <c r="B26" s="580" t="s">
        <v>1</v>
      </c>
      <c r="C26" s="581">
        <v>8940.49</v>
      </c>
    </row>
    <row r="27" spans="2:3" ht="14.5">
      <c r="B27" s="580" t="s">
        <v>2</v>
      </c>
      <c r="C27" s="581">
        <v>750.94</v>
      </c>
    </row>
    <row r="28" spans="2:3" ht="14.5">
      <c r="B28" s="579" t="s">
        <v>3</v>
      </c>
      <c r="C28" s="581">
        <v>5554.29</v>
      </c>
    </row>
    <row r="29" spans="2:3" ht="14.5">
      <c r="B29" s="580" t="s">
        <v>4</v>
      </c>
      <c r="C29" s="581">
        <v>137796.54999999999</v>
      </c>
    </row>
    <row r="30" spans="2:3" ht="14.5">
      <c r="B30" s="580" t="s">
        <v>5</v>
      </c>
      <c r="C30" s="581">
        <v>10025.83</v>
      </c>
    </row>
    <row r="31" spans="2:3" ht="14.5">
      <c r="B31" s="580" t="s">
        <v>6</v>
      </c>
      <c r="C31" s="581">
        <v>79319.64</v>
      </c>
    </row>
    <row r="32" spans="2:3" ht="14.5">
      <c r="B32" s="580" t="s">
        <v>7</v>
      </c>
      <c r="C32" s="581">
        <v>15139.95</v>
      </c>
    </row>
    <row r="33" spans="2:3" ht="14.5">
      <c r="B33" s="579" t="s">
        <v>8</v>
      </c>
      <c r="C33" s="581">
        <v>13864.42</v>
      </c>
    </row>
    <row r="34" spans="2:3" ht="14.5">
      <c r="B34" s="580" t="s">
        <v>9</v>
      </c>
      <c r="C34" s="581">
        <v>36151.360000000001</v>
      </c>
    </row>
    <row r="35" spans="2:3" ht="14.5">
      <c r="B35" s="580" t="s">
        <v>10</v>
      </c>
      <c r="C35" s="581">
        <v>0</v>
      </c>
    </row>
    <row r="36" spans="2:3" ht="14.5">
      <c r="B36" s="580" t="s">
        <v>11</v>
      </c>
      <c r="C36" s="581">
        <v>0</v>
      </c>
    </row>
    <row r="37" spans="2:3" ht="14.5">
      <c r="B37" s="580" t="s">
        <v>12</v>
      </c>
      <c r="C37" s="581">
        <v>27215.51</v>
      </c>
    </row>
    <row r="38" spans="2:3" ht="14.5">
      <c r="B38" s="580" t="s">
        <v>13</v>
      </c>
      <c r="C38" s="581">
        <v>7027.62</v>
      </c>
    </row>
    <row r="39" spans="2:3" ht="14.5">
      <c r="B39" s="580" t="s">
        <v>14</v>
      </c>
      <c r="C39" s="581">
        <v>542.15</v>
      </c>
    </row>
    <row r="40" spans="2:3" ht="14.5">
      <c r="B40" s="580" t="s">
        <v>15</v>
      </c>
      <c r="C40" s="581">
        <v>2322.9899999999998</v>
      </c>
    </row>
    <row r="41" spans="2:3" ht="13.5" thickBot="1">
      <c r="B41" s="40"/>
      <c r="C41" s="41"/>
    </row>
    <row r="42" spans="2:3" ht="12.75" customHeight="1" thickTop="1">
      <c r="B42" s="5"/>
      <c r="C42" s="42"/>
    </row>
    <row r="43" spans="2:3" ht="29.25" customHeight="1">
      <c r="B43" s="1513" t="s">
        <v>561</v>
      </c>
      <c r="C43" s="1513"/>
    </row>
    <row r="44" spans="2:3">
      <c r="B44" s="43"/>
      <c r="C44" s="43"/>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sheetPr>
    <tabColor theme="3" tint="0.79998168889431442"/>
    <pageSetUpPr fitToPage="1"/>
  </sheetPr>
  <dimension ref="A1:AF46"/>
  <sheetViews>
    <sheetView showGridLines="0" showRuler="0" zoomScaleNormal="100" zoomScaleSheetLayoutView="85" workbookViewId="0"/>
  </sheetViews>
  <sheetFormatPr baseColWidth="10" defaultColWidth="11.453125" defaultRowHeight="13"/>
  <cols>
    <col min="1" max="1" width="6.81640625" style="1" customWidth="1"/>
    <col min="2" max="2" width="32.7265625" style="1" customWidth="1"/>
    <col min="3" max="3" width="24" style="1" bestFit="1" customWidth="1"/>
    <col min="4" max="16" width="11.54296875" style="1" customWidth="1"/>
    <col min="17" max="17" width="12.26953125" style="1" customWidth="1"/>
    <col min="18" max="28" width="11.54296875" style="1" customWidth="1"/>
    <col min="29" max="29" width="13.7265625" style="1" customWidth="1"/>
    <col min="30" max="30" width="13.81640625" style="1" customWidth="1"/>
    <col min="31" max="31" width="11.54296875" style="1" customWidth="1"/>
    <col min="32" max="16384" width="11.453125" style="1"/>
  </cols>
  <sheetData>
    <row r="1" spans="1:32" ht="14.5">
      <c r="A1" s="738" t="s">
        <v>219</v>
      </c>
      <c r="B1" s="739"/>
      <c r="C1" s="19"/>
    </row>
    <row r="2" spans="1:32" ht="15" customHeight="1">
      <c r="A2" s="190"/>
      <c r="B2" s="386" t="str">
        <f>+INDICE!B2</f>
        <v>MINISTERIO DE ECONOMÍA</v>
      </c>
      <c r="C2" s="19"/>
      <c r="D2" s="19"/>
      <c r="E2" s="19"/>
      <c r="F2" s="19"/>
      <c r="G2" s="19"/>
      <c r="H2" s="19"/>
      <c r="I2" s="19"/>
      <c r="J2" s="19"/>
      <c r="K2" s="19"/>
      <c r="L2" s="19"/>
      <c r="M2" s="19"/>
      <c r="N2" s="19"/>
      <c r="O2" s="19"/>
      <c r="P2" s="20"/>
      <c r="Q2" s="20"/>
      <c r="R2" s="20"/>
      <c r="S2" s="20"/>
      <c r="T2" s="20"/>
      <c r="U2" s="20"/>
      <c r="V2" s="20"/>
      <c r="W2" s="19"/>
      <c r="X2" s="19"/>
      <c r="Y2" s="19"/>
      <c r="Z2" s="19"/>
      <c r="AA2" s="19"/>
      <c r="AB2" s="19"/>
      <c r="AC2" s="19"/>
      <c r="AD2" s="19"/>
      <c r="AE2" s="19"/>
    </row>
    <row r="3" spans="1:32" ht="15" customHeight="1">
      <c r="A3" s="190"/>
      <c r="B3" s="386" t="s">
        <v>304</v>
      </c>
      <c r="C3" s="19"/>
      <c r="D3" s="19"/>
      <c r="E3" s="19"/>
      <c r="F3" s="19"/>
      <c r="G3" s="19"/>
      <c r="H3" s="19"/>
      <c r="I3" s="19"/>
      <c r="J3" s="19"/>
      <c r="K3" s="19"/>
      <c r="L3" s="19"/>
      <c r="M3" s="19"/>
      <c r="N3" s="19"/>
      <c r="O3" s="19"/>
      <c r="P3" s="20"/>
      <c r="Q3" s="20"/>
      <c r="R3" s="20"/>
      <c r="S3" s="20"/>
      <c r="T3" s="20"/>
      <c r="U3" s="20"/>
      <c r="V3" s="20"/>
      <c r="W3" s="19"/>
      <c r="X3" s="19"/>
      <c r="Y3" s="19"/>
      <c r="Z3" s="19"/>
      <c r="AA3" s="19"/>
      <c r="AB3" s="19"/>
      <c r="AC3" s="19"/>
      <c r="AD3" s="19"/>
      <c r="AE3" s="19"/>
    </row>
    <row r="4" spans="1:32">
      <c r="C4" s="19"/>
      <c r="D4" s="19"/>
      <c r="E4" s="19"/>
      <c r="F4" s="19"/>
      <c r="G4" s="19"/>
      <c r="H4" s="19"/>
      <c r="I4" s="19"/>
      <c r="J4" s="19"/>
      <c r="K4" s="19"/>
      <c r="L4" s="19"/>
      <c r="M4" s="19"/>
      <c r="N4" s="19"/>
      <c r="O4" s="19"/>
      <c r="P4" s="20"/>
      <c r="Q4" s="20"/>
      <c r="R4" s="20"/>
      <c r="S4" s="20"/>
      <c r="T4" s="20"/>
      <c r="U4" s="20"/>
      <c r="V4" s="20"/>
      <c r="W4" s="19"/>
      <c r="X4" s="19"/>
      <c r="Y4" s="19"/>
      <c r="Z4" s="19"/>
      <c r="AA4" s="19"/>
      <c r="AB4" s="19"/>
      <c r="AC4" s="19"/>
      <c r="AD4" s="19"/>
      <c r="AE4" s="19"/>
    </row>
    <row r="5" spans="1:32">
      <c r="B5" s="19"/>
      <c r="C5" s="19"/>
      <c r="D5" s="19"/>
      <c r="E5" s="19"/>
      <c r="F5" s="19"/>
      <c r="G5" s="19"/>
      <c r="H5" s="19"/>
      <c r="I5" s="19"/>
      <c r="J5" s="19"/>
      <c r="K5" s="19"/>
      <c r="L5" s="19"/>
      <c r="M5" s="19"/>
      <c r="N5" s="19"/>
      <c r="O5" s="19"/>
      <c r="P5" s="20"/>
      <c r="Q5" s="20"/>
      <c r="R5" s="20"/>
      <c r="S5" s="20"/>
      <c r="T5" s="20"/>
      <c r="U5" s="20"/>
      <c r="V5" s="20"/>
      <c r="W5" s="19"/>
      <c r="X5" s="19"/>
      <c r="Y5" s="19"/>
      <c r="Z5" s="19"/>
      <c r="AA5" s="19"/>
      <c r="AB5" s="19"/>
      <c r="AC5" s="19"/>
      <c r="AD5" s="19"/>
      <c r="AE5" s="19"/>
    </row>
    <row r="6" spans="1:32" ht="17">
      <c r="B6" s="1516" t="s">
        <v>725</v>
      </c>
      <c r="C6" s="1516"/>
      <c r="D6" s="1516"/>
      <c r="E6" s="1516"/>
      <c r="F6" s="1516"/>
      <c r="G6" s="1516"/>
      <c r="H6" s="1516"/>
      <c r="I6" s="1516"/>
      <c r="J6" s="1516"/>
      <c r="K6" s="1516"/>
      <c r="L6" s="1516"/>
      <c r="M6" s="1516"/>
      <c r="N6" s="1516"/>
      <c r="O6" s="1516"/>
      <c r="P6" s="1516"/>
      <c r="Q6" s="1516"/>
      <c r="R6" s="1516"/>
      <c r="S6" s="1516"/>
      <c r="T6" s="1516"/>
      <c r="U6" s="1516"/>
      <c r="V6" s="1516"/>
      <c r="W6" s="1516"/>
      <c r="X6" s="1516"/>
      <c r="Y6" s="1516"/>
      <c r="Z6" s="1516"/>
      <c r="AA6" s="1516"/>
      <c r="AB6" s="1516"/>
      <c r="AC6" s="1295"/>
      <c r="AD6" s="1295"/>
      <c r="AE6" s="22"/>
    </row>
    <row r="7" spans="1:32" ht="14.5">
      <c r="B7" s="1517" t="s">
        <v>30</v>
      </c>
      <c r="C7" s="1517"/>
      <c r="D7" s="1517"/>
      <c r="E7" s="1517"/>
      <c r="F7" s="1517"/>
      <c r="G7" s="1517"/>
      <c r="H7" s="1517"/>
      <c r="I7" s="1517"/>
      <c r="J7" s="1517"/>
      <c r="K7" s="1517"/>
      <c r="L7" s="1517"/>
      <c r="M7" s="1517"/>
      <c r="N7" s="1517"/>
      <c r="O7" s="1517"/>
      <c r="P7" s="1517"/>
      <c r="Q7" s="1517"/>
      <c r="R7" s="1517"/>
      <c r="S7" s="1517"/>
      <c r="T7" s="1517"/>
      <c r="U7" s="1517"/>
      <c r="V7" s="1517"/>
      <c r="W7" s="1517"/>
      <c r="X7" s="1517"/>
      <c r="Y7" s="1517"/>
      <c r="Z7" s="1517"/>
      <c r="AA7" s="1517"/>
      <c r="AB7" s="1517"/>
      <c r="AC7" s="1296"/>
      <c r="AD7" s="1296"/>
      <c r="AE7" s="23"/>
    </row>
    <row r="8" spans="1:32">
      <c r="B8" s="19"/>
      <c r="C8" s="19"/>
      <c r="D8" s="19"/>
      <c r="E8" s="832"/>
      <c r="F8" s="19"/>
      <c r="G8" s="19"/>
      <c r="H8" s="19"/>
      <c r="I8" s="19"/>
      <c r="J8" s="19"/>
      <c r="K8" s="19"/>
      <c r="L8" s="19"/>
      <c r="M8" s="19"/>
      <c r="N8" s="19"/>
      <c r="O8" s="19"/>
      <c r="P8" s="20"/>
      <c r="Q8" s="20"/>
      <c r="R8" s="20"/>
      <c r="S8" s="20"/>
      <c r="T8" s="20"/>
      <c r="U8" s="20"/>
      <c r="V8" s="20"/>
      <c r="W8" s="19"/>
      <c r="X8" s="19"/>
      <c r="Y8" s="19"/>
      <c r="Z8" s="19"/>
      <c r="AA8" s="19"/>
      <c r="AB8" s="19"/>
      <c r="AC8" s="19"/>
      <c r="AD8" s="19"/>
      <c r="AE8" s="19"/>
    </row>
    <row r="9" spans="1:32" ht="13.5" thickBot="1">
      <c r="B9" s="692" t="s">
        <v>166</v>
      </c>
      <c r="C9" s="19"/>
      <c r="D9" s="832"/>
      <c r="E9" s="19"/>
      <c r="F9" s="19"/>
      <c r="G9" s="19"/>
      <c r="H9" s="19"/>
      <c r="I9" s="19"/>
      <c r="J9" s="19"/>
      <c r="K9" s="19"/>
      <c r="L9" s="19"/>
      <c r="M9" s="19"/>
      <c r="N9" s="19"/>
      <c r="O9" s="19"/>
      <c r="P9" s="20"/>
      <c r="Q9" s="20"/>
      <c r="R9" s="20"/>
      <c r="S9" s="20"/>
      <c r="T9" s="20"/>
      <c r="U9" s="20"/>
      <c r="V9" s="20"/>
      <c r="W9" s="19"/>
      <c r="X9" s="19"/>
      <c r="Y9" s="19"/>
      <c r="Z9" s="19"/>
      <c r="AA9" s="19"/>
      <c r="AB9" s="19"/>
      <c r="AC9" s="19"/>
      <c r="AD9" s="832"/>
      <c r="AE9" s="19"/>
    </row>
    <row r="10" spans="1:32" ht="42.75" customHeight="1" thickTop="1" thickBot="1">
      <c r="A10" s="17"/>
      <c r="B10" s="1518" t="s">
        <v>31</v>
      </c>
      <c r="C10" s="1519"/>
      <c r="D10" s="582">
        <v>1993</v>
      </c>
      <c r="E10" s="582">
        <v>1994</v>
      </c>
      <c r="F10" s="582">
        <v>1995</v>
      </c>
      <c r="G10" s="582">
        <v>1996</v>
      </c>
      <c r="H10" s="582">
        <v>1997</v>
      </c>
      <c r="I10" s="582">
        <v>1998</v>
      </c>
      <c r="J10" s="582">
        <v>1999</v>
      </c>
      <c r="K10" s="582">
        <v>2000</v>
      </c>
      <c r="L10" s="582">
        <v>2001</v>
      </c>
      <c r="M10" s="582">
        <v>2002</v>
      </c>
      <c r="N10" s="582">
        <v>2003</v>
      </c>
      <c r="O10" s="583">
        <v>2004</v>
      </c>
      <c r="P10" s="583">
        <v>2005</v>
      </c>
      <c r="Q10" s="583">
        <v>2006</v>
      </c>
      <c r="R10" s="583">
        <v>2007</v>
      </c>
      <c r="S10" s="583">
        <v>2008</v>
      </c>
      <c r="T10" s="583">
        <v>2009</v>
      </c>
      <c r="U10" s="583">
        <v>2010</v>
      </c>
      <c r="V10" s="584">
        <v>2011</v>
      </c>
      <c r="W10" s="584">
        <v>2012</v>
      </c>
      <c r="X10" s="583">
        <v>2013</v>
      </c>
      <c r="Y10" s="509">
        <v>2014</v>
      </c>
      <c r="Z10" s="509">
        <v>2015</v>
      </c>
      <c r="AA10" s="509">
        <v>2016</v>
      </c>
      <c r="AB10" s="509">
        <v>2017</v>
      </c>
      <c r="AC10" s="509">
        <v>2018</v>
      </c>
      <c r="AD10" s="509">
        <v>2019</v>
      </c>
      <c r="AE10" s="509" t="s">
        <v>299</v>
      </c>
    </row>
    <row r="11" spans="1:32" ht="15" thickTop="1">
      <c r="A11" s="25"/>
      <c r="B11" s="1520" t="s">
        <v>32</v>
      </c>
      <c r="C11" s="585" t="s">
        <v>33</v>
      </c>
      <c r="D11" s="586">
        <v>1596.86</v>
      </c>
      <c r="E11" s="586">
        <v>873.74</v>
      </c>
      <c r="F11" s="586">
        <v>2404.88</v>
      </c>
      <c r="G11" s="586">
        <v>824.23</v>
      </c>
      <c r="H11" s="586">
        <v>441.81599999999997</v>
      </c>
      <c r="I11" s="586">
        <v>0</v>
      </c>
      <c r="J11" s="586">
        <v>0</v>
      </c>
      <c r="K11" s="586">
        <v>2067.4160000000002</v>
      </c>
      <c r="L11" s="586">
        <v>10563.591</v>
      </c>
      <c r="M11" s="586">
        <v>0</v>
      </c>
      <c r="N11" s="586">
        <v>5604.7070000000003</v>
      </c>
      <c r="O11" s="587">
        <v>3450.8789999999999</v>
      </c>
      <c r="P11" s="587">
        <v>0</v>
      </c>
      <c r="Q11" s="587">
        <v>0</v>
      </c>
      <c r="R11" s="587">
        <v>0</v>
      </c>
      <c r="S11" s="587">
        <v>0</v>
      </c>
      <c r="T11" s="587">
        <v>0</v>
      </c>
      <c r="U11" s="587">
        <v>0</v>
      </c>
      <c r="V11" s="587">
        <v>0</v>
      </c>
      <c r="W11" s="587">
        <v>0</v>
      </c>
      <c r="X11" s="586">
        <v>0</v>
      </c>
      <c r="Y11" s="586">
        <v>0</v>
      </c>
      <c r="Z11" s="586">
        <v>0</v>
      </c>
      <c r="AA11" s="586">
        <v>0</v>
      </c>
      <c r="AB11" s="586">
        <v>0</v>
      </c>
      <c r="AC11" s="615">
        <v>28251.8269</v>
      </c>
      <c r="AD11" s="1302">
        <v>16224.898999999999</v>
      </c>
      <c r="AE11" s="588">
        <f>SUM(D11:AD11)</f>
        <v>72304.844899999996</v>
      </c>
      <c r="AF11" s="90"/>
    </row>
    <row r="12" spans="1:32" ht="14.5">
      <c r="A12" s="27"/>
      <c r="B12" s="1520"/>
      <c r="C12" s="589" t="s">
        <v>34</v>
      </c>
      <c r="D12" s="590">
        <v>-275.69</v>
      </c>
      <c r="E12" s="590">
        <v>-227.16</v>
      </c>
      <c r="F12" s="590">
        <v>-285.08999999999997</v>
      </c>
      <c r="G12" s="590">
        <v>-273.45999999999998</v>
      </c>
      <c r="H12" s="590">
        <v>-481.91800000000001</v>
      </c>
      <c r="I12" s="590">
        <v>-653.86500000000001</v>
      </c>
      <c r="J12" s="590">
        <v>-827.11800000000005</v>
      </c>
      <c r="K12" s="590">
        <v>-1283.886</v>
      </c>
      <c r="L12" s="590">
        <v>-1182.9860000000001</v>
      </c>
      <c r="M12" s="590">
        <v>-729.2</v>
      </c>
      <c r="N12" s="590">
        <v>-5705.8109999999997</v>
      </c>
      <c r="O12" s="591">
        <v>-5493.8029999999999</v>
      </c>
      <c r="P12" s="591">
        <v>-3588.5559000000007</v>
      </c>
      <c r="Q12" s="591">
        <v>-9530.1106799999998</v>
      </c>
      <c r="R12" s="591">
        <v>0</v>
      </c>
      <c r="S12" s="591">
        <v>0</v>
      </c>
      <c r="T12" s="591">
        <v>0</v>
      </c>
      <c r="U12" s="591">
        <v>0</v>
      </c>
      <c r="V12" s="591">
        <v>0</v>
      </c>
      <c r="W12" s="591">
        <v>0</v>
      </c>
      <c r="X12" s="590">
        <v>0</v>
      </c>
      <c r="Y12" s="590">
        <v>0</v>
      </c>
      <c r="Z12" s="590">
        <v>0</v>
      </c>
      <c r="AA12" s="834">
        <v>0</v>
      </c>
      <c r="AB12" s="834">
        <v>0</v>
      </c>
      <c r="AC12" s="615">
        <v>0</v>
      </c>
      <c r="AD12" s="1302">
        <v>0</v>
      </c>
      <c r="AE12" s="592">
        <f>SUM(D12:AD12)</f>
        <v>-30538.653579999998</v>
      </c>
      <c r="AF12" s="90"/>
    </row>
    <row r="13" spans="1:32" ht="14.5">
      <c r="A13" s="27"/>
      <c r="B13" s="1520"/>
      <c r="C13" s="589" t="s">
        <v>35</v>
      </c>
      <c r="D13" s="590">
        <v>1321.17</v>
      </c>
      <c r="E13" s="590">
        <v>646.58000000000004</v>
      </c>
      <c r="F13" s="590">
        <v>2119.79</v>
      </c>
      <c r="G13" s="590">
        <v>550.77</v>
      </c>
      <c r="H13" s="590">
        <v>-40.102000000000032</v>
      </c>
      <c r="I13" s="590">
        <v>-653.86500000000001</v>
      </c>
      <c r="J13" s="590">
        <v>-827.11800000000005</v>
      </c>
      <c r="K13" s="590">
        <v>783.53</v>
      </c>
      <c r="L13" s="590">
        <v>9380.6049999999996</v>
      </c>
      <c r="M13" s="590">
        <v>-729.2</v>
      </c>
      <c r="N13" s="590">
        <v>-101.10399999999936</v>
      </c>
      <c r="O13" s="591">
        <v>-2042.924</v>
      </c>
      <c r="P13" s="591">
        <v>-3588.5559000000007</v>
      </c>
      <c r="Q13" s="591">
        <v>-9530.1106799999998</v>
      </c>
      <c r="R13" s="591">
        <v>0</v>
      </c>
      <c r="S13" s="591">
        <v>0</v>
      </c>
      <c r="T13" s="591">
        <v>0</v>
      </c>
      <c r="U13" s="591">
        <v>0</v>
      </c>
      <c r="V13" s="591">
        <v>0</v>
      </c>
      <c r="W13" s="591">
        <v>0</v>
      </c>
      <c r="X13" s="590">
        <v>0</v>
      </c>
      <c r="Y13" s="590">
        <v>0</v>
      </c>
      <c r="Z13" s="590">
        <v>0</v>
      </c>
      <c r="AA13" s="834">
        <v>0</v>
      </c>
      <c r="AB13" s="834">
        <v>0</v>
      </c>
      <c r="AC13" s="615">
        <v>28251.8269</v>
      </c>
      <c r="AD13" s="1302">
        <f>+AD11+AD12</f>
        <v>16224.898999999999</v>
      </c>
      <c r="AE13" s="592">
        <f>SUM(D13:AD13)</f>
        <v>41766.191319999998</v>
      </c>
      <c r="AF13" s="90"/>
    </row>
    <row r="14" spans="1:32" ht="14.5">
      <c r="A14" s="27"/>
      <c r="B14" s="1520"/>
      <c r="C14" s="589" t="s">
        <v>36</v>
      </c>
      <c r="D14" s="590">
        <v>-275.69</v>
      </c>
      <c r="E14" s="590">
        <v>-227.16</v>
      </c>
      <c r="F14" s="590">
        <v>-285.08999999999997</v>
      </c>
      <c r="G14" s="590">
        <v>-273.45</v>
      </c>
      <c r="H14" s="590">
        <v>-274.46100000000001</v>
      </c>
      <c r="I14" s="590">
        <v>-264.10399999999998</v>
      </c>
      <c r="J14" s="590">
        <v>-201.952</v>
      </c>
      <c r="K14" s="590">
        <v>-200.82300000000001</v>
      </c>
      <c r="L14" s="590">
        <v>-464.44299999999998</v>
      </c>
      <c r="M14" s="590">
        <v>-692.75</v>
      </c>
      <c r="N14" s="590">
        <v>-651.03</v>
      </c>
      <c r="O14" s="591">
        <v>-552.93399999999997</v>
      </c>
      <c r="P14" s="591">
        <v>-513.19270000000006</v>
      </c>
      <c r="Q14" s="591">
        <v>-80.734499999999997</v>
      </c>
      <c r="R14" s="591">
        <v>0</v>
      </c>
      <c r="S14" s="591">
        <v>0</v>
      </c>
      <c r="T14" s="591">
        <v>0</v>
      </c>
      <c r="U14" s="591">
        <v>0</v>
      </c>
      <c r="V14" s="591">
        <v>0</v>
      </c>
      <c r="W14" s="591">
        <v>0</v>
      </c>
      <c r="X14" s="590">
        <v>0</v>
      </c>
      <c r="Y14" s="590">
        <v>0</v>
      </c>
      <c r="Z14" s="590">
        <v>0</v>
      </c>
      <c r="AA14" s="834">
        <v>0</v>
      </c>
      <c r="AB14" s="834">
        <v>0</v>
      </c>
      <c r="AC14" s="615">
        <v>-153.255</v>
      </c>
      <c r="AD14" s="1302">
        <v>-1227.3635300000001</v>
      </c>
      <c r="AE14" s="592">
        <f>SUM(D14:AD14)</f>
        <v>-6338.4327300000004</v>
      </c>
      <c r="AF14" s="90"/>
    </row>
    <row r="15" spans="1:32" ht="14.5">
      <c r="A15" s="27"/>
      <c r="B15" s="1521"/>
      <c r="C15" s="593" t="s">
        <v>37</v>
      </c>
      <c r="D15" s="594">
        <v>1045.48</v>
      </c>
      <c r="E15" s="594">
        <v>419.42</v>
      </c>
      <c r="F15" s="594">
        <v>1834.7</v>
      </c>
      <c r="G15" s="594">
        <v>277.32</v>
      </c>
      <c r="H15" s="594">
        <v>-314.56300000000005</v>
      </c>
      <c r="I15" s="594">
        <v>-917.96900000000005</v>
      </c>
      <c r="J15" s="594">
        <v>-1029.07</v>
      </c>
      <c r="K15" s="594">
        <v>582.70700000000022</v>
      </c>
      <c r="L15" s="594">
        <v>8916.1620000000003</v>
      </c>
      <c r="M15" s="594">
        <v>-1421.95</v>
      </c>
      <c r="N15" s="594">
        <v>-752.13399999999933</v>
      </c>
      <c r="O15" s="595">
        <v>-2595.8580000000002</v>
      </c>
      <c r="P15" s="595">
        <v>-4101.7486000000008</v>
      </c>
      <c r="Q15" s="595">
        <v>-9610.8451800000003</v>
      </c>
      <c r="R15" s="595">
        <v>0</v>
      </c>
      <c r="S15" s="595">
        <v>0</v>
      </c>
      <c r="T15" s="595">
        <v>0</v>
      </c>
      <c r="U15" s="596">
        <v>0</v>
      </c>
      <c r="V15" s="596">
        <v>0</v>
      </c>
      <c r="W15" s="596">
        <v>0</v>
      </c>
      <c r="X15" s="597">
        <v>0</v>
      </c>
      <c r="Y15" s="597">
        <v>0</v>
      </c>
      <c r="Z15" s="597">
        <v>0</v>
      </c>
      <c r="AA15" s="835">
        <v>0</v>
      </c>
      <c r="AB15" s="835">
        <v>0</v>
      </c>
      <c r="AC15" s="838">
        <v>28098.571899999999</v>
      </c>
      <c r="AD15" s="1303">
        <f>+AD13+AD14</f>
        <v>14997.535469999999</v>
      </c>
      <c r="AE15" s="592">
        <f>SUM(D15:AD15)</f>
        <v>35427.758589999998</v>
      </c>
      <c r="AF15" s="90"/>
    </row>
    <row r="16" spans="1:32" ht="14.5">
      <c r="A16" s="27"/>
      <c r="B16" s="599"/>
      <c r="C16" s="600"/>
      <c r="D16" s="601"/>
      <c r="E16" s="601"/>
      <c r="F16" s="601"/>
      <c r="G16" s="601"/>
      <c r="H16" s="602"/>
      <c r="I16" s="602"/>
      <c r="J16" s="602"/>
      <c r="K16" s="602"/>
      <c r="L16" s="602"/>
      <c r="M16" s="602"/>
      <c r="N16" s="602"/>
      <c r="O16" s="602"/>
      <c r="P16" s="602"/>
      <c r="Q16" s="602"/>
      <c r="R16" s="602"/>
      <c r="S16" s="602"/>
      <c r="T16" s="602"/>
      <c r="U16" s="602"/>
      <c r="V16" s="602"/>
      <c r="W16" s="602"/>
      <c r="X16" s="836"/>
      <c r="Y16" s="836"/>
      <c r="Z16" s="836"/>
      <c r="AA16" s="837"/>
      <c r="AB16" s="837"/>
      <c r="AC16" s="603"/>
      <c r="AD16" s="1014"/>
      <c r="AE16" s="604"/>
      <c r="AF16" s="90"/>
    </row>
    <row r="17" spans="1:32" ht="14.5">
      <c r="A17" s="27"/>
      <c r="B17" s="1522" t="s">
        <v>38</v>
      </c>
      <c r="C17" s="605" t="s">
        <v>33</v>
      </c>
      <c r="D17" s="606">
        <v>1057.33</v>
      </c>
      <c r="E17" s="606">
        <v>248.98</v>
      </c>
      <c r="F17" s="606">
        <v>1058.03</v>
      </c>
      <c r="G17" s="606">
        <v>534.91999999999996</v>
      </c>
      <c r="H17" s="606">
        <v>905.68100000000004</v>
      </c>
      <c r="I17" s="606">
        <v>1485.9259999999999</v>
      </c>
      <c r="J17" s="606">
        <v>1218.566</v>
      </c>
      <c r="K17" s="606">
        <v>939.84900000000005</v>
      </c>
      <c r="L17" s="606">
        <v>1490.569</v>
      </c>
      <c r="M17" s="606">
        <v>416.71</v>
      </c>
      <c r="N17" s="606">
        <v>2666.4757</v>
      </c>
      <c r="O17" s="607">
        <v>343.71780000000001</v>
      </c>
      <c r="P17" s="607">
        <v>597.14289999999994</v>
      </c>
      <c r="Q17" s="607">
        <v>1132.6512399999999</v>
      </c>
      <c r="R17" s="607">
        <v>1507.2867999999999</v>
      </c>
      <c r="S17" s="607">
        <v>1230.7251270000002</v>
      </c>
      <c r="T17" s="607">
        <v>1697.5356000000002</v>
      </c>
      <c r="U17" s="607">
        <v>1437.2670000000001</v>
      </c>
      <c r="V17" s="607">
        <v>1267.4725989999999</v>
      </c>
      <c r="W17" s="607">
        <v>1016.7822</v>
      </c>
      <c r="X17" s="606">
        <v>1120.8499999999999</v>
      </c>
      <c r="Y17" s="606">
        <v>1276.7053810000002</v>
      </c>
      <c r="Z17" s="606">
        <v>769.90560362999997</v>
      </c>
      <c r="AA17" s="606">
        <v>1210.202</v>
      </c>
      <c r="AB17" s="606">
        <v>1243.8526999999999</v>
      </c>
      <c r="AC17" s="839">
        <v>1404.92</v>
      </c>
      <c r="AD17" s="1304">
        <v>1188.4048399999999</v>
      </c>
      <c r="AE17" s="592">
        <f>SUM(D17:AD17)</f>
        <v>30468.458490629997</v>
      </c>
      <c r="AF17" s="90"/>
    </row>
    <row r="18" spans="1:32" ht="14.5">
      <c r="A18" s="27"/>
      <c r="B18" s="1523"/>
      <c r="C18" s="589" t="s">
        <v>34</v>
      </c>
      <c r="D18" s="590">
        <v>-266.33999999999997</v>
      </c>
      <c r="E18" s="590">
        <v>-272.52</v>
      </c>
      <c r="F18" s="590">
        <v>-296.48</v>
      </c>
      <c r="G18" s="590">
        <v>-514.95000000000005</v>
      </c>
      <c r="H18" s="590">
        <v>-307.25200000000001</v>
      </c>
      <c r="I18" s="590">
        <v>-342.322</v>
      </c>
      <c r="J18" s="590">
        <v>-355.54899999999998</v>
      </c>
      <c r="K18" s="590">
        <v>-349.238</v>
      </c>
      <c r="L18" s="590">
        <v>-306.82799999999997</v>
      </c>
      <c r="M18" s="590">
        <v>-937.18</v>
      </c>
      <c r="N18" s="590">
        <v>-2368.0730000000003</v>
      </c>
      <c r="O18" s="591">
        <v>-504.66300000000007</v>
      </c>
      <c r="P18" s="591">
        <v>-535.65780000000007</v>
      </c>
      <c r="Q18" s="591">
        <v>-1225.6431000000002</v>
      </c>
      <c r="R18" s="591">
        <v>-1524.6769200000001</v>
      </c>
      <c r="S18" s="591">
        <v>-1298.3613999999998</v>
      </c>
      <c r="T18" s="591">
        <v>-858.45699999999999</v>
      </c>
      <c r="U18" s="591">
        <v>-859.53989999999999</v>
      </c>
      <c r="V18" s="591">
        <v>-894.82090000000005</v>
      </c>
      <c r="W18" s="591">
        <v>-908.4556</v>
      </c>
      <c r="X18" s="590">
        <v>-900.6241</v>
      </c>
      <c r="Y18" s="590">
        <v>-936.31184699999994</v>
      </c>
      <c r="Z18" s="590">
        <v>-990.35194340944179</v>
      </c>
      <c r="AA18" s="590">
        <v>-869.35400000000004</v>
      </c>
      <c r="AB18" s="590">
        <v>-887.76975778999997</v>
      </c>
      <c r="AC18" s="839">
        <v>-865.38293600000009</v>
      </c>
      <c r="AD18" s="1304">
        <v>-857.02170000000001</v>
      </c>
      <c r="AE18" s="592">
        <f>SUM(D18:AD18)</f>
        <v>-21233.823904199446</v>
      </c>
      <c r="AF18" s="90"/>
    </row>
    <row r="19" spans="1:32" ht="14.5">
      <c r="A19" s="27"/>
      <c r="B19" s="1523"/>
      <c r="C19" s="589" t="s">
        <v>35</v>
      </c>
      <c r="D19" s="590">
        <v>790.99</v>
      </c>
      <c r="E19" s="590">
        <v>-23.54</v>
      </c>
      <c r="F19" s="590">
        <v>761.55</v>
      </c>
      <c r="G19" s="590">
        <v>19.969999999999914</v>
      </c>
      <c r="H19" s="590">
        <v>598.42900000000009</v>
      </c>
      <c r="I19" s="590">
        <v>1143.6039999999998</v>
      </c>
      <c r="J19" s="590">
        <v>863.01700000000005</v>
      </c>
      <c r="K19" s="590">
        <v>590.6110000000001</v>
      </c>
      <c r="L19" s="590">
        <v>1183.741</v>
      </c>
      <c r="M19" s="590">
        <v>-520.47</v>
      </c>
      <c r="N19" s="590">
        <v>298.40269999999964</v>
      </c>
      <c r="O19" s="590">
        <v>-160.94520000000006</v>
      </c>
      <c r="P19" s="590">
        <v>61.485099999999875</v>
      </c>
      <c r="Q19" s="590">
        <v>-92.991860000000315</v>
      </c>
      <c r="R19" s="590">
        <v>-17.390120000000252</v>
      </c>
      <c r="S19" s="590">
        <v>-67.636272999999619</v>
      </c>
      <c r="T19" s="590">
        <v>839.07860000000016</v>
      </c>
      <c r="U19" s="590">
        <v>577.72710000000006</v>
      </c>
      <c r="V19" s="590">
        <v>372.65169899999989</v>
      </c>
      <c r="W19" s="591">
        <v>108.3266000000001</v>
      </c>
      <c r="X19" s="590">
        <v>220.22589999999991</v>
      </c>
      <c r="Y19" s="590">
        <v>340.39353400000027</v>
      </c>
      <c r="Z19" s="590">
        <v>-220.44633977944181</v>
      </c>
      <c r="AA19" s="590">
        <v>340.84800000000001</v>
      </c>
      <c r="AB19" s="590">
        <v>356.08294220999994</v>
      </c>
      <c r="AC19" s="839">
        <v>539.53706399999999</v>
      </c>
      <c r="AD19" s="1304">
        <f>+AD17+AD18</f>
        <v>331.38313999999991</v>
      </c>
      <c r="AE19" s="592">
        <f>SUM(D19:AD19)</f>
        <v>9234.6345864305586</v>
      </c>
      <c r="AF19" s="90"/>
    </row>
    <row r="20" spans="1:32" ht="14.5">
      <c r="A20" s="27"/>
      <c r="B20" s="1523"/>
      <c r="C20" s="589" t="s">
        <v>36</v>
      </c>
      <c r="D20" s="590">
        <v>-262.69</v>
      </c>
      <c r="E20" s="590">
        <v>-267.88</v>
      </c>
      <c r="F20" s="590">
        <v>-296.77</v>
      </c>
      <c r="G20" s="590">
        <v>-374.56</v>
      </c>
      <c r="H20" s="590">
        <v>-335.346</v>
      </c>
      <c r="I20" s="590">
        <v>-328.45400000000001</v>
      </c>
      <c r="J20" s="590">
        <v>-432.49299999999999</v>
      </c>
      <c r="K20" s="590">
        <v>-496.81</v>
      </c>
      <c r="L20" s="590">
        <v>-427.95</v>
      </c>
      <c r="M20" s="590">
        <v>-481.66</v>
      </c>
      <c r="N20" s="590">
        <v>-571.07230000000004</v>
      </c>
      <c r="O20" s="591">
        <v>-423.10469999999998</v>
      </c>
      <c r="P20" s="591">
        <v>-453.21725900000001</v>
      </c>
      <c r="Q20" s="591">
        <v>-483.76660000000004</v>
      </c>
      <c r="R20" s="591">
        <v>-478.80879999999996</v>
      </c>
      <c r="S20" s="591">
        <v>-425.13440000000003</v>
      </c>
      <c r="T20" s="591">
        <v>-365.779</v>
      </c>
      <c r="U20" s="591">
        <v>-366.08380000000005</v>
      </c>
      <c r="V20" s="591">
        <v>-322.2851</v>
      </c>
      <c r="W20" s="591">
        <v>-310.19052099999999</v>
      </c>
      <c r="X20" s="590">
        <v>-366.15729999999996</v>
      </c>
      <c r="Y20" s="590">
        <v>-366.16507000000001</v>
      </c>
      <c r="Z20" s="590">
        <v>-419.5620609160776</v>
      </c>
      <c r="AA20" s="590">
        <v>-429.27</v>
      </c>
      <c r="AB20" s="590">
        <v>-387.53064999999998</v>
      </c>
      <c r="AC20" s="839">
        <v>-393.08369999999996</v>
      </c>
      <c r="AD20" s="1304">
        <v>-439.42313999999999</v>
      </c>
      <c r="AE20" s="592">
        <f>SUM(D20:AD20)</f>
        <v>-10705.24740091608</v>
      </c>
      <c r="AF20" s="90"/>
    </row>
    <row r="21" spans="1:32" ht="14.5">
      <c r="A21" s="27"/>
      <c r="B21" s="1523"/>
      <c r="C21" s="608" t="s">
        <v>37</v>
      </c>
      <c r="D21" s="597">
        <v>528.29999999999995</v>
      </c>
      <c r="E21" s="597">
        <v>-291.42</v>
      </c>
      <c r="F21" s="597">
        <v>464.78</v>
      </c>
      <c r="G21" s="597">
        <v>-354.59</v>
      </c>
      <c r="H21" s="597">
        <v>263.08300000000008</v>
      </c>
      <c r="I21" s="597">
        <v>815.15</v>
      </c>
      <c r="J21" s="597">
        <v>430.52400000000006</v>
      </c>
      <c r="K21" s="597">
        <v>93.801000000000101</v>
      </c>
      <c r="L21" s="597">
        <v>755.79099999999994</v>
      </c>
      <c r="M21" s="597">
        <v>-1002.13</v>
      </c>
      <c r="N21" s="597">
        <v>-272.6696000000004</v>
      </c>
      <c r="O21" s="597">
        <v>-584.04989999999998</v>
      </c>
      <c r="P21" s="597">
        <v>-391.73215900000014</v>
      </c>
      <c r="Q21" s="597">
        <v>-576.75846000000035</v>
      </c>
      <c r="R21" s="597">
        <v>-496.19892000000021</v>
      </c>
      <c r="S21" s="597">
        <v>-492.77067299999965</v>
      </c>
      <c r="T21" s="597">
        <v>473.29960000000017</v>
      </c>
      <c r="U21" s="597">
        <v>211.64330000000001</v>
      </c>
      <c r="V21" s="597">
        <v>50.366598999999894</v>
      </c>
      <c r="W21" s="596">
        <v>-201.86392099999989</v>
      </c>
      <c r="X21" s="597">
        <v>-145.93140000000005</v>
      </c>
      <c r="Y21" s="597">
        <v>-25.771535999999742</v>
      </c>
      <c r="Z21" s="597">
        <v>-640.00840069551941</v>
      </c>
      <c r="AA21" s="597">
        <v>-88.421999999999997</v>
      </c>
      <c r="AB21" s="597">
        <v>-31.447707790000038</v>
      </c>
      <c r="AC21" s="839">
        <v>146.45336400000002</v>
      </c>
      <c r="AD21" s="1304">
        <f>+AD20+AD19</f>
        <v>-108.04000000000008</v>
      </c>
      <c r="AE21" s="592">
        <f>SUM(D21:AD21)</f>
        <v>-1470.6128144855202</v>
      </c>
      <c r="AF21" s="90"/>
    </row>
    <row r="22" spans="1:32" ht="14.5">
      <c r="A22" s="27"/>
      <c r="B22" s="599"/>
      <c r="C22" s="600"/>
      <c r="D22" s="601"/>
      <c r="E22" s="601"/>
      <c r="F22" s="601"/>
      <c r="G22" s="601"/>
      <c r="H22" s="602"/>
      <c r="I22" s="602"/>
      <c r="J22" s="602"/>
      <c r="K22" s="602"/>
      <c r="L22" s="602"/>
      <c r="M22" s="602"/>
      <c r="N22" s="602"/>
      <c r="O22" s="602"/>
      <c r="P22" s="602"/>
      <c r="Q22" s="602"/>
      <c r="R22" s="602"/>
      <c r="S22" s="602"/>
      <c r="T22" s="602"/>
      <c r="U22" s="602"/>
      <c r="V22" s="602"/>
      <c r="W22" s="602"/>
      <c r="X22" s="836"/>
      <c r="Y22" s="836"/>
      <c r="Z22" s="836"/>
      <c r="AA22" s="837"/>
      <c r="AB22" s="837"/>
      <c r="AC22" s="603"/>
      <c r="AD22" s="1014"/>
      <c r="AE22" s="604"/>
      <c r="AF22" s="90"/>
    </row>
    <row r="23" spans="1:32" ht="14.5">
      <c r="A23" s="27"/>
      <c r="B23" s="1522" t="s">
        <v>39</v>
      </c>
      <c r="C23" s="605" t="s">
        <v>33</v>
      </c>
      <c r="D23" s="609">
        <v>1514.33</v>
      </c>
      <c r="E23" s="609">
        <v>548.36300000000006</v>
      </c>
      <c r="F23" s="609">
        <v>946.19</v>
      </c>
      <c r="G23" s="609">
        <v>1077.76</v>
      </c>
      <c r="H23" s="609">
        <v>798.84799999999996</v>
      </c>
      <c r="I23" s="609">
        <v>1996.81</v>
      </c>
      <c r="J23" s="609">
        <v>1609.876</v>
      </c>
      <c r="K23" s="609">
        <v>1014.423</v>
      </c>
      <c r="L23" s="609">
        <v>1328.0119999999999</v>
      </c>
      <c r="M23" s="609">
        <v>178.59</v>
      </c>
      <c r="N23" s="609">
        <v>1962.5259999999998</v>
      </c>
      <c r="O23" s="610">
        <v>769.53399999999999</v>
      </c>
      <c r="P23" s="610">
        <v>362.03898999999996</v>
      </c>
      <c r="Q23" s="610">
        <v>467.51609999999999</v>
      </c>
      <c r="R23" s="610">
        <v>518.27520500000003</v>
      </c>
      <c r="S23" s="610">
        <v>335.66874893999994</v>
      </c>
      <c r="T23" s="610">
        <v>1028.6224</v>
      </c>
      <c r="U23" s="610">
        <v>790.81500000000005</v>
      </c>
      <c r="V23" s="610">
        <v>841.21100000000001</v>
      </c>
      <c r="W23" s="610">
        <v>753.39196800000013</v>
      </c>
      <c r="X23" s="609">
        <v>1154.8860000000002</v>
      </c>
      <c r="Y23" s="609">
        <v>571.04719999999998</v>
      </c>
      <c r="Z23" s="609">
        <v>641.65977972000019</v>
      </c>
      <c r="AA23" s="612">
        <v>936.16300000000001</v>
      </c>
      <c r="AB23" s="612">
        <v>902.76807637000002</v>
      </c>
      <c r="AC23" s="840">
        <v>1244.3645799999999</v>
      </c>
      <c r="AD23" s="1305">
        <v>760.66393500000004</v>
      </c>
      <c r="AE23" s="611">
        <f>SUM(D23:AD23)</f>
        <v>25054.35398303</v>
      </c>
      <c r="AF23" s="90"/>
    </row>
    <row r="24" spans="1:32" ht="14.5">
      <c r="A24" s="27"/>
      <c r="B24" s="1523"/>
      <c r="C24" s="589" t="s">
        <v>34</v>
      </c>
      <c r="D24" s="612">
        <v>-270.17</v>
      </c>
      <c r="E24" s="612">
        <v>-361.74</v>
      </c>
      <c r="F24" s="612">
        <v>-210.26</v>
      </c>
      <c r="G24" s="612">
        <v>-256.91000000000003</v>
      </c>
      <c r="H24" s="612">
        <v>-299.74799999999999</v>
      </c>
      <c r="I24" s="612">
        <v>-365.62299999999999</v>
      </c>
      <c r="J24" s="612">
        <v>-461.54300000000001</v>
      </c>
      <c r="K24" s="612">
        <v>-559.59199999999998</v>
      </c>
      <c r="L24" s="612">
        <v>-709.29399999999998</v>
      </c>
      <c r="M24" s="612">
        <v>-1340.34</v>
      </c>
      <c r="N24" s="612">
        <v>-2976.9155999999998</v>
      </c>
      <c r="O24" s="613">
        <v>-859.57168000000001</v>
      </c>
      <c r="P24" s="613">
        <v>-934.1669999999998</v>
      </c>
      <c r="Q24" s="613">
        <v>-1143.2294000000002</v>
      </c>
      <c r="R24" s="613">
        <v>-1044.8227280400001</v>
      </c>
      <c r="S24" s="613">
        <v>-939.90089999999987</v>
      </c>
      <c r="T24" s="613">
        <v>-794.30639999999994</v>
      </c>
      <c r="U24" s="613">
        <v>-746.69100000000003</v>
      </c>
      <c r="V24" s="613">
        <v>-630.34260000000006</v>
      </c>
      <c r="W24" s="613">
        <v>-684.65250000000003</v>
      </c>
      <c r="X24" s="612">
        <v>-665.16909999999996</v>
      </c>
      <c r="Y24" s="612">
        <v>-669.62632700000006</v>
      </c>
      <c r="Z24" s="612">
        <v>-789.74793167522989</v>
      </c>
      <c r="AA24" s="612">
        <v>-739.51</v>
      </c>
      <c r="AB24" s="612">
        <v>-632.19048999999995</v>
      </c>
      <c r="AC24" s="840">
        <v>-697.93946400000004</v>
      </c>
      <c r="AD24" s="1305">
        <v>-511.25900000000001</v>
      </c>
      <c r="AE24" s="611">
        <f>SUM(D24:AD24)</f>
        <v>-20295.262120715226</v>
      </c>
      <c r="AF24" s="90"/>
    </row>
    <row r="25" spans="1:32" ht="14.5">
      <c r="A25" s="27"/>
      <c r="B25" s="1523"/>
      <c r="C25" s="589" t="s">
        <v>35</v>
      </c>
      <c r="D25" s="612">
        <v>1244.1600000000001</v>
      </c>
      <c r="E25" s="612">
        <v>186.62300000000005</v>
      </c>
      <c r="F25" s="612">
        <v>735.93</v>
      </c>
      <c r="G25" s="612">
        <v>820.85</v>
      </c>
      <c r="H25" s="612">
        <v>499.1</v>
      </c>
      <c r="I25" s="612">
        <v>1631.1869999999999</v>
      </c>
      <c r="J25" s="612">
        <v>1148.3330000000001</v>
      </c>
      <c r="K25" s="612">
        <v>454.83100000000002</v>
      </c>
      <c r="L25" s="612">
        <v>618.71799999999996</v>
      </c>
      <c r="M25" s="612">
        <v>-1161.75</v>
      </c>
      <c r="N25" s="612">
        <v>-1014.3896</v>
      </c>
      <c r="O25" s="612">
        <v>-90.037680000000023</v>
      </c>
      <c r="P25" s="612">
        <v>-572.1280099999999</v>
      </c>
      <c r="Q25" s="612">
        <v>-675.71330000000012</v>
      </c>
      <c r="R25" s="612">
        <v>-526.5475230400001</v>
      </c>
      <c r="S25" s="612">
        <v>-604.23215105999998</v>
      </c>
      <c r="T25" s="612">
        <v>234.31600000000003</v>
      </c>
      <c r="U25" s="612">
        <v>44.12399999999991</v>
      </c>
      <c r="V25" s="612">
        <v>210.86839999999995</v>
      </c>
      <c r="W25" s="613">
        <v>68.739468000000102</v>
      </c>
      <c r="X25" s="612">
        <v>489.71690000000024</v>
      </c>
      <c r="Y25" s="612">
        <v>-98.579127000000085</v>
      </c>
      <c r="Z25" s="612">
        <v>-148.0881519552297</v>
      </c>
      <c r="AA25" s="612">
        <v>196.65299999999999</v>
      </c>
      <c r="AB25" s="612">
        <v>270.57758637000006</v>
      </c>
      <c r="AC25" s="839">
        <v>546.42511599999989</v>
      </c>
      <c r="AD25" s="1304">
        <f>+AD24+AD23</f>
        <v>249.40493500000002</v>
      </c>
      <c r="AE25" s="611">
        <f>SUM(D25:AD25)</f>
        <v>4759.0918623147718</v>
      </c>
      <c r="AF25" s="90"/>
    </row>
    <row r="26" spans="1:32" ht="14.5">
      <c r="A26" s="27"/>
      <c r="B26" s="1523"/>
      <c r="C26" s="589" t="s">
        <v>36</v>
      </c>
      <c r="D26" s="612">
        <v>-222.76</v>
      </c>
      <c r="E26" s="612">
        <v>-269.82</v>
      </c>
      <c r="F26" s="612">
        <v>-306.5</v>
      </c>
      <c r="G26" s="612">
        <v>-315.73</v>
      </c>
      <c r="H26" s="612">
        <v>-337.45499999999998</v>
      </c>
      <c r="I26" s="612">
        <v>-365.17899999999997</v>
      </c>
      <c r="J26" s="612">
        <v>-527.42700000000002</v>
      </c>
      <c r="K26" s="612">
        <v>-702.83199999999999</v>
      </c>
      <c r="L26" s="612">
        <v>-712.48800000000006</v>
      </c>
      <c r="M26" s="612">
        <v>-511.66</v>
      </c>
      <c r="N26" s="612">
        <v>-362.80691999999999</v>
      </c>
      <c r="O26" s="613">
        <v>-240.76</v>
      </c>
      <c r="P26" s="613">
        <v>-282.24469999999997</v>
      </c>
      <c r="Q26" s="613">
        <v>-338.67895499999992</v>
      </c>
      <c r="R26" s="613">
        <v>-352.04700000000003</v>
      </c>
      <c r="S26" s="613">
        <v>-252.39179999999999</v>
      </c>
      <c r="T26" s="613">
        <v>-160.57199999999997</v>
      </c>
      <c r="U26" s="613">
        <v>-140.40860000000001</v>
      </c>
      <c r="V26" s="613">
        <v>-130.49514699999997</v>
      </c>
      <c r="W26" s="613">
        <v>-131.27179799999999</v>
      </c>
      <c r="X26" s="612">
        <v>-138.87339</v>
      </c>
      <c r="Y26" s="612">
        <v>-128.7038</v>
      </c>
      <c r="Z26" s="612">
        <v>-137.67078139770953</v>
      </c>
      <c r="AA26" s="612">
        <v>-118.517</v>
      </c>
      <c r="AB26" s="612">
        <v>-140.55459999999999</v>
      </c>
      <c r="AC26" s="839">
        <v>-177.21893999999998</v>
      </c>
      <c r="AD26" s="1304">
        <v>-239.05193</v>
      </c>
      <c r="AE26" s="611">
        <f>SUM(D26:AD26)</f>
        <v>-7744.1183613977091</v>
      </c>
      <c r="AF26" s="90"/>
    </row>
    <row r="27" spans="1:32" ht="14.5">
      <c r="A27" s="27"/>
      <c r="B27" s="1524"/>
      <c r="C27" s="593" t="s">
        <v>37</v>
      </c>
      <c r="D27" s="614">
        <v>1021.4</v>
      </c>
      <c r="E27" s="614">
        <v>-83.196999999999946</v>
      </c>
      <c r="F27" s="614">
        <v>429.43</v>
      </c>
      <c r="G27" s="614">
        <v>505.12</v>
      </c>
      <c r="H27" s="614">
        <v>161.64500000000001</v>
      </c>
      <c r="I27" s="614">
        <v>1266.0079999999998</v>
      </c>
      <c r="J27" s="614">
        <v>620.90600000000006</v>
      </c>
      <c r="K27" s="614">
        <v>-248.00099999999998</v>
      </c>
      <c r="L27" s="614">
        <v>-93.770000000000095</v>
      </c>
      <c r="M27" s="614">
        <v>-1673.41</v>
      </c>
      <c r="N27" s="614">
        <v>-1377.19652</v>
      </c>
      <c r="O27" s="614">
        <v>-330.79768000000001</v>
      </c>
      <c r="P27" s="614">
        <v>-854.37270999999987</v>
      </c>
      <c r="Q27" s="614">
        <v>-1014.392255</v>
      </c>
      <c r="R27" s="614">
        <v>-878.59452304000013</v>
      </c>
      <c r="S27" s="614">
        <v>-856.62395105999997</v>
      </c>
      <c r="T27" s="614">
        <v>73.744000000000057</v>
      </c>
      <c r="U27" s="614">
        <v>-96.284600000000097</v>
      </c>
      <c r="V27" s="614">
        <v>80.373252999999977</v>
      </c>
      <c r="W27" s="833">
        <v>-62.532329999999888</v>
      </c>
      <c r="X27" s="614">
        <v>350.84351000000026</v>
      </c>
      <c r="Y27" s="614">
        <v>-227.28292700000009</v>
      </c>
      <c r="Z27" s="614">
        <v>-285.75893335293927</v>
      </c>
      <c r="AA27" s="614">
        <v>78.135999999999996</v>
      </c>
      <c r="AB27" s="614">
        <v>130.02298637000007</v>
      </c>
      <c r="AC27" s="839">
        <v>369.20617599999991</v>
      </c>
      <c r="AD27" s="1304">
        <f>+AD26+AD25</f>
        <v>10.353005000000024</v>
      </c>
      <c r="AE27" s="611">
        <f>SUM(D27:AD27)</f>
        <v>-2985.0264990829392</v>
      </c>
      <c r="AF27" s="90"/>
    </row>
    <row r="28" spans="1:32" ht="14.5">
      <c r="A28" s="27"/>
      <c r="B28" s="599"/>
      <c r="C28" s="600"/>
      <c r="D28" s="601"/>
      <c r="E28" s="601"/>
      <c r="F28" s="601"/>
      <c r="G28" s="601"/>
      <c r="H28" s="602"/>
      <c r="I28" s="602"/>
      <c r="J28" s="602"/>
      <c r="K28" s="602"/>
      <c r="L28" s="602"/>
      <c r="M28" s="602"/>
      <c r="N28" s="602"/>
      <c r="O28" s="602"/>
      <c r="P28" s="602"/>
      <c r="Q28" s="602"/>
      <c r="R28" s="602"/>
      <c r="S28" s="602"/>
      <c r="T28" s="602"/>
      <c r="U28" s="602"/>
      <c r="V28" s="602"/>
      <c r="W28" s="602"/>
      <c r="X28" s="836"/>
      <c r="Y28" s="836"/>
      <c r="Z28" s="836"/>
      <c r="AA28" s="836"/>
      <c r="AB28" s="836"/>
      <c r="AC28" s="602"/>
      <c r="AD28" s="1015"/>
      <c r="AE28" s="842"/>
      <c r="AF28" s="90"/>
    </row>
    <row r="29" spans="1:32" ht="14.5">
      <c r="A29" s="27"/>
      <c r="B29" s="1522" t="s">
        <v>279</v>
      </c>
      <c r="C29" s="605" t="s">
        <v>33</v>
      </c>
      <c r="D29" s="606">
        <v>1.024</v>
      </c>
      <c r="E29" s="606">
        <v>2.9470000000000001</v>
      </c>
      <c r="F29" s="606">
        <v>4.1349999999999998</v>
      </c>
      <c r="G29" s="606">
        <v>9.7059999999999995</v>
      </c>
      <c r="H29" s="606">
        <v>20.713999999999999</v>
      </c>
      <c r="I29" s="606">
        <v>22.091999999999999</v>
      </c>
      <c r="J29" s="606">
        <v>28.187000000000001</v>
      </c>
      <c r="K29" s="606">
        <v>4.8129999999999997</v>
      </c>
      <c r="L29" s="606">
        <v>2.4630000000000001</v>
      </c>
      <c r="M29" s="606">
        <v>0</v>
      </c>
      <c r="N29" s="606">
        <v>4.5220000000000002</v>
      </c>
      <c r="O29" s="606">
        <v>13.612865000000001</v>
      </c>
      <c r="P29" s="606">
        <v>48.266404000000001</v>
      </c>
      <c r="Q29" s="606">
        <v>88.828054999999992</v>
      </c>
      <c r="R29" s="606">
        <v>358.33955900000001</v>
      </c>
      <c r="S29" s="606">
        <v>304.74419000000006</v>
      </c>
      <c r="T29" s="606">
        <v>457.54579999999999</v>
      </c>
      <c r="U29" s="606">
        <v>202.65719999999999</v>
      </c>
      <c r="V29" s="606">
        <v>469.62361999999996</v>
      </c>
      <c r="W29" s="607">
        <v>362.02826799999997</v>
      </c>
      <c r="X29" s="606">
        <v>494.75291100000004</v>
      </c>
      <c r="Y29" s="606">
        <v>432.48291999999998</v>
      </c>
      <c r="Z29" s="606">
        <v>474.16258728880769</v>
      </c>
      <c r="AA29" s="590">
        <v>301.97399999999999</v>
      </c>
      <c r="AB29" s="590">
        <v>779.26239367000005</v>
      </c>
      <c r="AC29" s="841">
        <v>936.67882000000009</v>
      </c>
      <c r="AD29" s="1306">
        <v>719.26251999999999</v>
      </c>
      <c r="AE29" s="598">
        <f>SUM(D29:AD29)</f>
        <v>6544.8251129588079</v>
      </c>
      <c r="AF29" s="90"/>
    </row>
    <row r="30" spans="1:32" ht="14.5">
      <c r="A30" s="27"/>
      <c r="B30" s="1523"/>
      <c r="C30" s="589" t="s">
        <v>34</v>
      </c>
      <c r="D30" s="590">
        <v>-1.2709999999999999</v>
      </c>
      <c r="E30" s="590">
        <v>-2.0059999999999998</v>
      </c>
      <c r="F30" s="590">
        <v>-2.0709999999999997</v>
      </c>
      <c r="G30" s="590">
        <v>-2.165</v>
      </c>
      <c r="H30" s="590">
        <v>-2.2389999999999999</v>
      </c>
      <c r="I30" s="590">
        <v>-3.548</v>
      </c>
      <c r="J30" s="590">
        <v>-4.24</v>
      </c>
      <c r="K30" s="590">
        <v>-6.843</v>
      </c>
      <c r="L30" s="590">
        <v>-6.8209999999999997</v>
      </c>
      <c r="M30" s="590">
        <v>-4.5999999999999996</v>
      </c>
      <c r="N30" s="590">
        <v>-9.861699999999999</v>
      </c>
      <c r="O30" s="590">
        <v>-13.112</v>
      </c>
      <c r="P30" s="590">
        <v>-8.3688000000000002</v>
      </c>
      <c r="Q30" s="590">
        <v>-12.226599999999999</v>
      </c>
      <c r="R30" s="590">
        <v>-24.59545</v>
      </c>
      <c r="S30" s="590">
        <v>-33.334631829999999</v>
      </c>
      <c r="T30" s="590">
        <v>-39.097163700000003</v>
      </c>
      <c r="U30" s="590">
        <v>-73.833502440000018</v>
      </c>
      <c r="V30" s="590">
        <v>-93.220416999999998</v>
      </c>
      <c r="W30" s="591">
        <v>-148.922684</v>
      </c>
      <c r="X30" s="590">
        <v>-156.91856799999999</v>
      </c>
      <c r="Y30" s="590">
        <v>-199.43895600000002</v>
      </c>
      <c r="Z30" s="590">
        <v>-241.95195099730364</v>
      </c>
      <c r="AA30" s="590">
        <v>-248.59</v>
      </c>
      <c r="AB30" s="590">
        <v>-320.33198600000003</v>
      </c>
      <c r="AC30" s="615">
        <v>-364.64214978000001</v>
      </c>
      <c r="AD30" s="1302">
        <v>-414.80220000000003</v>
      </c>
      <c r="AE30" s="598">
        <f>SUM(D30:AD30)</f>
        <v>-2439.0527597473033</v>
      </c>
      <c r="AF30" s="90"/>
    </row>
    <row r="31" spans="1:32" ht="14.5">
      <c r="A31" s="27"/>
      <c r="B31" s="1523"/>
      <c r="C31" s="589" t="s">
        <v>35</v>
      </c>
      <c r="D31" s="590">
        <v>-0.24699999999999989</v>
      </c>
      <c r="E31" s="590">
        <v>0.94100000000000028</v>
      </c>
      <c r="F31" s="590">
        <v>2.0640000000000001</v>
      </c>
      <c r="G31" s="590">
        <v>7.5409999999999995</v>
      </c>
      <c r="H31" s="590">
        <v>18.475000000000001</v>
      </c>
      <c r="I31" s="590">
        <v>18.543999999999997</v>
      </c>
      <c r="J31" s="590">
        <v>23.947000000000003</v>
      </c>
      <c r="K31" s="590">
        <v>-2.0299999999999998</v>
      </c>
      <c r="L31" s="590">
        <v>-4.3579999999999997</v>
      </c>
      <c r="M31" s="590">
        <v>-4.5999999999999996</v>
      </c>
      <c r="N31" s="590">
        <v>-5.3396999999999988</v>
      </c>
      <c r="O31" s="590">
        <v>0.500865000000001</v>
      </c>
      <c r="P31" s="590">
        <v>39.897604000000001</v>
      </c>
      <c r="Q31" s="590">
        <v>76.601454999999987</v>
      </c>
      <c r="R31" s="590">
        <v>333.74410899999998</v>
      </c>
      <c r="S31" s="590">
        <v>271.40955817000008</v>
      </c>
      <c r="T31" s="590">
        <v>418.44863629999998</v>
      </c>
      <c r="U31" s="590">
        <v>128.82369755999997</v>
      </c>
      <c r="V31" s="590">
        <v>376.40320299999996</v>
      </c>
      <c r="W31" s="591">
        <v>213.10558399999996</v>
      </c>
      <c r="X31" s="590">
        <v>337.83434300000005</v>
      </c>
      <c r="Y31" s="590">
        <v>233.04396399999996</v>
      </c>
      <c r="Z31" s="590">
        <v>232.21063629150404</v>
      </c>
      <c r="AA31" s="590">
        <v>53.384</v>
      </c>
      <c r="AB31" s="590">
        <v>458.93040767000002</v>
      </c>
      <c r="AC31" s="839">
        <v>572.03667022000013</v>
      </c>
      <c r="AD31" s="1304">
        <f>+AD30+AD29</f>
        <v>304.46031999999997</v>
      </c>
      <c r="AE31" s="598">
        <f>SUM(D31:AD31)</f>
        <v>4105.7723532115042</v>
      </c>
      <c r="AF31" s="90"/>
    </row>
    <row r="32" spans="1:32" ht="14.5">
      <c r="A32" s="27"/>
      <c r="B32" s="1523"/>
      <c r="C32" s="589" t="s">
        <v>36</v>
      </c>
      <c r="D32" s="590">
        <v>-1.0469999999999999</v>
      </c>
      <c r="E32" s="590">
        <v>-1.1240000000000001</v>
      </c>
      <c r="F32" s="590">
        <v>-1.2549999999999999</v>
      </c>
      <c r="G32" s="590">
        <v>-1.369</v>
      </c>
      <c r="H32" s="590">
        <v>-2.0230000000000001</v>
      </c>
      <c r="I32" s="590">
        <v>-3.774</v>
      </c>
      <c r="J32" s="590">
        <v>-4.351</v>
      </c>
      <c r="K32" s="590">
        <v>-5.6040000000000001</v>
      </c>
      <c r="L32" s="590">
        <v>-5.4090000000000007</v>
      </c>
      <c r="M32" s="590">
        <v>-1.24</v>
      </c>
      <c r="N32" s="590">
        <v>-1.707055</v>
      </c>
      <c r="O32" s="590">
        <v>-10.696306</v>
      </c>
      <c r="P32" s="590">
        <v>-5.9416359999999999</v>
      </c>
      <c r="Q32" s="590">
        <v>-9.600263</v>
      </c>
      <c r="R32" s="590">
        <v>-16.974018999999998</v>
      </c>
      <c r="S32" s="590">
        <v>-28.056669100000001</v>
      </c>
      <c r="T32" s="590">
        <v>-36.212320890000008</v>
      </c>
      <c r="U32" s="590">
        <v>-27.375441879999997</v>
      </c>
      <c r="V32" s="590">
        <v>-34.713676</v>
      </c>
      <c r="W32" s="591">
        <v>-47.964547999999994</v>
      </c>
      <c r="X32" s="590">
        <v>-50.396422000000001</v>
      </c>
      <c r="Y32" s="590">
        <v>-53.478645</v>
      </c>
      <c r="Z32" s="590">
        <v>-64.561118019588719</v>
      </c>
      <c r="AA32" s="590">
        <v>-71.102999999999994</v>
      </c>
      <c r="AB32" s="590">
        <v>-91.668310999999989</v>
      </c>
      <c r="AC32" s="839">
        <v>-118.81940300000001</v>
      </c>
      <c r="AD32" s="1304">
        <v>-171.835577</v>
      </c>
      <c r="AE32" s="598">
        <f>SUM(D32:AD32)</f>
        <v>-868.30041088958865</v>
      </c>
      <c r="AF32" s="90"/>
    </row>
    <row r="33" spans="1:32" ht="14.5">
      <c r="A33" s="27"/>
      <c r="B33" s="1523"/>
      <c r="C33" s="608" t="s">
        <v>37</v>
      </c>
      <c r="D33" s="597">
        <v>-1.2939999999999998</v>
      </c>
      <c r="E33" s="597">
        <v>-0.18299999999999983</v>
      </c>
      <c r="F33" s="597">
        <v>0.80900000000000016</v>
      </c>
      <c r="G33" s="597">
        <v>6.1719999999999997</v>
      </c>
      <c r="H33" s="597">
        <v>16.451999999999998</v>
      </c>
      <c r="I33" s="597">
        <v>14.77</v>
      </c>
      <c r="J33" s="597">
        <v>19.596000000000004</v>
      </c>
      <c r="K33" s="597">
        <v>-7.6340000000000003</v>
      </c>
      <c r="L33" s="597">
        <v>-9.7669999999999995</v>
      </c>
      <c r="M33" s="597">
        <v>-5.84</v>
      </c>
      <c r="N33" s="597">
        <v>-7.0467549999999992</v>
      </c>
      <c r="O33" s="597">
        <v>-10.195440999999999</v>
      </c>
      <c r="P33" s="597">
        <v>33.955967999999999</v>
      </c>
      <c r="Q33" s="597">
        <v>67.001191999999989</v>
      </c>
      <c r="R33" s="597">
        <v>316.77008999999998</v>
      </c>
      <c r="S33" s="597">
        <v>243.35288907000009</v>
      </c>
      <c r="T33" s="597">
        <v>382.23631540999997</v>
      </c>
      <c r="U33" s="597">
        <v>101.44825567999997</v>
      </c>
      <c r="V33" s="597">
        <v>341.68952699999994</v>
      </c>
      <c r="W33" s="596">
        <v>165.14103599999999</v>
      </c>
      <c r="X33" s="594">
        <v>287.43792100000007</v>
      </c>
      <c r="Y33" s="594">
        <v>179.56531899999996</v>
      </c>
      <c r="Z33" s="594">
        <v>167.64951827191533</v>
      </c>
      <c r="AA33" s="594">
        <v>-17.719000000000001</v>
      </c>
      <c r="AB33" s="594">
        <v>367.26209667000001</v>
      </c>
      <c r="AC33" s="839">
        <v>453.21726722000011</v>
      </c>
      <c r="AD33" s="1304">
        <f>+AD32+AD31</f>
        <v>132.62474299999997</v>
      </c>
      <c r="AE33" s="598">
        <f>SUM(D33:AD33)</f>
        <v>3237.4719423219153</v>
      </c>
      <c r="AF33" s="90"/>
    </row>
    <row r="34" spans="1:32" ht="14.5">
      <c r="A34" s="27"/>
      <c r="B34" s="616"/>
      <c r="C34" s="601"/>
      <c r="D34" s="601"/>
      <c r="E34" s="601"/>
      <c r="F34" s="601"/>
      <c r="G34" s="601"/>
      <c r="H34" s="602"/>
      <c r="I34" s="602"/>
      <c r="J34" s="602"/>
      <c r="K34" s="602"/>
      <c r="L34" s="602"/>
      <c r="M34" s="602"/>
      <c r="N34" s="602"/>
      <c r="O34" s="602"/>
      <c r="P34" s="602"/>
      <c r="Q34" s="602"/>
      <c r="R34" s="602"/>
      <c r="S34" s="602"/>
      <c r="T34" s="602"/>
      <c r="U34" s="602"/>
      <c r="V34" s="602"/>
      <c r="W34" s="602"/>
      <c r="X34" s="602"/>
      <c r="Y34" s="602"/>
      <c r="Z34" s="602"/>
      <c r="AA34" s="602"/>
      <c r="AB34" s="602"/>
      <c r="AC34" s="602"/>
      <c r="AD34" s="1015"/>
      <c r="AE34" s="842"/>
      <c r="AF34" s="90"/>
    </row>
    <row r="35" spans="1:32" ht="19.5" customHeight="1">
      <c r="A35" s="27"/>
      <c r="B35" s="1525" t="s">
        <v>367</v>
      </c>
      <c r="C35" s="1526"/>
      <c r="D35" s="617">
        <f t="shared" ref="D35:AC39" si="0">+D11+D17+D23+D29</f>
        <v>4169.5439999999999</v>
      </c>
      <c r="E35" s="617">
        <f t="shared" si="0"/>
        <v>1674.03</v>
      </c>
      <c r="F35" s="617">
        <f t="shared" si="0"/>
        <v>4413.2350000000006</v>
      </c>
      <c r="G35" s="617">
        <f t="shared" si="0"/>
        <v>2446.616</v>
      </c>
      <c r="H35" s="617">
        <f t="shared" si="0"/>
        <v>2167.0590000000002</v>
      </c>
      <c r="I35" s="617">
        <f t="shared" si="0"/>
        <v>3504.828</v>
      </c>
      <c r="J35" s="617">
        <f t="shared" si="0"/>
        <v>2856.6289999999999</v>
      </c>
      <c r="K35" s="617">
        <f t="shared" si="0"/>
        <v>4026.5010000000002</v>
      </c>
      <c r="L35" s="617">
        <f t="shared" si="0"/>
        <v>13384.635</v>
      </c>
      <c r="M35" s="617">
        <f t="shared" si="0"/>
        <v>595.29999999999995</v>
      </c>
      <c r="N35" s="617">
        <f t="shared" si="0"/>
        <v>10238.230700000002</v>
      </c>
      <c r="O35" s="617">
        <f t="shared" si="0"/>
        <v>4577.743665</v>
      </c>
      <c r="P35" s="617">
        <f t="shared" si="0"/>
        <v>1007.4482939999998</v>
      </c>
      <c r="Q35" s="617">
        <f t="shared" si="0"/>
        <v>1688.9953949999999</v>
      </c>
      <c r="R35" s="617">
        <f t="shared" si="0"/>
        <v>2383.9015639999998</v>
      </c>
      <c r="S35" s="617">
        <f t="shared" si="0"/>
        <v>1871.1380659400002</v>
      </c>
      <c r="T35" s="617">
        <f t="shared" si="0"/>
        <v>3183.7038000000002</v>
      </c>
      <c r="U35" s="617">
        <f t="shared" si="0"/>
        <v>2430.7392000000004</v>
      </c>
      <c r="V35" s="617">
        <f t="shared" si="0"/>
        <v>2578.3072189999998</v>
      </c>
      <c r="W35" s="617">
        <f t="shared" si="0"/>
        <v>2132.202436</v>
      </c>
      <c r="X35" s="617">
        <f t="shared" si="0"/>
        <v>2770.4889109999999</v>
      </c>
      <c r="Y35" s="617">
        <f t="shared" si="0"/>
        <v>2280.2355010000001</v>
      </c>
      <c r="Z35" s="617">
        <f t="shared" si="0"/>
        <v>1885.7279706388076</v>
      </c>
      <c r="AA35" s="617">
        <f t="shared" si="0"/>
        <v>2448.3389999999999</v>
      </c>
      <c r="AB35" s="617">
        <f t="shared" si="0"/>
        <v>2925.8831700400001</v>
      </c>
      <c r="AC35" s="617">
        <f t="shared" si="0"/>
        <v>31837.790300000001</v>
      </c>
      <c r="AD35" s="1016">
        <f>+AD11+AD17+AD23+AD29</f>
        <v>18893.230295000001</v>
      </c>
      <c r="AE35" s="843">
        <f>SUM(D35:AD35)</f>
        <v>134372.4824866188</v>
      </c>
      <c r="AF35" s="90"/>
    </row>
    <row r="36" spans="1:32" ht="23.25" customHeight="1">
      <c r="A36" s="27"/>
      <c r="B36" s="1527" t="s">
        <v>368</v>
      </c>
      <c r="C36" s="1528"/>
      <c r="D36" s="617">
        <f t="shared" si="0"/>
        <v>-813.471</v>
      </c>
      <c r="E36" s="617">
        <f t="shared" si="0"/>
        <v>-863.42599999999993</v>
      </c>
      <c r="F36" s="617">
        <f t="shared" si="0"/>
        <v>-793.90099999999995</v>
      </c>
      <c r="G36" s="617">
        <f t="shared" si="0"/>
        <v>-1047.4850000000001</v>
      </c>
      <c r="H36" s="617">
        <f t="shared" si="0"/>
        <v>-1091.1570000000002</v>
      </c>
      <c r="I36" s="617">
        <f t="shared" si="0"/>
        <v>-1365.3579999999999</v>
      </c>
      <c r="J36" s="617">
        <f t="shared" si="0"/>
        <v>-1648.45</v>
      </c>
      <c r="K36" s="617">
        <f t="shared" si="0"/>
        <v>-2199.5589999999997</v>
      </c>
      <c r="L36" s="617">
        <f t="shared" si="0"/>
        <v>-2205.9290000000001</v>
      </c>
      <c r="M36" s="617">
        <f t="shared" si="0"/>
        <v>-3011.32</v>
      </c>
      <c r="N36" s="617">
        <f t="shared" si="0"/>
        <v>-11060.6613</v>
      </c>
      <c r="O36" s="617">
        <f t="shared" si="0"/>
        <v>-6871.1496800000004</v>
      </c>
      <c r="P36" s="617">
        <f t="shared" si="0"/>
        <v>-5066.7495000000008</v>
      </c>
      <c r="Q36" s="617">
        <f t="shared" si="0"/>
        <v>-11911.209779999999</v>
      </c>
      <c r="R36" s="617">
        <f t="shared" si="0"/>
        <v>-2594.0950980400003</v>
      </c>
      <c r="S36" s="617">
        <f t="shared" si="0"/>
        <v>-2271.5969318299994</v>
      </c>
      <c r="T36" s="617">
        <f t="shared" si="0"/>
        <v>-1691.8605636999998</v>
      </c>
      <c r="U36" s="617">
        <f t="shared" si="0"/>
        <v>-1680.0644024400001</v>
      </c>
      <c r="V36" s="617">
        <f t="shared" si="0"/>
        <v>-1618.3839170000001</v>
      </c>
      <c r="W36" s="617">
        <f t="shared" si="0"/>
        <v>-1742.030784</v>
      </c>
      <c r="X36" s="617">
        <f t="shared" si="0"/>
        <v>-1722.7117680000001</v>
      </c>
      <c r="Y36" s="617">
        <f t="shared" si="0"/>
        <v>-1805.3771299999999</v>
      </c>
      <c r="Z36" s="617">
        <f t="shared" si="0"/>
        <v>-2022.0518260819752</v>
      </c>
      <c r="AA36" s="617">
        <f t="shared" si="0"/>
        <v>-1857.454</v>
      </c>
      <c r="AB36" s="617">
        <f t="shared" si="0"/>
        <v>-1840.29223379</v>
      </c>
      <c r="AC36" s="617">
        <f t="shared" si="0"/>
        <v>-1927.96454978</v>
      </c>
      <c r="AD36" s="1016">
        <f>+AD12+AD18+AD24+AD30</f>
        <v>-1783.0829000000001</v>
      </c>
      <c r="AE36" s="843">
        <f>SUM(D36:AD36)</f>
        <v>-74506.79236466196</v>
      </c>
      <c r="AF36" s="90"/>
    </row>
    <row r="37" spans="1:32" ht="23.25" customHeight="1">
      <c r="A37" s="27"/>
      <c r="B37" s="1527" t="s">
        <v>369</v>
      </c>
      <c r="C37" s="1528"/>
      <c r="D37" s="617">
        <f t="shared" si="0"/>
        <v>3356.0729999999999</v>
      </c>
      <c r="E37" s="617">
        <f t="shared" si="0"/>
        <v>810.60400000000016</v>
      </c>
      <c r="F37" s="617">
        <f t="shared" si="0"/>
        <v>3619.3339999999998</v>
      </c>
      <c r="G37" s="617">
        <f t="shared" si="0"/>
        <v>1399.1309999999999</v>
      </c>
      <c r="H37" s="617">
        <f t="shared" si="0"/>
        <v>1075.902</v>
      </c>
      <c r="I37" s="617">
        <f t="shared" si="0"/>
        <v>2139.4699999999993</v>
      </c>
      <c r="J37" s="617">
        <f t="shared" si="0"/>
        <v>1208.1790000000001</v>
      </c>
      <c r="K37" s="617">
        <f t="shared" si="0"/>
        <v>1826.9420000000002</v>
      </c>
      <c r="L37" s="617">
        <f t="shared" si="0"/>
        <v>11178.706</v>
      </c>
      <c r="M37" s="617">
        <f t="shared" si="0"/>
        <v>-2416.02</v>
      </c>
      <c r="N37" s="617">
        <f t="shared" si="0"/>
        <v>-822.43059999999969</v>
      </c>
      <c r="O37" s="617">
        <f t="shared" si="0"/>
        <v>-2293.406015</v>
      </c>
      <c r="P37" s="617">
        <f t="shared" si="0"/>
        <v>-4059.301206000001</v>
      </c>
      <c r="Q37" s="617">
        <f t="shared" si="0"/>
        <v>-10222.214384999999</v>
      </c>
      <c r="R37" s="617">
        <f t="shared" si="0"/>
        <v>-210.19353404000037</v>
      </c>
      <c r="S37" s="617">
        <f t="shared" si="0"/>
        <v>-400.45886588999952</v>
      </c>
      <c r="T37" s="617">
        <f t="shared" si="0"/>
        <v>1491.8432363000002</v>
      </c>
      <c r="U37" s="617">
        <f t="shared" si="0"/>
        <v>750.67479755999989</v>
      </c>
      <c r="V37" s="617">
        <f t="shared" si="0"/>
        <v>959.92330199999981</v>
      </c>
      <c r="W37" s="617">
        <f t="shared" si="0"/>
        <v>390.17165200000017</v>
      </c>
      <c r="X37" s="617">
        <f t="shared" si="0"/>
        <v>1047.7771430000003</v>
      </c>
      <c r="Y37" s="617">
        <f t="shared" si="0"/>
        <v>474.85837100000015</v>
      </c>
      <c r="Z37" s="617">
        <f t="shared" si="0"/>
        <v>-136.32385544316747</v>
      </c>
      <c r="AA37" s="617">
        <f t="shared" si="0"/>
        <v>590.88499999999999</v>
      </c>
      <c r="AB37" s="617">
        <f t="shared" si="0"/>
        <v>1085.5909362500001</v>
      </c>
      <c r="AC37" s="617">
        <f t="shared" si="0"/>
        <v>29909.825750219999</v>
      </c>
      <c r="AD37" s="1016">
        <f>+AD13+AD19+AD25+AD31</f>
        <v>17110.147394999996</v>
      </c>
      <c r="AE37" s="843">
        <f>SUM(D37:AD37)</f>
        <v>59865.690121956824</v>
      </c>
      <c r="AF37" s="90"/>
    </row>
    <row r="38" spans="1:32" ht="21" customHeight="1">
      <c r="A38" s="27"/>
      <c r="B38" s="1527" t="s">
        <v>40</v>
      </c>
      <c r="C38" s="1528"/>
      <c r="D38" s="617">
        <f t="shared" si="0"/>
        <v>-762.18700000000001</v>
      </c>
      <c r="E38" s="617">
        <f t="shared" si="0"/>
        <v>-765.98399999999992</v>
      </c>
      <c r="F38" s="617">
        <f t="shared" si="0"/>
        <v>-889.6149999999999</v>
      </c>
      <c r="G38" s="617">
        <f t="shared" si="0"/>
        <v>-965.10900000000004</v>
      </c>
      <c r="H38" s="617">
        <f t="shared" si="0"/>
        <v>-949.28499999999997</v>
      </c>
      <c r="I38" s="617">
        <f t="shared" si="0"/>
        <v>-961.51099999999997</v>
      </c>
      <c r="J38" s="617">
        <f t="shared" si="0"/>
        <v>-1166.223</v>
      </c>
      <c r="K38" s="617">
        <f t="shared" si="0"/>
        <v>-1406.0690000000002</v>
      </c>
      <c r="L38" s="617">
        <f t="shared" si="0"/>
        <v>-1610.2900000000002</v>
      </c>
      <c r="M38" s="617">
        <f t="shared" si="0"/>
        <v>-1687.3100000000002</v>
      </c>
      <c r="N38" s="617">
        <f t="shared" si="0"/>
        <v>-1586.6162750000001</v>
      </c>
      <c r="O38" s="617">
        <f t="shared" si="0"/>
        <v>-1227.4950059999999</v>
      </c>
      <c r="P38" s="617">
        <f t="shared" si="0"/>
        <v>-1254.5962950000001</v>
      </c>
      <c r="Q38" s="617">
        <f t="shared" si="0"/>
        <v>-912.78031800000008</v>
      </c>
      <c r="R38" s="617">
        <f t="shared" si="0"/>
        <v>-847.82981900000004</v>
      </c>
      <c r="S38" s="617">
        <f t="shared" si="0"/>
        <v>-705.58286910000004</v>
      </c>
      <c r="T38" s="617">
        <f t="shared" si="0"/>
        <v>-562.56332089</v>
      </c>
      <c r="U38" s="617">
        <f t="shared" si="0"/>
        <v>-533.86784188000013</v>
      </c>
      <c r="V38" s="617">
        <f t="shared" si="0"/>
        <v>-487.493923</v>
      </c>
      <c r="W38" s="617">
        <f t="shared" si="0"/>
        <v>-489.42686699999996</v>
      </c>
      <c r="X38" s="617">
        <f t="shared" si="0"/>
        <v>-555.42711199999997</v>
      </c>
      <c r="Y38" s="617">
        <f t="shared" si="0"/>
        <v>-548.34751500000004</v>
      </c>
      <c r="Z38" s="617">
        <f t="shared" si="0"/>
        <v>-621.79396033337594</v>
      </c>
      <c r="AA38" s="617">
        <f t="shared" si="0"/>
        <v>-618.89</v>
      </c>
      <c r="AB38" s="617">
        <f t="shared" si="0"/>
        <v>-619.75356099999999</v>
      </c>
      <c r="AC38" s="617">
        <f t="shared" si="0"/>
        <v>-842.37704299999996</v>
      </c>
      <c r="AD38" s="1016">
        <f>+AD14+AD20+AD26+AD32</f>
        <v>-2077.6741769999999</v>
      </c>
      <c r="AE38" s="843">
        <f>SUM(D38:AD38)</f>
        <v>-25656.098903203376</v>
      </c>
      <c r="AF38" s="90"/>
    </row>
    <row r="39" spans="1:32" ht="27" customHeight="1" thickBot="1">
      <c r="A39" s="27"/>
      <c r="B39" s="1514" t="s">
        <v>41</v>
      </c>
      <c r="C39" s="1515"/>
      <c r="D39" s="28">
        <f t="shared" si="0"/>
        <v>2593.886</v>
      </c>
      <c r="E39" s="28">
        <f t="shared" si="0"/>
        <v>44.620000000000054</v>
      </c>
      <c r="F39" s="28">
        <f t="shared" si="0"/>
        <v>2729.7190000000001</v>
      </c>
      <c r="G39" s="28">
        <f t="shared" si="0"/>
        <v>434.02200000000005</v>
      </c>
      <c r="H39" s="28">
        <f t="shared" si="0"/>
        <v>126.61700000000005</v>
      </c>
      <c r="I39" s="28">
        <f t="shared" si="0"/>
        <v>1177.9589999999998</v>
      </c>
      <c r="J39" s="28">
        <f t="shared" si="0"/>
        <v>41.956000000000245</v>
      </c>
      <c r="K39" s="28">
        <f t="shared" si="0"/>
        <v>420.87300000000027</v>
      </c>
      <c r="L39" s="28">
        <f t="shared" si="0"/>
        <v>9568.4159999999993</v>
      </c>
      <c r="M39" s="28">
        <f t="shared" si="0"/>
        <v>-4103.33</v>
      </c>
      <c r="N39" s="28">
        <f t="shared" si="0"/>
        <v>-2409.0468749999995</v>
      </c>
      <c r="O39" s="28">
        <f t="shared" si="0"/>
        <v>-3520.9010210000001</v>
      </c>
      <c r="P39" s="28">
        <f t="shared" si="0"/>
        <v>-5313.8975010000004</v>
      </c>
      <c r="Q39" s="28">
        <f t="shared" si="0"/>
        <v>-11134.994703000002</v>
      </c>
      <c r="R39" s="28">
        <f t="shared" si="0"/>
        <v>-1058.0233530400003</v>
      </c>
      <c r="S39" s="28">
        <f t="shared" si="0"/>
        <v>-1106.0417349899994</v>
      </c>
      <c r="T39" s="28">
        <f t="shared" si="0"/>
        <v>929.27991541000017</v>
      </c>
      <c r="U39" s="28">
        <f t="shared" si="0"/>
        <v>216.80695567999987</v>
      </c>
      <c r="V39" s="28">
        <f t="shared" si="0"/>
        <v>472.42937899999981</v>
      </c>
      <c r="W39" s="28">
        <f t="shared" si="0"/>
        <v>-99.255214999999794</v>
      </c>
      <c r="X39" s="28">
        <f t="shared" si="0"/>
        <v>492.35003100000029</v>
      </c>
      <c r="Y39" s="28">
        <f t="shared" si="0"/>
        <v>-73.489143999999868</v>
      </c>
      <c r="Z39" s="28">
        <f t="shared" si="0"/>
        <v>-758.11781577654335</v>
      </c>
      <c r="AA39" s="28">
        <f t="shared" si="0"/>
        <v>-28.005000000000003</v>
      </c>
      <c r="AB39" s="28">
        <f t="shared" si="0"/>
        <v>465.83737525000004</v>
      </c>
      <c r="AC39" s="28">
        <f t="shared" si="0"/>
        <v>29067.448707219999</v>
      </c>
      <c r="AD39" s="1017">
        <f t="shared" ref="AD39" si="1">+AD15+AD21+AD27+AD33</f>
        <v>15032.473217999999</v>
      </c>
      <c r="AE39" s="844">
        <f>SUM(D39:AD39)</f>
        <v>34209.591218753456</v>
      </c>
      <c r="AF39" s="90"/>
    </row>
    <row r="40" spans="1:32" ht="13.5" thickTop="1"/>
    <row r="41" spans="1:32">
      <c r="AA41" s="26"/>
    </row>
    <row r="42" spans="1:32">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90"/>
      <c r="AD42" s="90"/>
      <c r="AE42" s="26"/>
    </row>
    <row r="43" spans="1:32">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row>
    <row r="44" spans="1:32">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row>
    <row r="45" spans="1:32">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row>
    <row r="46" spans="1:32">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sheetPr>
    <tabColor theme="3" tint="0.79998168889431442"/>
    <pageSetUpPr fitToPage="1"/>
  </sheetPr>
  <dimension ref="A1:J110"/>
  <sheetViews>
    <sheetView showGridLines="0" zoomScaleNormal="100" zoomScaleSheetLayoutView="85" workbookViewId="0"/>
  </sheetViews>
  <sheetFormatPr baseColWidth="10" defaultColWidth="11.453125" defaultRowHeight="13"/>
  <cols>
    <col min="1" max="1" width="6.453125" style="457" bestFit="1" customWidth="1"/>
    <col min="2" max="2" width="28.7265625" style="700" customWidth="1"/>
    <col min="3" max="6" width="18.81640625" style="700" customWidth="1"/>
    <col min="7" max="16384" width="11.453125" style="700"/>
  </cols>
  <sheetData>
    <row r="1" spans="1:7" ht="14.5">
      <c r="A1" s="734" t="s">
        <v>219</v>
      </c>
      <c r="B1" s="737"/>
    </row>
    <row r="2" spans="1:7" ht="15" customHeight="1">
      <c r="A2" s="736"/>
      <c r="B2" s="386" t="str">
        <f>+INDICE!B2</f>
        <v>MINISTERIO DE ECONOMÍA</v>
      </c>
      <c r="C2" s="701"/>
      <c r="D2" s="701"/>
      <c r="E2" s="701"/>
      <c r="F2" s="701"/>
    </row>
    <row r="3" spans="1:7" ht="15" customHeight="1">
      <c r="A3" s="736"/>
      <c r="B3" s="693" t="s">
        <v>567</v>
      </c>
      <c r="C3" s="701"/>
      <c r="D3" s="701"/>
      <c r="E3" s="701"/>
      <c r="F3" s="701"/>
    </row>
    <row r="4" spans="1:7">
      <c r="B4" s="702"/>
      <c r="C4" s="701"/>
      <c r="D4" s="701"/>
      <c r="E4" s="701"/>
      <c r="F4" s="701"/>
    </row>
    <row r="5" spans="1:7">
      <c r="B5" s="702"/>
      <c r="C5" s="701"/>
      <c r="D5" s="701"/>
      <c r="E5" s="701"/>
      <c r="F5" s="701"/>
    </row>
    <row r="6" spans="1:7" ht="36" customHeight="1">
      <c r="B6" s="1529" t="s">
        <v>789</v>
      </c>
      <c r="C6" s="1529"/>
      <c r="D6" s="1529"/>
      <c r="E6" s="1529"/>
      <c r="F6" s="1529"/>
    </row>
    <row r="7" spans="1:7" ht="14.5">
      <c r="B7" s="1530" t="s">
        <v>521</v>
      </c>
      <c r="C7" s="1530"/>
      <c r="D7" s="1530"/>
      <c r="E7" s="1530"/>
      <c r="F7" s="1530"/>
    </row>
    <row r="8" spans="1:7">
      <c r="B8" s="701"/>
      <c r="C8" s="701"/>
      <c r="D8" s="701"/>
      <c r="E8" s="701"/>
      <c r="F8" s="701"/>
    </row>
    <row r="9" spans="1:7" ht="13.5" thickBot="1">
      <c r="B9" s="269" t="s">
        <v>522</v>
      </c>
      <c r="C9" s="269"/>
      <c r="D9" s="269"/>
      <c r="E9" s="269"/>
      <c r="F9" s="269"/>
    </row>
    <row r="10" spans="1:7" ht="19.5" customHeight="1" thickTop="1" thickBot="1">
      <c r="B10" s="327" t="s">
        <v>523</v>
      </c>
      <c r="C10" s="328" t="s">
        <v>524</v>
      </c>
      <c r="D10" s="328" t="s">
        <v>525</v>
      </c>
      <c r="E10" s="328" t="s">
        <v>526</v>
      </c>
      <c r="F10" s="329" t="s">
        <v>527</v>
      </c>
    </row>
    <row r="11" spans="1:7" ht="13.5" thickTop="1">
      <c r="B11" s="618">
        <v>34669</v>
      </c>
      <c r="C11" s="619">
        <f>+D11+E11</f>
        <v>80.67880000000001</v>
      </c>
      <c r="D11" s="620">
        <v>60.890779999999999</v>
      </c>
      <c r="E11" s="620">
        <v>19.78802000000001</v>
      </c>
      <c r="F11" s="621">
        <f t="shared" ref="F11:F30" si="0">+D11/C11</f>
        <v>0.75473085866423384</v>
      </c>
      <c r="G11" s="703"/>
    </row>
    <row r="12" spans="1:7">
      <c r="A12" s="704"/>
      <c r="B12" s="618">
        <v>35034</v>
      </c>
      <c r="C12" s="619">
        <f t="shared" ref="C12:C75" si="1">+D12+E12</f>
        <v>87.090999999999994</v>
      </c>
      <c r="D12" s="620">
        <v>66.360939999999999</v>
      </c>
      <c r="E12" s="620">
        <v>20.730059999999995</v>
      </c>
      <c r="F12" s="621">
        <f t="shared" si="0"/>
        <v>0.76197241965300666</v>
      </c>
      <c r="G12" s="703"/>
    </row>
    <row r="13" spans="1:7">
      <c r="B13" s="618">
        <v>35400</v>
      </c>
      <c r="C13" s="619">
        <f t="shared" si="1"/>
        <v>97.105034000000003</v>
      </c>
      <c r="D13" s="620">
        <v>72.907479999999993</v>
      </c>
      <c r="E13" s="620">
        <v>24.197554000000011</v>
      </c>
      <c r="F13" s="621">
        <f t="shared" si="0"/>
        <v>0.75081050895878365</v>
      </c>
      <c r="G13" s="703"/>
    </row>
    <row r="14" spans="1:7">
      <c r="B14" s="618">
        <v>35765</v>
      </c>
      <c r="C14" s="619">
        <f t="shared" si="1"/>
        <v>101.10097</v>
      </c>
      <c r="D14" s="620">
        <v>72.871874685562389</v>
      </c>
      <c r="E14" s="620">
        <v>28.229095314437615</v>
      </c>
      <c r="F14" s="621">
        <f t="shared" si="0"/>
        <v>0.72078314071133431</v>
      </c>
      <c r="G14" s="703"/>
    </row>
    <row r="15" spans="1:7">
      <c r="B15" s="618">
        <v>35855</v>
      </c>
      <c r="C15" s="619">
        <f t="shared" si="1"/>
        <v>103.138215</v>
      </c>
      <c r="D15" s="620">
        <v>73.147054036038583</v>
      </c>
      <c r="E15" s="620">
        <v>29.99116096396142</v>
      </c>
      <c r="F15" s="621">
        <f t="shared" si="0"/>
        <v>0.70921388387455209</v>
      </c>
      <c r="G15" s="703"/>
    </row>
    <row r="16" spans="1:7">
      <c r="B16" s="618">
        <v>35947</v>
      </c>
      <c r="C16" s="619">
        <f t="shared" si="1"/>
        <v>105.11323899999999</v>
      </c>
      <c r="D16" s="620">
        <v>74.463901863181434</v>
      </c>
      <c r="E16" s="620">
        <v>30.649337136818559</v>
      </c>
      <c r="F16" s="621">
        <f t="shared" si="0"/>
        <v>0.70841601468661275</v>
      </c>
      <c r="G16" s="703"/>
    </row>
    <row r="17" spans="2:7" s="700" customFormat="1">
      <c r="B17" s="618">
        <v>36039</v>
      </c>
      <c r="C17" s="619">
        <f t="shared" si="1"/>
        <v>109.37621899999999</v>
      </c>
      <c r="D17" s="620">
        <v>77.487813953657636</v>
      </c>
      <c r="E17" s="620">
        <v>31.888405046342356</v>
      </c>
      <c r="F17" s="621">
        <f t="shared" si="0"/>
        <v>0.70845211749052728</v>
      </c>
      <c r="G17" s="703"/>
    </row>
    <row r="18" spans="2:7" s="700" customFormat="1">
      <c r="B18" s="618">
        <v>36130</v>
      </c>
      <c r="C18" s="619">
        <f t="shared" si="1"/>
        <v>112.35724600000002</v>
      </c>
      <c r="D18" s="620">
        <v>81.152901187211896</v>
      </c>
      <c r="E18" s="620">
        <v>31.204344812788122</v>
      </c>
      <c r="F18" s="621">
        <f t="shared" si="0"/>
        <v>0.72227563487282243</v>
      </c>
      <c r="G18" s="703"/>
    </row>
    <row r="19" spans="2:7" s="700" customFormat="1">
      <c r="B19" s="618">
        <v>36220</v>
      </c>
      <c r="C19" s="619">
        <f t="shared" si="1"/>
        <v>113.600734</v>
      </c>
      <c r="D19" s="620">
        <v>79.350036887688091</v>
      </c>
      <c r="E19" s="620">
        <v>34.250697112311911</v>
      </c>
      <c r="F19" s="621">
        <f t="shared" si="0"/>
        <v>0.69849933265121411</v>
      </c>
      <c r="G19" s="703"/>
    </row>
    <row r="20" spans="2:7" s="700" customFormat="1">
      <c r="B20" s="618">
        <v>36312</v>
      </c>
      <c r="C20" s="619">
        <f t="shared" si="1"/>
        <v>115.366322</v>
      </c>
      <c r="D20" s="620">
        <v>79.789514525655477</v>
      </c>
      <c r="E20" s="620">
        <v>35.57680747434452</v>
      </c>
      <c r="F20" s="621">
        <f t="shared" si="0"/>
        <v>0.69161877697423235</v>
      </c>
      <c r="G20" s="703"/>
    </row>
    <row r="21" spans="2:7" s="700" customFormat="1">
      <c r="B21" s="618">
        <v>36404</v>
      </c>
      <c r="C21" s="619">
        <f t="shared" si="1"/>
        <v>118.79364100000001</v>
      </c>
      <c r="D21" s="620">
        <v>80.823510011480138</v>
      </c>
      <c r="E21" s="620">
        <v>37.97013098851987</v>
      </c>
      <c r="F21" s="621">
        <f t="shared" si="0"/>
        <v>0.68036899392182226</v>
      </c>
      <c r="G21" s="703"/>
    </row>
    <row r="22" spans="2:7" s="700" customFormat="1">
      <c r="B22" s="618">
        <v>36525</v>
      </c>
      <c r="C22" s="619">
        <f t="shared" si="1"/>
        <v>121.87698899999998</v>
      </c>
      <c r="D22" s="620">
        <v>82.473843121517334</v>
      </c>
      <c r="E22" s="620">
        <v>39.403145878482647</v>
      </c>
      <c r="F22" s="621">
        <f t="shared" si="0"/>
        <v>0.67669741267990591</v>
      </c>
      <c r="G22" s="703"/>
    </row>
    <row r="23" spans="2:7" s="700" customFormat="1">
      <c r="B23" s="618">
        <v>36616</v>
      </c>
      <c r="C23" s="619">
        <f t="shared" si="1"/>
        <v>122.92013499999999</v>
      </c>
      <c r="D23" s="620">
        <v>81.941096864934934</v>
      </c>
      <c r="E23" s="620">
        <v>40.979038135065053</v>
      </c>
      <c r="F23" s="621">
        <f t="shared" si="0"/>
        <v>0.66662062212130624</v>
      </c>
      <c r="G23" s="703"/>
    </row>
    <row r="24" spans="2:7" s="700" customFormat="1">
      <c r="B24" s="618">
        <v>36707</v>
      </c>
      <c r="C24" s="619">
        <f t="shared" si="1"/>
        <v>123.52233585799999</v>
      </c>
      <c r="D24" s="620">
        <v>81.622402065135688</v>
      </c>
      <c r="E24" s="620">
        <v>41.899933792864303</v>
      </c>
      <c r="F24" s="621">
        <f t="shared" si="0"/>
        <v>0.66079062946937761</v>
      </c>
      <c r="G24" s="703"/>
    </row>
    <row r="25" spans="2:7" s="700" customFormat="1">
      <c r="B25" s="618">
        <v>36799</v>
      </c>
      <c r="C25" s="619">
        <f t="shared" si="1"/>
        <v>123.66611999999999</v>
      </c>
      <c r="D25" s="620">
        <v>78.41624640084504</v>
      </c>
      <c r="E25" s="620">
        <v>45.249873599154952</v>
      </c>
      <c r="F25" s="621">
        <f t="shared" si="0"/>
        <v>0.63409643967842644</v>
      </c>
      <c r="G25" s="703"/>
    </row>
    <row r="26" spans="2:7" s="700" customFormat="1">
      <c r="B26" s="618">
        <v>36891</v>
      </c>
      <c r="C26" s="619">
        <f t="shared" si="1"/>
        <v>128.018462</v>
      </c>
      <c r="D26" s="620">
        <v>81.396831382396854</v>
      </c>
      <c r="E26" s="620">
        <v>46.621630617603145</v>
      </c>
      <c r="F26" s="621">
        <f t="shared" si="0"/>
        <v>0.63582103792495848</v>
      </c>
      <c r="G26" s="703"/>
    </row>
    <row r="27" spans="2:7" s="700" customFormat="1">
      <c r="B27" s="618">
        <v>36981</v>
      </c>
      <c r="C27" s="619">
        <f t="shared" si="1"/>
        <v>127.40131300000002</v>
      </c>
      <c r="D27" s="620">
        <v>79.863905308167318</v>
      </c>
      <c r="E27" s="620">
        <v>47.537407691832698</v>
      </c>
      <c r="F27" s="621">
        <f t="shared" si="0"/>
        <v>0.62686877731132418</v>
      </c>
      <c r="G27" s="703"/>
    </row>
    <row r="28" spans="2:7" s="700" customFormat="1">
      <c r="B28" s="618">
        <v>37072</v>
      </c>
      <c r="C28" s="619">
        <f t="shared" si="1"/>
        <v>132.14300400000002</v>
      </c>
      <c r="D28" s="620">
        <v>79.440651091643872</v>
      </c>
      <c r="E28" s="620">
        <v>52.702352908356147</v>
      </c>
      <c r="F28" s="621">
        <f t="shared" si="0"/>
        <v>0.60117182663445323</v>
      </c>
      <c r="G28" s="703"/>
    </row>
    <row r="29" spans="2:7" s="700" customFormat="1">
      <c r="B29" s="618">
        <v>37164</v>
      </c>
      <c r="C29" s="619">
        <f t="shared" si="1"/>
        <v>141.252377</v>
      </c>
      <c r="D29" s="620">
        <v>88.025936751179486</v>
      </c>
      <c r="E29" s="620">
        <v>53.226440248820509</v>
      </c>
      <c r="F29" s="621">
        <f t="shared" si="0"/>
        <v>0.62318198546973469</v>
      </c>
      <c r="G29" s="703"/>
    </row>
    <row r="30" spans="2:7" s="700" customFormat="1">
      <c r="B30" s="618">
        <v>37256</v>
      </c>
      <c r="C30" s="619">
        <f t="shared" si="1"/>
        <v>144.45264800000001</v>
      </c>
      <c r="D30" s="620">
        <v>84.564217810528916</v>
      </c>
      <c r="E30" s="620">
        <v>59.888430189471094</v>
      </c>
      <c r="F30" s="621">
        <f t="shared" si="0"/>
        <v>0.58541133708070836</v>
      </c>
      <c r="G30" s="703"/>
    </row>
    <row r="31" spans="2:7" s="700" customFormat="1">
      <c r="B31" s="618">
        <v>37346</v>
      </c>
      <c r="C31" s="619">
        <v>112.616083</v>
      </c>
      <c r="D31" s="620" t="s">
        <v>528</v>
      </c>
      <c r="E31" s="620" t="s">
        <v>528</v>
      </c>
      <c r="F31" s="622" t="s">
        <v>528</v>
      </c>
      <c r="G31" s="703"/>
    </row>
    <row r="32" spans="2:7" s="700" customFormat="1">
      <c r="B32" s="618">
        <v>37437</v>
      </c>
      <c r="C32" s="619">
        <f t="shared" si="1"/>
        <v>114.55845100000001</v>
      </c>
      <c r="D32" s="620">
        <v>84.341264316442448</v>
      </c>
      <c r="E32" s="620">
        <v>30.217186683557557</v>
      </c>
      <c r="F32" s="621">
        <f t="shared" ref="F32:F53" si="2">+D32/C32</f>
        <v>0.73622909161404815</v>
      </c>
      <c r="G32" s="703"/>
    </row>
    <row r="33" spans="2:7" s="700" customFormat="1">
      <c r="B33" s="618">
        <v>37529</v>
      </c>
      <c r="C33" s="619">
        <f t="shared" si="1"/>
        <v>129.79418899999999</v>
      </c>
      <c r="D33" s="620">
        <v>84.516563636719056</v>
      </c>
      <c r="E33" s="620">
        <v>45.277625363280933</v>
      </c>
      <c r="F33" s="621">
        <f t="shared" si="2"/>
        <v>0.65115830136832287</v>
      </c>
      <c r="G33" s="703"/>
    </row>
    <row r="34" spans="2:7" s="700" customFormat="1">
      <c r="B34" s="618">
        <v>37621</v>
      </c>
      <c r="C34" s="619">
        <f t="shared" si="1"/>
        <v>137.31977900000001</v>
      </c>
      <c r="D34" s="620">
        <v>87.604484465061049</v>
      </c>
      <c r="E34" s="620">
        <v>49.715294534938963</v>
      </c>
      <c r="F34" s="621">
        <f t="shared" si="2"/>
        <v>0.63795969599587721</v>
      </c>
      <c r="G34" s="703"/>
    </row>
    <row r="35" spans="2:7" s="700" customFormat="1">
      <c r="B35" s="618">
        <v>37711</v>
      </c>
      <c r="C35" s="619">
        <f t="shared" si="1"/>
        <v>145.50357500000001</v>
      </c>
      <c r="D35" s="620">
        <v>90.491554544571002</v>
      </c>
      <c r="E35" s="620">
        <v>55.01202045542901</v>
      </c>
      <c r="F35" s="621">
        <f t="shared" si="2"/>
        <v>0.62191980193318963</v>
      </c>
      <c r="G35" s="703"/>
    </row>
    <row r="36" spans="2:7" s="700" customFormat="1">
      <c r="B36" s="618">
        <v>37802</v>
      </c>
      <c r="C36" s="619">
        <f t="shared" si="1"/>
        <v>152.58703199999999</v>
      </c>
      <c r="D36" s="620">
        <v>94.250496187949466</v>
      </c>
      <c r="E36" s="620">
        <v>58.336535812050528</v>
      </c>
      <c r="F36" s="621">
        <f t="shared" si="2"/>
        <v>0.61768352757493483</v>
      </c>
      <c r="G36" s="703"/>
    </row>
    <row r="37" spans="2:7" s="700" customFormat="1">
      <c r="B37" s="618">
        <v>37894</v>
      </c>
      <c r="C37" s="619">
        <f t="shared" si="1"/>
        <v>169.61590200000001</v>
      </c>
      <c r="D37" s="620">
        <v>96.848236750227755</v>
      </c>
      <c r="E37" s="620">
        <v>72.76766524977225</v>
      </c>
      <c r="F37" s="621">
        <f t="shared" si="2"/>
        <v>0.57098559514913738</v>
      </c>
      <c r="G37" s="703"/>
    </row>
    <row r="38" spans="2:7" s="700" customFormat="1">
      <c r="B38" s="618">
        <v>37986</v>
      </c>
      <c r="C38" s="619">
        <f t="shared" si="1"/>
        <v>178.820536</v>
      </c>
      <c r="D38" s="620">
        <v>102.00756463778067</v>
      </c>
      <c r="E38" s="620">
        <v>76.812971362219329</v>
      </c>
      <c r="F38" s="621">
        <f t="shared" si="2"/>
        <v>0.57044658806850168</v>
      </c>
      <c r="G38" s="703"/>
    </row>
    <row r="39" spans="2:7" s="700" customFormat="1">
      <c r="B39" s="618">
        <v>38077</v>
      </c>
      <c r="C39" s="619">
        <f t="shared" si="1"/>
        <v>180.035403</v>
      </c>
      <c r="D39" s="620">
        <v>103.42609623326902</v>
      </c>
      <c r="E39" s="620">
        <v>76.609306766730981</v>
      </c>
      <c r="F39" s="621">
        <f t="shared" si="2"/>
        <v>0.5744764335782836</v>
      </c>
      <c r="G39" s="703"/>
    </row>
    <row r="40" spans="2:7" s="700" customFormat="1">
      <c r="B40" s="618">
        <v>38168</v>
      </c>
      <c r="C40" s="619">
        <f t="shared" si="1"/>
        <v>181.202279</v>
      </c>
      <c r="D40" s="620">
        <v>104.08178586257442</v>
      </c>
      <c r="E40" s="620">
        <v>77.120493137425584</v>
      </c>
      <c r="F40" s="621">
        <f t="shared" si="2"/>
        <v>0.57439556741212083</v>
      </c>
      <c r="G40" s="703"/>
    </row>
    <row r="41" spans="2:7" s="700" customFormat="1">
      <c r="B41" s="618">
        <v>38260</v>
      </c>
      <c r="C41" s="619">
        <f t="shared" si="1"/>
        <v>182.506699</v>
      </c>
      <c r="D41" s="620">
        <v>106.50334934992678</v>
      </c>
      <c r="E41" s="620">
        <v>76.003349650073218</v>
      </c>
      <c r="F41" s="621">
        <f t="shared" si="2"/>
        <v>0.58355857584124504</v>
      </c>
      <c r="G41" s="703"/>
    </row>
    <row r="42" spans="2:7" s="700" customFormat="1">
      <c r="B42" s="618">
        <v>38352</v>
      </c>
      <c r="C42" s="619">
        <f t="shared" si="1"/>
        <v>191.29553300000001</v>
      </c>
      <c r="D42" s="620">
        <v>111.62778927551111</v>
      </c>
      <c r="E42" s="620">
        <v>79.667743724488901</v>
      </c>
      <c r="F42" s="621">
        <f t="shared" si="2"/>
        <v>0.58353578635582204</v>
      </c>
      <c r="G42" s="703"/>
    </row>
    <row r="43" spans="2:7" s="700" customFormat="1">
      <c r="B43" s="618">
        <v>38442</v>
      </c>
      <c r="C43" s="619">
        <f t="shared" si="1"/>
        <v>189.75363200000001</v>
      </c>
      <c r="D43" s="620">
        <v>110.10381750059611</v>
      </c>
      <c r="E43" s="620">
        <v>79.649814499403902</v>
      </c>
      <c r="F43" s="621">
        <f t="shared" si="2"/>
        <v>0.58024616625307124</v>
      </c>
      <c r="G43" s="703"/>
    </row>
    <row r="44" spans="2:7" s="700" customFormat="1">
      <c r="B44" s="618">
        <v>38533</v>
      </c>
      <c r="C44" s="619">
        <f t="shared" si="1"/>
        <v>126.46626000000001</v>
      </c>
      <c r="D44" s="620">
        <v>59.686259563410907</v>
      </c>
      <c r="E44" s="620">
        <v>66.780000436589091</v>
      </c>
      <c r="F44" s="621">
        <f t="shared" si="2"/>
        <v>0.47195401811843651</v>
      </c>
      <c r="G44" s="703"/>
    </row>
    <row r="45" spans="2:7" s="700" customFormat="1">
      <c r="B45" s="618">
        <v>38625</v>
      </c>
      <c r="C45" s="619">
        <f t="shared" si="1"/>
        <v>125.405686</v>
      </c>
      <c r="D45" s="620">
        <v>59.817819940629946</v>
      </c>
      <c r="E45" s="620">
        <v>65.587866059370057</v>
      </c>
      <c r="F45" s="621">
        <f t="shared" si="2"/>
        <v>0.47699447966521985</v>
      </c>
      <c r="G45" s="703"/>
    </row>
    <row r="46" spans="2:7" s="700" customFormat="1">
      <c r="B46" s="618">
        <v>38717</v>
      </c>
      <c r="C46" s="619">
        <f t="shared" si="1"/>
        <v>128.629603</v>
      </c>
      <c r="D46" s="620">
        <v>60.925680243151497</v>
      </c>
      <c r="E46" s="620">
        <v>67.703922756848499</v>
      </c>
      <c r="F46" s="621">
        <f t="shared" si="2"/>
        <v>0.473652089582765</v>
      </c>
      <c r="G46" s="703"/>
    </row>
    <row r="47" spans="2:7" s="700" customFormat="1">
      <c r="B47" s="618">
        <v>38807</v>
      </c>
      <c r="C47" s="619">
        <f t="shared" si="1"/>
        <v>127.93821</v>
      </c>
      <c r="D47" s="620">
        <v>52.331824420450552</v>
      </c>
      <c r="E47" s="620">
        <v>75.606385579549453</v>
      </c>
      <c r="F47" s="621">
        <f t="shared" si="2"/>
        <v>0.40903983587429082</v>
      </c>
      <c r="G47" s="703"/>
    </row>
    <row r="48" spans="2:7" s="700" customFormat="1">
      <c r="B48" s="618">
        <v>38898</v>
      </c>
      <c r="C48" s="619">
        <f t="shared" si="1"/>
        <v>130.64958899999999</v>
      </c>
      <c r="D48" s="620">
        <v>53.963679480984588</v>
      </c>
      <c r="E48" s="620">
        <v>76.685909519015411</v>
      </c>
      <c r="F48" s="621">
        <f t="shared" si="2"/>
        <v>0.41304132599287852</v>
      </c>
      <c r="G48" s="703"/>
    </row>
    <row r="49" spans="2:7" s="700" customFormat="1">
      <c r="B49" s="618">
        <v>38990</v>
      </c>
      <c r="C49" s="619">
        <f t="shared" si="1"/>
        <v>129.60414299999999</v>
      </c>
      <c r="D49" s="620">
        <v>54.52413563741969</v>
      </c>
      <c r="E49" s="620">
        <v>75.080007362580304</v>
      </c>
      <c r="F49" s="621">
        <f t="shared" si="2"/>
        <v>0.42069747444277067</v>
      </c>
      <c r="G49" s="703"/>
    </row>
    <row r="50" spans="2:7" s="700" customFormat="1">
      <c r="B50" s="618">
        <v>39082</v>
      </c>
      <c r="C50" s="619">
        <f t="shared" si="1"/>
        <v>136.72540499999999</v>
      </c>
      <c r="D50" s="620">
        <v>56.247088280471573</v>
      </c>
      <c r="E50" s="620">
        <v>80.478316719528422</v>
      </c>
      <c r="F50" s="621">
        <f t="shared" si="2"/>
        <v>0.41138724935919241</v>
      </c>
      <c r="G50" s="703"/>
    </row>
    <row r="51" spans="2:7" s="700" customFormat="1">
      <c r="B51" s="618">
        <v>39172</v>
      </c>
      <c r="C51" s="619">
        <f t="shared" si="1"/>
        <v>136.34812600000001</v>
      </c>
      <c r="D51" s="620">
        <v>57.73210143012561</v>
      </c>
      <c r="E51" s="620">
        <v>78.616024569874398</v>
      </c>
      <c r="F51" s="621">
        <f t="shared" si="2"/>
        <v>0.42341690438873802</v>
      </c>
      <c r="G51" s="703"/>
    </row>
    <row r="52" spans="2:7" s="700" customFormat="1">
      <c r="B52" s="618">
        <v>39263</v>
      </c>
      <c r="C52" s="619">
        <f t="shared" si="1"/>
        <v>138.31477100000001</v>
      </c>
      <c r="D52" s="620">
        <v>59.629681830493965</v>
      </c>
      <c r="E52" s="620">
        <v>78.685089169506043</v>
      </c>
      <c r="F52" s="621">
        <f t="shared" si="2"/>
        <v>0.43111579044940879</v>
      </c>
      <c r="G52" s="703"/>
    </row>
    <row r="53" spans="2:7" s="700" customFormat="1">
      <c r="B53" s="618">
        <v>39355</v>
      </c>
      <c r="C53" s="619">
        <f t="shared" si="1"/>
        <v>137.11382109000002</v>
      </c>
      <c r="D53" s="620">
        <v>59.98795116580186</v>
      </c>
      <c r="E53" s="620">
        <v>77.125869924198156</v>
      </c>
      <c r="F53" s="621">
        <f t="shared" si="2"/>
        <v>0.43750477296104545</v>
      </c>
      <c r="G53" s="703"/>
    </row>
    <row r="54" spans="2:7" s="700" customFormat="1">
      <c r="B54" s="618">
        <v>39447</v>
      </c>
      <c r="C54" s="619">
        <f t="shared" si="1"/>
        <v>144.72864003000001</v>
      </c>
      <c r="D54" s="623">
        <v>62.131510512779442</v>
      </c>
      <c r="E54" s="624">
        <v>82.597129517220566</v>
      </c>
      <c r="F54" s="621">
        <f t="shared" ref="F54:F80" si="3">+D54/C54</f>
        <v>0.42929658220999339</v>
      </c>
      <c r="G54" s="703"/>
    </row>
    <row r="55" spans="2:7" s="700" customFormat="1">
      <c r="B55" s="618">
        <v>39538</v>
      </c>
      <c r="C55" s="619">
        <f t="shared" si="1"/>
        <v>144.49257474000001</v>
      </c>
      <c r="D55" s="620">
        <v>63.133045943058804</v>
      </c>
      <c r="E55" s="620">
        <v>81.359528796941206</v>
      </c>
      <c r="F55" s="621">
        <f t="shared" si="3"/>
        <v>0.43692934433939201</v>
      </c>
      <c r="G55" s="703"/>
    </row>
    <row r="56" spans="2:7" s="700" customFormat="1">
      <c r="B56" s="618">
        <v>39629</v>
      </c>
      <c r="C56" s="619">
        <f t="shared" si="1"/>
        <v>149.84739615999999</v>
      </c>
      <c r="D56" s="620">
        <v>62.453819970845139</v>
      </c>
      <c r="E56" s="620">
        <v>87.393576189154857</v>
      </c>
      <c r="F56" s="621">
        <f t="shared" si="3"/>
        <v>0.41678281752830654</v>
      </c>
      <c r="G56" s="703"/>
    </row>
    <row r="57" spans="2:7" s="700" customFormat="1">
      <c r="B57" s="618">
        <v>39721</v>
      </c>
      <c r="C57" s="619">
        <f t="shared" si="1"/>
        <v>145.70672671</v>
      </c>
      <c r="D57" s="620">
        <v>58.462893574402649</v>
      </c>
      <c r="E57" s="620">
        <v>87.243833135597356</v>
      </c>
      <c r="F57" s="621">
        <f t="shared" si="3"/>
        <v>0.40123675065984638</v>
      </c>
      <c r="G57" s="703"/>
    </row>
    <row r="58" spans="2:7" s="700" customFormat="1">
      <c r="B58" s="618">
        <v>39813</v>
      </c>
      <c r="C58" s="619">
        <f t="shared" si="1"/>
        <v>145.97508858</v>
      </c>
      <c r="D58" s="620">
        <v>55.73349107044973</v>
      </c>
      <c r="E58" s="620">
        <v>90.241597509550274</v>
      </c>
      <c r="F58" s="621">
        <f t="shared" si="3"/>
        <v>0.38180138551452647</v>
      </c>
      <c r="G58" s="703"/>
    </row>
    <row r="59" spans="2:7" s="700" customFormat="1">
      <c r="B59" s="618">
        <v>39903</v>
      </c>
      <c r="C59" s="619">
        <f t="shared" si="1"/>
        <v>136.66247458000001</v>
      </c>
      <c r="D59" s="620">
        <v>54.397842589030468</v>
      </c>
      <c r="E59" s="620">
        <v>82.264631990969548</v>
      </c>
      <c r="F59" s="621">
        <f t="shared" si="3"/>
        <v>0.3980452041148051</v>
      </c>
      <c r="G59" s="703"/>
    </row>
    <row r="60" spans="2:7" s="700" customFormat="1">
      <c r="B60" s="618">
        <v>39994</v>
      </c>
      <c r="C60" s="619">
        <f t="shared" si="1"/>
        <v>140.63438029</v>
      </c>
      <c r="D60" s="620">
        <v>55.297362409070118</v>
      </c>
      <c r="E60" s="620">
        <v>85.337017880929878</v>
      </c>
      <c r="F60" s="621">
        <f t="shared" si="3"/>
        <v>0.39319946015364293</v>
      </c>
      <c r="G60" s="703"/>
    </row>
    <row r="61" spans="2:7" s="700" customFormat="1">
      <c r="B61" s="618">
        <v>40086</v>
      </c>
      <c r="C61" s="619">
        <f t="shared" si="1"/>
        <v>141.66514039</v>
      </c>
      <c r="D61" s="620">
        <v>54.843934988739946</v>
      </c>
      <c r="E61" s="620">
        <v>86.821205401260059</v>
      </c>
      <c r="F61" s="621">
        <f t="shared" si="3"/>
        <v>0.38713782965771387</v>
      </c>
      <c r="G61" s="703"/>
    </row>
    <row r="62" spans="2:7" s="700" customFormat="1">
      <c r="B62" s="618">
        <v>40178</v>
      </c>
      <c r="C62" s="619">
        <f t="shared" si="1"/>
        <v>147.11943170000001</v>
      </c>
      <c r="D62" s="620">
        <v>55.007258454723356</v>
      </c>
      <c r="E62" s="620">
        <v>92.112173245276651</v>
      </c>
      <c r="F62" s="621">
        <f t="shared" si="3"/>
        <v>0.37389526195895001</v>
      </c>
      <c r="G62" s="703"/>
    </row>
    <row r="63" spans="2:7" s="700" customFormat="1">
      <c r="B63" s="618">
        <v>40268</v>
      </c>
      <c r="C63" s="619">
        <f t="shared" si="1"/>
        <v>151.76645673999997</v>
      </c>
      <c r="D63" s="620">
        <v>54.50867429239424</v>
      </c>
      <c r="E63" s="620">
        <v>97.257782447605734</v>
      </c>
      <c r="F63" s="621">
        <f t="shared" si="3"/>
        <v>0.35916153979779769</v>
      </c>
      <c r="G63" s="703"/>
    </row>
    <row r="64" spans="2:7" s="700" customFormat="1">
      <c r="B64" s="618">
        <v>40359</v>
      </c>
      <c r="C64" s="619">
        <f t="shared" si="1"/>
        <v>156.69058941</v>
      </c>
      <c r="D64" s="620">
        <v>60.403629089132195</v>
      </c>
      <c r="E64" s="620">
        <v>96.286960320867806</v>
      </c>
      <c r="F64" s="621">
        <f t="shared" si="3"/>
        <v>0.38549621465191342</v>
      </c>
      <c r="G64" s="703"/>
    </row>
    <row r="65" spans="2:7" s="700" customFormat="1">
      <c r="B65" s="618">
        <v>40451</v>
      </c>
      <c r="C65" s="619">
        <f t="shared" si="1"/>
        <v>160.88983315000002</v>
      </c>
      <c r="D65" s="620">
        <v>62.645530253010563</v>
      </c>
      <c r="E65" s="620">
        <v>98.244302896989453</v>
      </c>
      <c r="F65" s="621">
        <f t="shared" si="3"/>
        <v>0.38936910447663398</v>
      </c>
      <c r="G65" s="703"/>
    </row>
    <row r="66" spans="2:7" s="700" customFormat="1">
      <c r="B66" s="618">
        <v>40543</v>
      </c>
      <c r="C66" s="625">
        <f t="shared" si="1"/>
        <v>164.33071950700128</v>
      </c>
      <c r="D66" s="620">
        <v>61.14531976374758</v>
      </c>
      <c r="E66" s="620">
        <v>103.18539974325371</v>
      </c>
      <c r="F66" s="621">
        <f t="shared" si="3"/>
        <v>0.37208697160936177</v>
      </c>
      <c r="G66" s="703"/>
    </row>
    <row r="67" spans="2:7" s="700" customFormat="1">
      <c r="B67" s="618">
        <v>40633</v>
      </c>
      <c r="C67" s="625">
        <f t="shared" si="1"/>
        <v>173.14708378400002</v>
      </c>
      <c r="D67" s="620">
        <v>63.310839178734525</v>
      </c>
      <c r="E67" s="620">
        <v>109.83624460526549</v>
      </c>
      <c r="F67" s="621">
        <f t="shared" si="3"/>
        <v>0.3656477359890995</v>
      </c>
      <c r="G67" s="703"/>
    </row>
    <row r="68" spans="2:7" s="700" customFormat="1">
      <c r="B68" s="618">
        <v>40724</v>
      </c>
      <c r="C68" s="625">
        <f t="shared" si="1"/>
        <v>176.59050977000001</v>
      </c>
      <c r="D68" s="620">
        <v>63.860658110826115</v>
      </c>
      <c r="E68" s="620">
        <v>112.7298516591739</v>
      </c>
      <c r="F68" s="621">
        <f t="shared" si="3"/>
        <v>0.361631314128949</v>
      </c>
      <c r="G68" s="703"/>
    </row>
    <row r="69" spans="2:7" s="700" customFormat="1">
      <c r="B69" s="618">
        <v>40816</v>
      </c>
      <c r="C69" s="625">
        <f t="shared" si="1"/>
        <v>175.32372226037342</v>
      </c>
      <c r="D69" s="620">
        <v>61.792297426113713</v>
      </c>
      <c r="E69" s="620">
        <v>113.5314248342597</v>
      </c>
      <c r="F69" s="621">
        <f t="shared" si="3"/>
        <v>0.3524468715896068</v>
      </c>
      <c r="G69" s="703"/>
    </row>
    <row r="70" spans="2:7" s="700" customFormat="1">
      <c r="B70" s="618">
        <v>40908</v>
      </c>
      <c r="C70" s="625">
        <f t="shared" si="1"/>
        <v>178.96286493399998</v>
      </c>
      <c r="D70" s="620">
        <v>60.584757622236616</v>
      </c>
      <c r="E70" s="620">
        <v>118.37810731176336</v>
      </c>
      <c r="F70" s="621">
        <f t="shared" si="3"/>
        <v>0.3385325645327581</v>
      </c>
      <c r="G70" s="703"/>
    </row>
    <row r="71" spans="2:7" s="700" customFormat="1">
      <c r="B71" s="618">
        <v>40999</v>
      </c>
      <c r="C71" s="625">
        <f t="shared" si="1"/>
        <v>181.15742401066902</v>
      </c>
      <c r="D71" s="620">
        <v>61.657594513731944</v>
      </c>
      <c r="E71" s="620">
        <v>119.49982949693708</v>
      </c>
      <c r="F71" s="621">
        <f t="shared" si="3"/>
        <v>0.34035367222985408</v>
      </c>
      <c r="G71" s="703"/>
    </row>
    <row r="72" spans="2:7" s="700" customFormat="1">
      <c r="B72" s="618">
        <v>41090</v>
      </c>
      <c r="C72" s="625">
        <f t="shared" si="1"/>
        <v>182.74112246530518</v>
      </c>
      <c r="D72" s="620">
        <v>60.770358667155584</v>
      </c>
      <c r="E72" s="620">
        <v>121.97076379814959</v>
      </c>
      <c r="F72" s="621">
        <f t="shared" si="3"/>
        <v>0.33254889675252658</v>
      </c>
      <c r="G72" s="703"/>
    </row>
    <row r="73" spans="2:7" s="700" customFormat="1">
      <c r="B73" s="618">
        <v>41182</v>
      </c>
      <c r="C73" s="625">
        <f t="shared" si="1"/>
        <v>187.14503860107831</v>
      </c>
      <c r="D73" s="620">
        <v>59.551144723443009</v>
      </c>
      <c r="E73" s="620">
        <v>127.59389387763531</v>
      </c>
      <c r="F73" s="621">
        <f t="shared" si="3"/>
        <v>0.31820851446873399</v>
      </c>
      <c r="G73" s="703"/>
    </row>
    <row r="74" spans="2:7" s="700" customFormat="1">
      <c r="B74" s="618">
        <v>41274</v>
      </c>
      <c r="C74" s="625">
        <f t="shared" si="1"/>
        <v>197.46363866242811</v>
      </c>
      <c r="D74" s="620">
        <v>60.17083007190616</v>
      </c>
      <c r="E74" s="620">
        <v>137.29280859052196</v>
      </c>
      <c r="F74" s="621">
        <f t="shared" si="3"/>
        <v>0.30471853187497761</v>
      </c>
      <c r="G74" s="703"/>
    </row>
    <row r="75" spans="2:7" s="700" customFormat="1">
      <c r="B75" s="618">
        <v>41364</v>
      </c>
      <c r="C75" s="625">
        <f t="shared" si="1"/>
        <v>195.29406859585492</v>
      </c>
      <c r="D75" s="620">
        <v>58.978732360476606</v>
      </c>
      <c r="E75" s="620">
        <v>136.31533623537831</v>
      </c>
      <c r="F75" s="621">
        <f t="shared" si="3"/>
        <v>0.30199960902308948</v>
      </c>
      <c r="G75" s="703"/>
    </row>
    <row r="76" spans="2:7" s="700" customFormat="1">
      <c r="B76" s="618">
        <v>41455</v>
      </c>
      <c r="C76" s="626">
        <f t="shared" ref="C76:C99" si="4">+D76+E76</f>
        <v>196.14265831295535</v>
      </c>
      <c r="D76" s="623">
        <v>58.36137501565463</v>
      </c>
      <c r="E76" s="620">
        <v>137.78128329730072</v>
      </c>
      <c r="F76" s="621">
        <f t="shared" si="3"/>
        <v>0.29754554933448574</v>
      </c>
      <c r="G76" s="703"/>
    </row>
    <row r="77" spans="2:7" s="700" customFormat="1">
      <c r="B77" s="618">
        <v>41547</v>
      </c>
      <c r="C77" s="626">
        <f t="shared" si="4"/>
        <v>201.00929955202142</v>
      </c>
      <c r="D77" s="623">
        <v>59.198610135793196</v>
      </c>
      <c r="E77" s="623">
        <v>141.81068941622823</v>
      </c>
      <c r="F77" s="621">
        <f t="shared" si="3"/>
        <v>0.2945068226580857</v>
      </c>
      <c r="G77" s="703"/>
    </row>
    <row r="78" spans="2:7" s="700" customFormat="1" ht="12.75" customHeight="1">
      <c r="B78" s="618">
        <v>41639</v>
      </c>
      <c r="C78" s="626">
        <f t="shared" si="4"/>
        <v>202.62957234026987</v>
      </c>
      <c r="D78" s="623">
        <v>60.757754698400262</v>
      </c>
      <c r="E78" s="623">
        <v>141.8718176418696</v>
      </c>
      <c r="F78" s="621">
        <f t="shared" si="3"/>
        <v>0.29984643404552791</v>
      </c>
      <c r="G78" s="703"/>
    </row>
    <row r="79" spans="2:7" s="700" customFormat="1" ht="12.75" customHeight="1">
      <c r="B79" s="618">
        <v>41729</v>
      </c>
      <c r="C79" s="626">
        <f t="shared" si="4"/>
        <v>186.54821481347389</v>
      </c>
      <c r="D79" s="623">
        <v>61.252786169714689</v>
      </c>
      <c r="E79" s="623">
        <v>125.29542864375921</v>
      </c>
      <c r="F79" s="621">
        <f t="shared" si="3"/>
        <v>0.3283482837450909</v>
      </c>
      <c r="G79" s="703"/>
    </row>
    <row r="80" spans="2:7" s="700" customFormat="1" ht="12.75" customHeight="1">
      <c r="B80" s="618">
        <v>41820</v>
      </c>
      <c r="C80" s="626">
        <f t="shared" si="4"/>
        <v>198.86298128853687</v>
      </c>
      <c r="D80" s="623">
        <v>70.376211399655148</v>
      </c>
      <c r="E80" s="623">
        <v>128.48676988888172</v>
      </c>
      <c r="F80" s="621">
        <f t="shared" si="3"/>
        <v>0.35389297165139033</v>
      </c>
      <c r="G80" s="703"/>
    </row>
    <row r="81" spans="1:8" ht="12.75" customHeight="1">
      <c r="A81" s="700"/>
      <c r="B81" s="618">
        <v>41912</v>
      </c>
      <c r="C81" s="626">
        <f t="shared" si="4"/>
        <v>200.37291708504785</v>
      </c>
      <c r="D81" s="623">
        <v>67.686505305126289</v>
      </c>
      <c r="E81" s="623">
        <v>132.68641177992157</v>
      </c>
      <c r="F81" s="621">
        <f t="shared" ref="F81:F89" si="5">+D81/C81</f>
        <v>0.33780266460061015</v>
      </c>
      <c r="G81" s="703"/>
    </row>
    <row r="82" spans="1:8" ht="12.75" customHeight="1">
      <c r="A82" s="700"/>
      <c r="B82" s="618">
        <v>42004</v>
      </c>
      <c r="C82" s="626">
        <f t="shared" si="4"/>
        <v>221.74798248516498</v>
      </c>
      <c r="D82" s="623">
        <v>67.302545716501257</v>
      </c>
      <c r="E82" s="623">
        <v>154.44543676866374</v>
      </c>
      <c r="F82" s="621">
        <f t="shared" si="5"/>
        <v>0.30350916821082607</v>
      </c>
      <c r="G82" s="703"/>
    </row>
    <row r="83" spans="1:8" ht="12.75" customHeight="1">
      <c r="A83" s="700"/>
      <c r="B83" s="618">
        <v>42094</v>
      </c>
      <c r="C83" s="626">
        <f t="shared" si="4"/>
        <v>220.00194471723927</v>
      </c>
      <c r="D83" s="623">
        <v>64.876682048903618</v>
      </c>
      <c r="E83" s="623">
        <v>155.12526266833567</v>
      </c>
      <c r="F83" s="621">
        <f t="shared" si="5"/>
        <v>0.29489140258413316</v>
      </c>
      <c r="G83" s="703"/>
    </row>
    <row r="84" spans="1:8" ht="12.75" customHeight="1">
      <c r="A84" s="700"/>
      <c r="B84" s="618">
        <v>42185</v>
      </c>
      <c r="C84" s="626">
        <f t="shared" si="4"/>
        <v>226.328289369077</v>
      </c>
      <c r="D84" s="623">
        <v>65.074479624806429</v>
      </c>
      <c r="E84" s="623">
        <v>161.25380974427057</v>
      </c>
      <c r="F84" s="621">
        <f t="shared" si="5"/>
        <v>0.28752251787088129</v>
      </c>
      <c r="G84" s="703"/>
    </row>
    <row r="85" spans="1:8">
      <c r="A85" s="700"/>
      <c r="B85" s="618">
        <v>42277</v>
      </c>
      <c r="C85" s="626">
        <f t="shared" si="4"/>
        <v>239.95910150014572</v>
      </c>
      <c r="D85" s="623">
        <v>65.714359509804225</v>
      </c>
      <c r="E85" s="623">
        <v>174.24474199034148</v>
      </c>
      <c r="F85" s="621">
        <f t="shared" si="5"/>
        <v>0.27385649929083566</v>
      </c>
    </row>
    <row r="86" spans="1:8">
      <c r="A86" s="700"/>
      <c r="B86" s="618">
        <v>42369</v>
      </c>
      <c r="C86" s="626">
        <f t="shared" si="4"/>
        <v>222.70320381381762</v>
      </c>
      <c r="D86" s="623">
        <v>63.57977233925746</v>
      </c>
      <c r="E86" s="623">
        <v>159.12343147456016</v>
      </c>
      <c r="F86" s="621">
        <f t="shared" si="5"/>
        <v>0.28549105379018641</v>
      </c>
    </row>
    <row r="87" spans="1:8">
      <c r="A87" s="700"/>
      <c r="B87" s="618">
        <v>42460</v>
      </c>
      <c r="C87" s="626">
        <f t="shared" si="4"/>
        <v>217.15335326883917</v>
      </c>
      <c r="D87" s="623">
        <v>65.471940513756337</v>
      </c>
      <c r="E87" s="623">
        <v>151.68141275508282</v>
      </c>
      <c r="F87" s="621">
        <f t="shared" si="5"/>
        <v>0.30150094174553721</v>
      </c>
    </row>
    <row r="88" spans="1:8">
      <c r="A88" s="700"/>
      <c r="B88" s="618">
        <v>42551</v>
      </c>
      <c r="C88" s="626">
        <f t="shared" si="4"/>
        <v>236.06479849291421</v>
      </c>
      <c r="D88" s="623">
        <v>80.936870152719337</v>
      </c>
      <c r="E88" s="623">
        <v>155.12792834019487</v>
      </c>
      <c r="F88" s="621">
        <f t="shared" si="5"/>
        <v>0.34285870095599519</v>
      </c>
    </row>
    <row r="89" spans="1:8">
      <c r="A89" s="700"/>
      <c r="B89" s="618">
        <v>42643</v>
      </c>
      <c r="C89" s="626">
        <f t="shared" si="4"/>
        <v>242.34130642220271</v>
      </c>
      <c r="D89" s="623">
        <v>83.902195751841916</v>
      </c>
      <c r="E89" s="623">
        <v>158.43911067036078</v>
      </c>
      <c r="F89" s="621">
        <f t="shared" si="5"/>
        <v>0.34621500143961842</v>
      </c>
    </row>
    <row r="90" spans="1:8">
      <c r="A90" s="700"/>
      <c r="B90" s="618">
        <v>42735</v>
      </c>
      <c r="C90" s="626">
        <f t="shared" si="4"/>
        <v>266.97805160015997</v>
      </c>
      <c r="D90" s="623">
        <v>92.021823370224752</v>
      </c>
      <c r="E90" s="623">
        <v>174.95622822993522</v>
      </c>
      <c r="F90" s="621">
        <f t="shared" ref="F90:F98" si="6">+D90/C90</f>
        <v>0.34467935779245762</v>
      </c>
    </row>
    <row r="91" spans="1:8">
      <c r="A91" s="700"/>
      <c r="B91" s="618">
        <v>42825</v>
      </c>
      <c r="C91" s="626">
        <f t="shared" si="4"/>
        <v>281.88041416995196</v>
      </c>
      <c r="D91" s="623">
        <v>97.397499481625715</v>
      </c>
      <c r="E91" s="623">
        <v>184.48291468832625</v>
      </c>
      <c r="F91" s="621">
        <f t="shared" si="6"/>
        <v>0.34552772943955801</v>
      </c>
    </row>
    <row r="92" spans="1:8">
      <c r="A92" s="700"/>
      <c r="B92" s="618">
        <v>42916</v>
      </c>
      <c r="C92" s="626">
        <f t="shared" si="4"/>
        <v>290.9566612652182</v>
      </c>
      <c r="D92" s="623">
        <v>110.6658308686365</v>
      </c>
      <c r="E92" s="623">
        <v>180.2908303965817</v>
      </c>
      <c r="F92" s="621">
        <f t="shared" si="6"/>
        <v>0.38035159733896018</v>
      </c>
    </row>
    <row r="93" spans="1:8">
      <c r="A93" s="700"/>
      <c r="B93" s="618">
        <v>43008</v>
      </c>
      <c r="C93" s="626">
        <f t="shared" si="4"/>
        <v>302.84312753818449</v>
      </c>
      <c r="D93" s="623">
        <v>120.13872317222948</v>
      </c>
      <c r="E93" s="623">
        <v>182.70440436595501</v>
      </c>
      <c r="F93" s="621">
        <f t="shared" si="6"/>
        <v>0.39670282151963837</v>
      </c>
    </row>
    <row r="94" spans="1:8">
      <c r="A94" s="700"/>
      <c r="B94" s="618">
        <v>43100</v>
      </c>
      <c r="C94" s="626">
        <f t="shared" si="4"/>
        <v>318.05827282073471</v>
      </c>
      <c r="D94" s="623">
        <v>129.65275626587174</v>
      </c>
      <c r="E94" s="623">
        <v>188.40551655486297</v>
      </c>
      <c r="F94" s="621">
        <f t="shared" si="6"/>
        <v>0.4076383711576877</v>
      </c>
      <c r="H94" s="471"/>
    </row>
    <row r="95" spans="1:8">
      <c r="A95" s="700"/>
      <c r="B95" s="618">
        <v>43190</v>
      </c>
      <c r="C95" s="626">
        <f t="shared" si="4"/>
        <v>328.57726437934718</v>
      </c>
      <c r="D95" s="623">
        <v>140.95221945767497</v>
      </c>
      <c r="E95" s="623">
        <v>187.62504492167221</v>
      </c>
      <c r="F95" s="621">
        <f t="shared" si="6"/>
        <v>0.42897739660691681</v>
      </c>
      <c r="H95" s="471"/>
    </row>
    <row r="96" spans="1:8">
      <c r="A96" s="700"/>
      <c r="B96" s="618">
        <v>43281</v>
      </c>
      <c r="C96" s="626">
        <f t="shared" si="4"/>
        <v>324.33919768592051</v>
      </c>
      <c r="D96" s="623">
        <v>149.90583742159129</v>
      </c>
      <c r="E96" s="623">
        <v>174.43336026432922</v>
      </c>
      <c r="F96" s="621">
        <f t="shared" si="6"/>
        <v>0.46218846963651677</v>
      </c>
      <c r="H96" s="471"/>
    </row>
    <row r="97" spans="1:10">
      <c r="A97" s="700"/>
      <c r="B97" s="618">
        <v>43373</v>
      </c>
      <c r="C97" s="626">
        <f t="shared" si="4"/>
        <v>304.85119799336769</v>
      </c>
      <c r="D97" s="623">
        <v>144.82936980998838</v>
      </c>
      <c r="E97" s="623">
        <v>160.02182818337931</v>
      </c>
      <c r="F97" s="621">
        <f t="shared" si="6"/>
        <v>0.47508217374018413</v>
      </c>
      <c r="H97" s="471"/>
    </row>
    <row r="98" spans="1:10">
      <c r="A98" s="700"/>
      <c r="B98" s="618">
        <v>43465</v>
      </c>
      <c r="C98" s="626">
        <f t="shared" si="4"/>
        <v>329.38638143572138</v>
      </c>
      <c r="D98" s="623">
        <v>161.18043009985394</v>
      </c>
      <c r="E98" s="623">
        <v>168.20595133586744</v>
      </c>
      <c r="F98" s="621">
        <f t="shared" si="6"/>
        <v>0.4893354406375412</v>
      </c>
      <c r="H98" s="471"/>
    </row>
    <row r="99" spans="1:10">
      <c r="A99" s="700"/>
      <c r="B99" s="618">
        <v>43555</v>
      </c>
      <c r="C99" s="626">
        <f t="shared" si="4"/>
        <v>322.42111217810316</v>
      </c>
      <c r="D99" s="977">
        <v>161.12297276855077</v>
      </c>
      <c r="E99" s="977">
        <v>161.29813940955242</v>
      </c>
      <c r="F99" s="621">
        <v>0.4997283573649689</v>
      </c>
    </row>
    <row r="100" spans="1:10">
      <c r="A100" s="700"/>
      <c r="B100" s="618">
        <v>43646</v>
      </c>
      <c r="C100" s="626">
        <v>334.81107367095217</v>
      </c>
      <c r="D100" s="977">
        <v>167.51385907901164</v>
      </c>
      <c r="E100" s="977">
        <v>167.29721459194053</v>
      </c>
      <c r="F100" s="621">
        <v>0.50032353243979621</v>
      </c>
    </row>
    <row r="101" spans="1:10">
      <c r="A101" s="700"/>
      <c r="B101" s="618">
        <v>43738</v>
      </c>
      <c r="C101" s="626">
        <v>308.84552168155875</v>
      </c>
      <c r="D101" s="977">
        <v>154.36838070603847</v>
      </c>
      <c r="E101" s="977">
        <v>154.47714097552029</v>
      </c>
      <c r="F101" s="621">
        <v>0.49982392448352553</v>
      </c>
    </row>
    <row r="102" spans="1:10" ht="13.5" thickBot="1">
      <c r="A102" s="700"/>
      <c r="B102" s="618">
        <v>43830</v>
      </c>
      <c r="C102" s="1275">
        <v>320.62940873855183</v>
      </c>
      <c r="D102" s="1276">
        <v>155.87171899039521</v>
      </c>
      <c r="E102" s="1276">
        <v>164.75768974815662</v>
      </c>
      <c r="F102" s="1277">
        <v>0.48614292620143396</v>
      </c>
    </row>
    <row r="103" spans="1:10" ht="12.75" customHeight="1" thickTop="1">
      <c r="A103" s="700"/>
      <c r="B103" s="1531"/>
      <c r="C103" s="1531"/>
      <c r="D103" s="1531"/>
      <c r="E103" s="1531"/>
      <c r="F103" s="1531"/>
    </row>
    <row r="104" spans="1:10">
      <c r="B104" s="1532" t="s">
        <v>532</v>
      </c>
      <c r="C104" s="1532"/>
      <c r="D104" s="1532"/>
      <c r="E104" s="1532"/>
      <c r="F104" s="1532"/>
    </row>
    <row r="105" spans="1:10">
      <c r="A105" s="700"/>
      <c r="B105" s="1532"/>
      <c r="C105" s="1532"/>
      <c r="D105" s="1532"/>
      <c r="E105" s="1532"/>
      <c r="F105" s="1532"/>
      <c r="G105" s="471"/>
      <c r="H105" s="471"/>
      <c r="I105" s="471"/>
      <c r="J105" s="471"/>
    </row>
    <row r="106" spans="1:10">
      <c r="A106" s="700"/>
      <c r="C106" s="1294"/>
      <c r="D106" s="1294"/>
      <c r="E106" s="1294"/>
      <c r="F106" s="1294"/>
      <c r="G106" s="471"/>
      <c r="H106" s="471"/>
      <c r="I106" s="471"/>
      <c r="J106" s="471"/>
    </row>
    <row r="107" spans="1:10">
      <c r="C107" s="471"/>
      <c r="E107" s="471"/>
      <c r="G107" s="471"/>
      <c r="H107" s="471"/>
      <c r="I107" s="471"/>
      <c r="J107" s="471"/>
    </row>
    <row r="108" spans="1:10">
      <c r="C108" s="1131"/>
    </row>
    <row r="110" spans="1:10">
      <c r="F110" s="471"/>
    </row>
  </sheetData>
  <mergeCells count="4">
    <mergeCell ref="B6:F6"/>
    <mergeCell ref="B7:F7"/>
    <mergeCell ref="B103:F103"/>
    <mergeCell ref="B104:F10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sheetPr>
    <tabColor theme="3" tint="0.79998168889431442"/>
    <pageSetUpPr fitToPage="1"/>
  </sheetPr>
  <dimension ref="A1:L65"/>
  <sheetViews>
    <sheetView showGridLines="0" zoomScaleNormal="100" zoomScaleSheetLayoutView="85" workbookViewId="0"/>
  </sheetViews>
  <sheetFormatPr baseColWidth="10" defaultColWidth="9.1796875" defaultRowHeight="13"/>
  <cols>
    <col min="1" max="1" width="6.453125" style="457" bestFit="1" customWidth="1"/>
    <col min="2" max="2" width="40.54296875" style="457" customWidth="1"/>
    <col min="3" max="3" width="17" style="457" customWidth="1"/>
    <col min="4" max="4" width="12.7265625" style="457" bestFit="1" customWidth="1"/>
    <col min="5" max="8" width="11.1796875" style="457" customWidth="1"/>
    <col min="9" max="9" width="12" style="457" customWidth="1"/>
    <col min="10" max="10" width="11.1796875" style="457" customWidth="1"/>
    <col min="11" max="11" width="9.1796875" style="457"/>
    <col min="12" max="12" width="9" style="457" customWidth="1"/>
    <col min="13" max="16384" width="9.1796875" style="457"/>
  </cols>
  <sheetData>
    <row r="1" spans="1:10" ht="14.5">
      <c r="A1" s="734" t="s">
        <v>219</v>
      </c>
      <c r="B1" s="736"/>
    </row>
    <row r="2" spans="1:10" ht="15" customHeight="1">
      <c r="A2" s="736"/>
      <c r="B2" s="386" t="str">
        <f>+INDICE!B2</f>
        <v>MINISTERIO DE ECONOMÍA</v>
      </c>
      <c r="C2" s="471"/>
      <c r="D2" s="700"/>
      <c r="E2" s="700"/>
      <c r="F2" s="700"/>
      <c r="G2" s="700"/>
      <c r="H2" s="700"/>
      <c r="I2" s="700"/>
      <c r="J2" s="700"/>
    </row>
    <row r="3" spans="1:10" ht="15" customHeight="1">
      <c r="A3" s="736"/>
      <c r="B3" s="693" t="s">
        <v>567</v>
      </c>
      <c r="C3" s="540"/>
      <c r="D3" s="705"/>
      <c r="E3" s="705"/>
      <c r="F3" s="705"/>
      <c r="G3" s="705"/>
      <c r="H3" s="705"/>
      <c r="I3" s="705"/>
      <c r="J3" s="705"/>
    </row>
    <row r="4" spans="1:10">
      <c r="B4" s="705"/>
      <c r="C4" s="540"/>
      <c r="D4" s="705"/>
      <c r="E4" s="705"/>
      <c r="F4" s="705"/>
      <c r="G4" s="705"/>
      <c r="H4" s="705"/>
      <c r="I4" s="705"/>
      <c r="J4" s="705"/>
    </row>
    <row r="5" spans="1:10" ht="41.25" customHeight="1">
      <c r="B5" s="1533" t="s">
        <v>790</v>
      </c>
      <c r="C5" s="1533"/>
      <c r="D5" s="1533"/>
      <c r="E5" s="1533"/>
      <c r="F5" s="1533"/>
      <c r="G5" s="1533"/>
      <c r="H5" s="1533"/>
      <c r="I5" s="1533"/>
      <c r="J5" s="18"/>
    </row>
    <row r="6" spans="1:10">
      <c r="B6" s="350"/>
      <c r="C6" s="350"/>
      <c r="D6" s="350"/>
      <c r="E6" s="350"/>
      <c r="F6" s="350"/>
      <c r="G6" s="350"/>
      <c r="H6" s="350"/>
      <c r="I6" s="350"/>
      <c r="J6" s="350"/>
    </row>
    <row r="7" spans="1:10" ht="13.5" thickBot="1">
      <c r="B7" s="994" t="s">
        <v>909</v>
      </c>
      <c r="C7" s="706"/>
      <c r="D7" s="706"/>
      <c r="E7" s="707"/>
      <c r="F7" s="707"/>
      <c r="G7" s="707"/>
      <c r="H7" s="707"/>
      <c r="I7" s="707"/>
      <c r="J7" s="707"/>
    </row>
    <row r="8" spans="1:10" ht="37.5" customHeight="1" thickTop="1" thickBot="1">
      <c r="B8" s="330"/>
      <c r="C8" s="627" t="s">
        <v>908</v>
      </c>
      <c r="D8" s="628">
        <v>2020</v>
      </c>
      <c r="E8" s="627">
        <v>2021</v>
      </c>
      <c r="F8" s="627">
        <v>2022</v>
      </c>
      <c r="G8" s="627">
        <v>2023</v>
      </c>
      <c r="H8" s="627">
        <v>2024</v>
      </c>
      <c r="I8" s="628" t="s">
        <v>910</v>
      </c>
    </row>
    <row r="9" spans="1:10" ht="6" customHeight="1" thickTop="1" thickBot="1">
      <c r="B9" s="708"/>
      <c r="C9" s="708"/>
      <c r="D9" s="709"/>
      <c r="E9" s="709"/>
      <c r="F9" s="709"/>
      <c r="G9" s="708"/>
      <c r="H9" s="708"/>
      <c r="I9" s="708"/>
    </row>
    <row r="10" spans="1:10" ht="24.75" customHeight="1" thickTop="1" thickBot="1">
      <c r="B10" s="710" t="s">
        <v>280</v>
      </c>
      <c r="C10" s="1308">
        <f>+SUM(C11:C24)</f>
        <v>155872</v>
      </c>
      <c r="D10" s="1137">
        <f t="shared" ref="D10:I10" si="0">+SUM(D11:D24)</f>
        <v>13718</v>
      </c>
      <c r="E10" s="1137">
        <f t="shared" si="0"/>
        <v>12344</v>
      </c>
      <c r="F10" s="1137">
        <f t="shared" si="0"/>
        <v>24961</v>
      </c>
      <c r="G10" s="1137">
        <f t="shared" si="0"/>
        <v>24931</v>
      </c>
      <c r="H10" s="1137">
        <f t="shared" si="0"/>
        <v>8655</v>
      </c>
      <c r="I10" s="1137">
        <f t="shared" si="0"/>
        <v>71221</v>
      </c>
      <c r="J10" s="990"/>
    </row>
    <row r="11" spans="1:10" ht="12" customHeight="1" thickTop="1">
      <c r="B11" s="730"/>
      <c r="C11" s="1309"/>
      <c r="D11" s="1133"/>
      <c r="E11" s="1133"/>
      <c r="F11" s="1133"/>
      <c r="G11" s="1133"/>
      <c r="H11" s="1133"/>
      <c r="I11" s="1133"/>
      <c r="J11" s="990"/>
    </row>
    <row r="12" spans="1:10" ht="14.5">
      <c r="B12" s="729" t="s">
        <v>562</v>
      </c>
      <c r="C12" s="1132">
        <f>SUM(D12:I12)</f>
        <v>77499</v>
      </c>
      <c r="D12" s="1307">
        <v>5113</v>
      </c>
      <c r="E12" s="1307">
        <v>6416</v>
      </c>
      <c r="F12" s="1307">
        <v>5539</v>
      </c>
      <c r="G12" s="1307">
        <v>4571</v>
      </c>
      <c r="H12" s="1307">
        <v>1940</v>
      </c>
      <c r="I12" s="1307">
        <v>53920</v>
      </c>
      <c r="J12" s="990"/>
    </row>
    <row r="13" spans="1:10">
      <c r="B13" s="711"/>
      <c r="C13" s="1134"/>
      <c r="D13" s="1135"/>
      <c r="E13" s="1135"/>
      <c r="F13" s="1135"/>
      <c r="G13" s="1135"/>
      <c r="H13" s="1135"/>
      <c r="I13" s="1135"/>
      <c r="J13" s="990"/>
    </row>
    <row r="14" spans="1:10" ht="14.5">
      <c r="B14" s="729" t="s">
        <v>529</v>
      </c>
      <c r="C14" s="1132">
        <f>SUM(D14:I14)</f>
        <v>68002</v>
      </c>
      <c r="D14" s="1307">
        <v>1854</v>
      </c>
      <c r="E14" s="1307">
        <v>5478</v>
      </c>
      <c r="F14" s="1307">
        <v>18988</v>
      </c>
      <c r="G14" s="1307">
        <v>19950</v>
      </c>
      <c r="H14" s="1307">
        <v>6353</v>
      </c>
      <c r="I14" s="1307">
        <v>15379</v>
      </c>
      <c r="J14" s="990"/>
    </row>
    <row r="15" spans="1:10">
      <c r="B15" s="712"/>
      <c r="C15" s="1134"/>
      <c r="D15" s="1135"/>
      <c r="E15" s="1135"/>
      <c r="F15" s="1135"/>
      <c r="G15" s="1135"/>
      <c r="H15" s="1135"/>
      <c r="I15" s="1135"/>
      <c r="J15" s="990"/>
    </row>
    <row r="16" spans="1:10" ht="14.5">
      <c r="B16" s="729" t="s">
        <v>530</v>
      </c>
      <c r="C16" s="1132">
        <f>SUM(D16:I16)</f>
        <v>5398</v>
      </c>
      <c r="D16" s="1307">
        <v>2260</v>
      </c>
      <c r="E16" s="1307">
        <v>339</v>
      </c>
      <c r="F16" s="1307">
        <v>316</v>
      </c>
      <c r="G16" s="1307">
        <v>338</v>
      </c>
      <c r="H16" s="1307">
        <v>327</v>
      </c>
      <c r="I16" s="1307">
        <v>1818</v>
      </c>
      <c r="J16" s="990"/>
    </row>
    <row r="17" spans="2:12">
      <c r="B17" s="713"/>
      <c r="C17" s="1134"/>
      <c r="D17" s="1135"/>
      <c r="E17" s="1135"/>
      <c r="F17" s="1135"/>
      <c r="G17" s="1135"/>
      <c r="H17" s="1135"/>
      <c r="I17" s="1135"/>
      <c r="J17" s="990"/>
    </row>
    <row r="18" spans="2:12" ht="14.5">
      <c r="B18" s="729" t="s">
        <v>531</v>
      </c>
      <c r="C18" s="1132">
        <f>SUM(D18:I18)</f>
        <v>278</v>
      </c>
      <c r="D18" s="1307">
        <v>34</v>
      </c>
      <c r="E18" s="1307">
        <v>35</v>
      </c>
      <c r="F18" s="1307">
        <v>35</v>
      </c>
      <c r="G18" s="1307">
        <v>35</v>
      </c>
      <c r="H18" s="1307">
        <v>35</v>
      </c>
      <c r="I18" s="1307">
        <v>104</v>
      </c>
      <c r="J18" s="990"/>
    </row>
    <row r="19" spans="2:12">
      <c r="B19" s="712"/>
      <c r="C19" s="1134"/>
      <c r="D19" s="1135"/>
      <c r="E19" s="1135"/>
      <c r="F19" s="1135"/>
      <c r="G19" s="1135"/>
      <c r="H19" s="1135"/>
      <c r="I19" s="1135"/>
      <c r="J19" s="990"/>
    </row>
    <row r="20" spans="2:12" ht="14.5">
      <c r="B20" s="729" t="s">
        <v>831</v>
      </c>
      <c r="C20" s="1132">
        <f>SUM(D20:I20)</f>
        <v>4154</v>
      </c>
      <c r="D20" s="1307">
        <v>4154</v>
      </c>
      <c r="E20" s="1307" t="s">
        <v>972</v>
      </c>
      <c r="F20" s="1307" t="s">
        <v>972</v>
      </c>
      <c r="G20" s="1307" t="s">
        <v>972</v>
      </c>
      <c r="H20" s="1307" t="s">
        <v>972</v>
      </c>
      <c r="I20" s="1307" t="s">
        <v>972</v>
      </c>
      <c r="J20" s="990"/>
    </row>
    <row r="21" spans="2:12">
      <c r="B21" s="712"/>
      <c r="C21" s="1134"/>
      <c r="D21" s="1135"/>
      <c r="E21" s="1135"/>
      <c r="F21" s="1135"/>
      <c r="G21" s="1135"/>
      <c r="H21" s="1135"/>
      <c r="I21" s="1135"/>
      <c r="J21" s="990"/>
    </row>
    <row r="22" spans="2:12" ht="14.5">
      <c r="B22" s="729" t="s">
        <v>832</v>
      </c>
      <c r="C22" s="1132">
        <f>SUM(D22:I22)</f>
        <v>499</v>
      </c>
      <c r="D22" s="1307">
        <v>303</v>
      </c>
      <c r="E22" s="1307">
        <v>76</v>
      </c>
      <c r="F22" s="1307">
        <v>83</v>
      </c>
      <c r="G22" s="1307">
        <v>37</v>
      </c>
      <c r="H22" s="1307" t="s">
        <v>972</v>
      </c>
      <c r="I22" s="1307" t="s">
        <v>972</v>
      </c>
      <c r="J22" s="990"/>
    </row>
    <row r="23" spans="2:12">
      <c r="B23" s="713"/>
      <c r="C23" s="1134"/>
      <c r="D23" s="1135"/>
      <c r="E23" s="1135"/>
      <c r="F23" s="1135"/>
      <c r="G23" s="1135"/>
      <c r="H23" s="1135"/>
      <c r="I23" s="1135"/>
      <c r="J23" s="990"/>
    </row>
    <row r="24" spans="2:12" ht="14.5">
      <c r="B24" s="729" t="s">
        <v>833</v>
      </c>
      <c r="C24" s="1307">
        <v>42</v>
      </c>
      <c r="D24" s="1307" t="s">
        <v>973</v>
      </c>
      <c r="E24" s="1307" t="s">
        <v>972</v>
      </c>
      <c r="F24" s="1307" t="s">
        <v>972</v>
      </c>
      <c r="G24" s="1307" t="s">
        <v>972</v>
      </c>
      <c r="H24" s="1307" t="s">
        <v>972</v>
      </c>
      <c r="I24" s="1307" t="s">
        <v>972</v>
      </c>
      <c r="J24" s="990"/>
    </row>
    <row r="25" spans="2:12" ht="13.5" thickBot="1">
      <c r="B25" s="714"/>
      <c r="C25" s="1136"/>
      <c r="D25" s="1136"/>
      <c r="E25" s="1136"/>
      <c r="F25" s="1136"/>
      <c r="G25" s="1136"/>
      <c r="H25" s="1136"/>
      <c r="I25" s="1136"/>
      <c r="J25" s="990"/>
    </row>
    <row r="26" spans="2:12" ht="13.5" thickTop="1"/>
    <row r="27" spans="2:12">
      <c r="B27" s="1534" t="s">
        <v>532</v>
      </c>
      <c r="C27" s="1534"/>
      <c r="D27" s="1534"/>
      <c r="E27" s="1534"/>
      <c r="F27" s="1534"/>
      <c r="G27" s="1534"/>
      <c r="H27" s="1534"/>
      <c r="I27" s="1534"/>
      <c r="J27" s="715"/>
    </row>
    <row r="28" spans="2:12">
      <c r="B28" s="715"/>
      <c r="C28" s="715"/>
      <c r="D28" s="715"/>
      <c r="E28" s="715"/>
      <c r="F28" s="715"/>
      <c r="G28" s="715"/>
      <c r="H28" s="715"/>
      <c r="I28" s="715"/>
      <c r="J28" s="715"/>
    </row>
    <row r="29" spans="2:12">
      <c r="D29" s="990"/>
    </row>
    <row r="30" spans="2:12">
      <c r="D30" s="716"/>
      <c r="G30" s="990"/>
      <c r="L30" s="471"/>
    </row>
    <row r="31" spans="2:12">
      <c r="C31" s="471"/>
      <c r="D31" s="471"/>
      <c r="E31" s="471"/>
      <c r="F31" s="471"/>
      <c r="G31" s="471"/>
      <c r="H31" s="471"/>
      <c r="I31" s="471"/>
    </row>
    <row r="32" spans="2:12">
      <c r="C32" s="471"/>
      <c r="D32" s="471"/>
      <c r="E32" s="471"/>
      <c r="F32" s="471"/>
      <c r="G32" s="471"/>
      <c r="H32" s="471"/>
      <c r="I32" s="471"/>
    </row>
    <row r="33" spans="3:9">
      <c r="C33" s="471"/>
      <c r="D33" s="471"/>
      <c r="E33" s="471"/>
      <c r="F33" s="471"/>
      <c r="G33" s="471"/>
      <c r="H33" s="471"/>
      <c r="I33" s="471"/>
    </row>
    <row r="34" spans="3:9">
      <c r="C34" s="471"/>
      <c r="D34" s="471"/>
      <c r="E34" s="471"/>
      <c r="F34" s="471"/>
      <c r="G34" s="471"/>
      <c r="H34" s="471"/>
      <c r="I34" s="471"/>
    </row>
    <row r="35" spans="3:9">
      <c r="C35" s="471"/>
      <c r="D35" s="471"/>
      <c r="E35" s="471"/>
      <c r="G35" s="471"/>
      <c r="H35" s="471"/>
      <c r="I35" s="471"/>
    </row>
    <row r="36" spans="3:9">
      <c r="C36" s="471"/>
      <c r="D36" s="471"/>
      <c r="E36" s="471"/>
      <c r="F36" s="471"/>
      <c r="G36" s="471"/>
      <c r="H36" s="471"/>
      <c r="I36" s="471"/>
    </row>
    <row r="37" spans="3:9">
      <c r="C37" s="471"/>
      <c r="D37" s="471"/>
      <c r="E37" s="471"/>
      <c r="F37" s="471"/>
      <c r="G37" s="471"/>
      <c r="H37" s="471"/>
      <c r="I37" s="471"/>
    </row>
    <row r="38" spans="3:9">
      <c r="C38" s="471"/>
      <c r="D38" s="471"/>
      <c r="E38" s="471"/>
      <c r="F38" s="471"/>
      <c r="G38" s="471"/>
      <c r="H38" s="471"/>
      <c r="I38" s="471"/>
    </row>
    <row r="39" spans="3:9">
      <c r="C39" s="471"/>
      <c r="D39" s="471"/>
      <c r="E39" s="471"/>
      <c r="F39" s="471"/>
      <c r="G39" s="471"/>
      <c r="H39" s="471"/>
      <c r="I39" s="471"/>
    </row>
    <row r="40" spans="3:9">
      <c r="C40" s="471"/>
      <c r="D40" s="471"/>
      <c r="E40" s="471"/>
      <c r="F40" s="471"/>
      <c r="G40" s="471"/>
      <c r="H40" s="471"/>
      <c r="I40" s="471"/>
    </row>
    <row r="41" spans="3:9">
      <c r="C41" s="471"/>
      <c r="D41" s="471"/>
      <c r="E41" s="471"/>
      <c r="F41" s="471"/>
      <c r="G41" s="471"/>
      <c r="H41" s="471"/>
      <c r="I41" s="471"/>
    </row>
    <row r="42" spans="3:9">
      <c r="C42" s="471"/>
      <c r="D42" s="471"/>
      <c r="E42" s="471"/>
      <c r="F42" s="471"/>
      <c r="G42" s="471"/>
      <c r="H42" s="471"/>
      <c r="I42" s="471"/>
    </row>
    <row r="43" spans="3:9">
      <c r="C43" s="471"/>
      <c r="D43" s="471"/>
      <c r="E43" s="471"/>
      <c r="F43" s="471"/>
      <c r="G43" s="471"/>
      <c r="H43" s="471"/>
      <c r="I43" s="471"/>
    </row>
    <row r="44" spans="3:9">
      <c r="C44" s="471"/>
      <c r="D44" s="471"/>
      <c r="E44" s="471"/>
      <c r="F44" s="471"/>
      <c r="G44" s="471"/>
      <c r="H44" s="471"/>
      <c r="I44" s="471"/>
    </row>
    <row r="45" spans="3:9">
      <c r="C45" s="471"/>
      <c r="D45" s="471"/>
      <c r="E45" s="471"/>
      <c r="F45" s="471"/>
      <c r="G45" s="471"/>
      <c r="H45" s="471"/>
      <c r="I45" s="471"/>
    </row>
    <row r="46" spans="3:9">
      <c r="C46" s="471"/>
      <c r="D46" s="471"/>
      <c r="E46" s="471"/>
      <c r="F46" s="471"/>
      <c r="G46" s="471"/>
      <c r="H46" s="471"/>
      <c r="I46" s="471"/>
    </row>
    <row r="47" spans="3:9">
      <c r="C47" s="471"/>
      <c r="D47" s="471"/>
      <c r="E47" s="471"/>
      <c r="F47" s="471"/>
      <c r="G47" s="471"/>
      <c r="H47" s="471"/>
      <c r="I47" s="471"/>
    </row>
    <row r="48" spans="3:9">
      <c r="C48" s="471"/>
      <c r="D48" s="471"/>
      <c r="E48" s="471"/>
      <c r="F48" s="471"/>
      <c r="G48" s="471"/>
      <c r="H48" s="471"/>
      <c r="I48" s="471"/>
    </row>
    <row r="49" spans="3:9">
      <c r="C49" s="471"/>
      <c r="D49" s="471"/>
      <c r="E49" s="471"/>
      <c r="F49" s="471"/>
      <c r="G49" s="471"/>
      <c r="H49" s="471"/>
      <c r="I49" s="471"/>
    </row>
    <row r="50" spans="3:9">
      <c r="C50" s="471"/>
      <c r="D50" s="471"/>
      <c r="E50" s="471"/>
      <c r="F50" s="471"/>
      <c r="G50" s="471"/>
      <c r="H50" s="471"/>
      <c r="I50" s="471"/>
    </row>
    <row r="51" spans="3:9">
      <c r="C51" s="471"/>
      <c r="D51" s="471"/>
      <c r="E51" s="471"/>
      <c r="F51" s="471"/>
      <c r="G51" s="471"/>
      <c r="H51" s="471"/>
      <c r="I51" s="471"/>
    </row>
    <row r="52" spans="3:9">
      <c r="C52" s="471"/>
      <c r="D52" s="471"/>
      <c r="E52" s="471"/>
      <c r="F52" s="471"/>
      <c r="G52" s="471"/>
      <c r="H52" s="471"/>
      <c r="I52" s="471"/>
    </row>
    <row r="53" spans="3:9">
      <c r="C53" s="471"/>
      <c r="D53" s="471"/>
      <c r="E53" s="471"/>
      <c r="F53" s="471"/>
      <c r="G53" s="471"/>
      <c r="H53" s="471"/>
      <c r="I53" s="471"/>
    </row>
    <row r="54" spans="3:9">
      <c r="C54" s="471"/>
      <c r="D54" s="471"/>
      <c r="E54" s="471"/>
      <c r="F54" s="471"/>
      <c r="G54" s="471"/>
      <c r="H54" s="471"/>
      <c r="I54" s="471"/>
    </row>
    <row r="55" spans="3:9">
      <c r="C55" s="471"/>
      <c r="D55" s="471"/>
      <c r="E55" s="471"/>
      <c r="F55" s="471"/>
      <c r="G55" s="471"/>
      <c r="H55" s="471"/>
      <c r="I55" s="471"/>
    </row>
    <row r="56" spans="3:9">
      <c r="C56" s="471"/>
      <c r="D56" s="471"/>
      <c r="E56" s="471"/>
      <c r="F56" s="471"/>
      <c r="G56" s="471"/>
      <c r="H56" s="471"/>
      <c r="I56" s="471"/>
    </row>
    <row r="57" spans="3:9">
      <c r="C57" s="471"/>
      <c r="D57" s="471"/>
      <c r="E57" s="471"/>
      <c r="F57" s="471"/>
      <c r="G57" s="471"/>
      <c r="H57" s="471"/>
      <c r="I57" s="471"/>
    </row>
    <row r="58" spans="3:9">
      <c r="C58" s="471"/>
      <c r="D58" s="471"/>
      <c r="E58" s="471"/>
      <c r="F58" s="471"/>
      <c r="G58" s="471"/>
      <c r="H58" s="471"/>
      <c r="I58" s="471"/>
    </row>
    <row r="59" spans="3:9">
      <c r="C59" s="471"/>
      <c r="D59" s="471"/>
      <c r="E59" s="471"/>
      <c r="F59" s="471"/>
      <c r="G59" s="471"/>
      <c r="H59" s="471"/>
      <c r="I59" s="471"/>
    </row>
    <row r="60" spans="3:9">
      <c r="C60" s="471"/>
      <c r="D60" s="471"/>
      <c r="E60" s="471"/>
      <c r="F60" s="471"/>
      <c r="G60" s="471"/>
      <c r="H60" s="471"/>
      <c r="I60" s="471"/>
    </row>
    <row r="61" spans="3:9">
      <c r="C61" s="471"/>
      <c r="D61" s="471"/>
      <c r="E61" s="471"/>
      <c r="F61" s="471"/>
      <c r="G61" s="471"/>
      <c r="H61" s="471"/>
      <c r="I61" s="471"/>
    </row>
    <row r="62" spans="3:9">
      <c r="C62" s="471"/>
      <c r="D62" s="471"/>
      <c r="E62" s="471"/>
      <c r="F62" s="471"/>
      <c r="G62" s="471"/>
      <c r="H62" s="471"/>
      <c r="I62" s="471"/>
    </row>
    <row r="63" spans="3:9">
      <c r="C63" s="471"/>
      <c r="D63" s="471"/>
      <c r="E63" s="471"/>
      <c r="F63" s="471"/>
      <c r="G63" s="471"/>
      <c r="H63" s="471"/>
      <c r="I63" s="471"/>
    </row>
    <row r="64" spans="3:9">
      <c r="C64" s="471"/>
      <c r="D64" s="471"/>
      <c r="E64" s="471"/>
      <c r="F64" s="471"/>
      <c r="G64" s="471"/>
      <c r="H64" s="471"/>
      <c r="I64" s="471"/>
    </row>
    <row r="65" spans="3:9">
      <c r="C65" s="471"/>
      <c r="D65" s="471"/>
      <c r="E65" s="471"/>
      <c r="F65" s="471"/>
      <c r="G65" s="471"/>
      <c r="H65" s="471"/>
      <c r="I65" s="471"/>
    </row>
  </sheetData>
  <mergeCells count="2">
    <mergeCell ref="B5:I5"/>
    <mergeCell ref="B27:I27"/>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sheetPr>
    <tabColor theme="3" tint="0.79998168889431442"/>
    <pageSetUpPr autoPageBreaks="0" fitToPage="1"/>
  </sheetPr>
  <dimension ref="A1:P66"/>
  <sheetViews>
    <sheetView showGridLines="0" zoomScaleNormal="100" zoomScaleSheetLayoutView="85" workbookViewId="0"/>
  </sheetViews>
  <sheetFormatPr baseColWidth="10" defaultColWidth="11.453125" defaultRowHeight="13"/>
  <cols>
    <col min="1" max="1" width="6.54296875" style="5" bestFit="1" customWidth="1"/>
    <col min="2" max="2" width="25.453125" style="5" customWidth="1"/>
    <col min="3" max="3" width="73.36328125" style="5" bestFit="1" customWidth="1"/>
    <col min="4" max="4" width="11.7265625" style="5" customWidth="1"/>
    <col min="5" max="5" width="12.54296875" style="5" bestFit="1" customWidth="1"/>
    <col min="6" max="8" width="11.7265625" style="5" customWidth="1"/>
    <col min="9" max="10" width="12.54296875" style="5" bestFit="1" customWidth="1"/>
    <col min="11" max="11" width="12.7265625" style="5" customWidth="1"/>
    <col min="12" max="12" width="13.1796875" style="5" customWidth="1"/>
    <col min="13" max="14" width="12.453125" style="5" bestFit="1" customWidth="1"/>
    <col min="15" max="15" width="13.81640625" style="5" customWidth="1"/>
    <col min="16" max="16" width="11.7265625" style="5" bestFit="1" customWidth="1"/>
    <col min="17" max="16384" width="11.453125" style="5"/>
  </cols>
  <sheetData>
    <row r="1" spans="1:15">
      <c r="A1" s="743" t="s">
        <v>219</v>
      </c>
    </row>
    <row r="2" spans="1:15" ht="14.5">
      <c r="B2" s="386" t="str">
        <f>+INDICE!B2</f>
        <v>MINISTERIO DE ECONOMÍA</v>
      </c>
      <c r="C2" s="744"/>
      <c r="D2" s="745"/>
      <c r="E2" s="745"/>
      <c r="F2" s="745"/>
      <c r="G2" s="745"/>
      <c r="H2" s="745"/>
      <c r="I2" s="745"/>
      <c r="J2" s="745"/>
      <c r="K2" s="744"/>
      <c r="L2" s="744"/>
      <c r="M2" s="744"/>
      <c r="N2" s="744"/>
      <c r="O2" s="744"/>
    </row>
    <row r="3" spans="1:15" ht="14.5">
      <c r="B3" s="6" t="s">
        <v>134</v>
      </c>
      <c r="C3" s="744"/>
      <c r="D3" s="745"/>
      <c r="E3" s="745"/>
      <c r="F3" s="745"/>
      <c r="G3" s="745"/>
      <c r="H3" s="745"/>
      <c r="I3" s="745"/>
      <c r="J3" s="745"/>
      <c r="K3" s="744"/>
      <c r="L3" s="744"/>
      <c r="M3" s="744"/>
      <c r="N3" s="744"/>
      <c r="O3" s="744"/>
    </row>
    <row r="4" spans="1:15" ht="14.5">
      <c r="B4" s="6"/>
      <c r="C4" s="744"/>
      <c r="D4" s="745"/>
      <c r="E4" s="745"/>
      <c r="F4" s="745"/>
      <c r="G4" s="745"/>
      <c r="H4" s="745"/>
      <c r="I4" s="745"/>
      <c r="J4" s="745"/>
      <c r="K4" s="744"/>
      <c r="L4" s="744"/>
      <c r="M4" s="744"/>
      <c r="N4" s="744"/>
      <c r="O4" s="744"/>
    </row>
    <row r="5" spans="1:15" ht="14.5">
      <c r="B5" s="744"/>
      <c r="C5" s="3"/>
      <c r="D5" s="745"/>
      <c r="E5" s="745"/>
      <c r="F5" s="745"/>
      <c r="G5" s="745"/>
      <c r="H5" s="745"/>
      <c r="I5" s="745"/>
      <c r="J5" s="745"/>
      <c r="K5" s="744"/>
      <c r="L5" s="744"/>
      <c r="M5" s="744"/>
      <c r="N5" s="744"/>
      <c r="O5" s="744"/>
    </row>
    <row r="6" spans="1:15" ht="17">
      <c r="B6" s="1358" t="s">
        <v>791</v>
      </c>
      <c r="C6" s="1358"/>
      <c r="D6" s="1358"/>
      <c r="E6" s="1358"/>
      <c r="F6" s="1358"/>
      <c r="G6" s="1358"/>
      <c r="H6" s="1358"/>
      <c r="I6" s="1358"/>
      <c r="J6" s="1358"/>
      <c r="K6" s="1358"/>
      <c r="L6" s="1358"/>
      <c r="M6" s="1358"/>
      <c r="N6" s="1358"/>
      <c r="O6" s="746"/>
    </row>
    <row r="7" spans="1:15" s="747" customFormat="1" ht="13.5" thickBot="1">
      <c r="A7" s="5"/>
      <c r="B7" s="744"/>
      <c r="C7" s="744"/>
      <c r="D7" s="745"/>
      <c r="E7" s="745"/>
      <c r="F7" s="745"/>
      <c r="G7" s="745"/>
      <c r="H7" s="745"/>
      <c r="I7" s="745"/>
      <c r="J7" s="745"/>
      <c r="K7" s="744"/>
      <c r="L7" s="744"/>
      <c r="M7" s="744"/>
      <c r="N7" s="744"/>
      <c r="O7" s="744"/>
    </row>
    <row r="8" spans="1:15" s="748" customFormat="1" ht="13.5" thickBot="1">
      <c r="B8" s="749"/>
      <c r="C8" s="750" t="s">
        <v>578</v>
      </c>
      <c r="D8" s="751">
        <v>2000</v>
      </c>
      <c r="E8" s="751">
        <v>2001</v>
      </c>
      <c r="F8" s="750">
        <v>2002</v>
      </c>
      <c r="G8" s="751">
        <v>2003</v>
      </c>
      <c r="H8" s="752">
        <v>2004</v>
      </c>
      <c r="I8" s="751" t="s">
        <v>579</v>
      </c>
      <c r="J8" s="751" t="s">
        <v>580</v>
      </c>
      <c r="K8" s="751" t="s">
        <v>581</v>
      </c>
      <c r="L8" s="751" t="s">
        <v>582</v>
      </c>
      <c r="M8" s="751" t="s">
        <v>583</v>
      </c>
    </row>
    <row r="9" spans="1:15" s="748" customFormat="1">
      <c r="B9" s="1537" t="s">
        <v>681</v>
      </c>
      <c r="C9" s="753" t="s">
        <v>760</v>
      </c>
      <c r="D9" s="754">
        <v>0.45653868000787612</v>
      </c>
      <c r="E9" s="754">
        <v>0.5367464329045557</v>
      </c>
      <c r="F9" s="754">
        <v>1.6665327778232204</v>
      </c>
      <c r="G9" s="754">
        <v>1.3916783577803526</v>
      </c>
      <c r="H9" s="754">
        <v>1.1800291877305504</v>
      </c>
      <c r="I9" s="754">
        <v>0.67976659279741058</v>
      </c>
      <c r="J9" s="754">
        <v>0.59066390851541961</v>
      </c>
      <c r="K9" s="754">
        <v>0.51434886320254025</v>
      </c>
      <c r="L9" s="754">
        <v>0.44468298014696622</v>
      </c>
      <c r="M9" s="754">
        <v>0.45539395465060262</v>
      </c>
    </row>
    <row r="10" spans="1:15">
      <c r="B10" s="1538"/>
      <c r="C10" s="755" t="s">
        <v>762</v>
      </c>
      <c r="D10" s="756">
        <v>0.45653868000787612</v>
      </c>
      <c r="E10" s="756">
        <v>0.5367464329045557</v>
      </c>
      <c r="F10" s="756">
        <v>1.6665871638753542</v>
      </c>
      <c r="G10" s="756">
        <v>1.3919965661366318</v>
      </c>
      <c r="H10" s="756">
        <v>1.1808397745855408</v>
      </c>
      <c r="I10" s="756">
        <v>0.80506900797125647</v>
      </c>
      <c r="J10" s="756">
        <v>0.70619715404234296</v>
      </c>
      <c r="K10" s="756">
        <v>0.62093275743288956</v>
      </c>
      <c r="L10" s="756">
        <v>0.53787363497327956</v>
      </c>
      <c r="M10" s="756">
        <v>0.55445229319448963</v>
      </c>
    </row>
    <row r="11" spans="1:15">
      <c r="B11" s="1538"/>
      <c r="C11" s="757" t="s">
        <v>763</v>
      </c>
      <c r="D11" s="756">
        <v>0.28640309792788549</v>
      </c>
      <c r="E11" s="756">
        <v>0.31471996131772745</v>
      </c>
      <c r="F11" s="756">
        <v>0.95289241185538076</v>
      </c>
      <c r="G11" s="756">
        <v>0.79169901149841071</v>
      </c>
      <c r="H11" s="756">
        <v>0.68548498968461324</v>
      </c>
      <c r="I11" s="756">
        <v>0.31794322937721653</v>
      </c>
      <c r="J11" s="756">
        <v>0.24057488007116307</v>
      </c>
      <c r="K11" s="756">
        <v>0.21812313388886428</v>
      </c>
      <c r="L11" s="756">
        <v>0.16734890219782483</v>
      </c>
      <c r="M11" s="756">
        <v>0.16749954290919669</v>
      </c>
    </row>
    <row r="12" spans="1:15">
      <c r="B12" s="1538"/>
      <c r="C12" s="757" t="s">
        <v>584</v>
      </c>
      <c r="D12" s="756">
        <v>3.3975626159198857E-2</v>
      </c>
      <c r="E12" s="756">
        <v>3.7866485392177976E-2</v>
      </c>
      <c r="F12" s="758" t="s">
        <v>585</v>
      </c>
      <c r="G12" s="758" t="s">
        <v>585</v>
      </c>
      <c r="H12" s="758" t="s">
        <v>585</v>
      </c>
      <c r="I12" s="756">
        <v>1.7583568727096852E-2</v>
      </c>
      <c r="J12" s="756">
        <v>1.6121987890988433E-2</v>
      </c>
      <c r="K12" s="756">
        <v>1.8308654388032832E-2</v>
      </c>
      <c r="L12" s="756">
        <v>1.5547306380980295E-2</v>
      </c>
      <c r="M12" s="756">
        <v>1.9565772362269238E-2</v>
      </c>
    </row>
    <row r="13" spans="1:15" ht="13.5" thickBot="1">
      <c r="A13" s="759"/>
      <c r="B13" s="1538"/>
      <c r="C13" s="760" t="s">
        <v>586</v>
      </c>
      <c r="D13" s="761">
        <v>0.11427189550116214</v>
      </c>
      <c r="E13" s="761">
        <v>0.15277522444577518</v>
      </c>
      <c r="F13" s="762" t="s">
        <v>585</v>
      </c>
      <c r="G13" s="762" t="s">
        <v>585</v>
      </c>
      <c r="H13" s="762" t="s">
        <v>585</v>
      </c>
      <c r="I13" s="761">
        <v>0.10832680660533268</v>
      </c>
      <c r="J13" s="761">
        <v>9.5564732187314969E-2</v>
      </c>
      <c r="K13" s="761">
        <v>9.2030796651011285E-2</v>
      </c>
      <c r="L13" s="761">
        <v>7.2794750215272278E-2</v>
      </c>
      <c r="M13" s="761">
        <v>9.0493109515155712E-2</v>
      </c>
    </row>
    <row r="14" spans="1:15" ht="12.75" customHeight="1">
      <c r="B14" s="1539" t="s">
        <v>761</v>
      </c>
      <c r="C14" s="763" t="s">
        <v>587</v>
      </c>
      <c r="D14" s="754">
        <v>0.94328323699421968</v>
      </c>
      <c r="E14" s="754">
        <v>0.96935280331710838</v>
      </c>
      <c r="F14" s="754">
        <v>0.79085988468628654</v>
      </c>
      <c r="G14" s="754">
        <v>0.75785934842924907</v>
      </c>
      <c r="H14" s="754">
        <v>0.75607435597189698</v>
      </c>
      <c r="I14" s="754">
        <v>0.51441262274911592</v>
      </c>
      <c r="J14" s="754">
        <v>0.52057780215761562</v>
      </c>
      <c r="K14" s="754">
        <v>0.5275675635739614</v>
      </c>
      <c r="L14" s="754">
        <v>0.52513721201127406</v>
      </c>
      <c r="M14" s="754">
        <v>0.540555321459538</v>
      </c>
    </row>
    <row r="15" spans="1:15">
      <c r="B15" s="1540"/>
      <c r="C15" s="757" t="s">
        <v>588</v>
      </c>
      <c r="D15" s="756" t="s">
        <v>589</v>
      </c>
      <c r="E15" s="756" t="s">
        <v>589</v>
      </c>
      <c r="F15" s="756">
        <v>0.19224335700261252</v>
      </c>
      <c r="G15" s="756">
        <v>0.2182700967436571</v>
      </c>
      <c r="H15" s="756">
        <v>0.20972122690887063</v>
      </c>
      <c r="I15" s="756">
        <v>0.41483509434438703</v>
      </c>
      <c r="J15" s="756">
        <v>0.41252068091243599</v>
      </c>
      <c r="K15" s="756">
        <v>0.39348652753315028</v>
      </c>
      <c r="L15" s="756">
        <v>0.36607115248102284</v>
      </c>
      <c r="M15" s="756">
        <v>0.2544166312726967</v>
      </c>
    </row>
    <row r="16" spans="1:15">
      <c r="B16" s="1540"/>
      <c r="C16" s="757" t="s">
        <v>584</v>
      </c>
      <c r="D16" s="756">
        <v>7.4420038535645466E-2</v>
      </c>
      <c r="E16" s="756">
        <v>7.0548182662839243E-2</v>
      </c>
      <c r="F16" s="756" t="s">
        <v>585</v>
      </c>
      <c r="G16" s="756" t="s">
        <v>585</v>
      </c>
      <c r="H16" s="756" t="s">
        <v>585</v>
      </c>
      <c r="I16" s="756">
        <v>2.6073814214318092E-2</v>
      </c>
      <c r="J16" s="756">
        <v>2.7568896863141654E-2</v>
      </c>
      <c r="K16" s="756">
        <v>3.6033971333142296E-2</v>
      </c>
      <c r="L16" s="756">
        <v>3.5470702462452534E-2</v>
      </c>
      <c r="M16" s="756">
        <v>4.3675042067342712E-2</v>
      </c>
    </row>
    <row r="17" spans="2:15">
      <c r="B17" s="1540"/>
      <c r="C17" s="757" t="s">
        <v>590</v>
      </c>
      <c r="D17" s="756">
        <v>0.3756146435452794</v>
      </c>
      <c r="E17" s="756">
        <v>0.32128246730734561</v>
      </c>
      <c r="F17" s="756">
        <v>0.34779766496267339</v>
      </c>
      <c r="G17" s="756">
        <v>0.3186308511590441</v>
      </c>
      <c r="H17" s="756">
        <v>0.30481034626965542</v>
      </c>
      <c r="I17" s="756">
        <v>0.35747947410370895</v>
      </c>
      <c r="J17" s="756">
        <v>0.34739074785152679</v>
      </c>
      <c r="K17" s="756">
        <v>0.26351821582856338</v>
      </c>
      <c r="L17" s="756">
        <v>0.27015239951978381</v>
      </c>
      <c r="M17" s="756">
        <v>0.29244703121351284</v>
      </c>
    </row>
    <row r="18" spans="2:15">
      <c r="B18" s="1540"/>
      <c r="C18" s="757" t="s">
        <v>763</v>
      </c>
      <c r="D18" s="756">
        <v>0.62733588734024581</v>
      </c>
      <c r="E18" s="756">
        <v>0.58634756008465361</v>
      </c>
      <c r="F18" s="756">
        <v>0.57267564726725462</v>
      </c>
      <c r="G18" s="756">
        <v>0.57061422982737964</v>
      </c>
      <c r="H18" s="756">
        <v>0.58353436180323159</v>
      </c>
      <c r="I18" s="756">
        <v>0.47146246715586915</v>
      </c>
      <c r="J18" s="756">
        <v>0.41138846795005724</v>
      </c>
      <c r="K18" s="756">
        <v>0.42929658220999334</v>
      </c>
      <c r="L18" s="756">
        <v>0.38180138567631383</v>
      </c>
      <c r="M18" s="756">
        <v>0.37389526204493173</v>
      </c>
    </row>
    <row r="19" spans="2:15" ht="13.5" thickBot="1">
      <c r="B19" s="1541"/>
      <c r="C19" s="760" t="s">
        <v>591</v>
      </c>
      <c r="D19" s="761">
        <v>0.27917533718689785</v>
      </c>
      <c r="E19" s="761">
        <v>0.28954667110426979</v>
      </c>
      <c r="F19" s="761">
        <v>0.26063906284728122</v>
      </c>
      <c r="G19" s="761">
        <v>0.22986776156806588</v>
      </c>
      <c r="H19" s="761">
        <v>0.22361680327868852</v>
      </c>
      <c r="I19" s="761">
        <v>0.25351627243631375</v>
      </c>
      <c r="J19" s="761">
        <v>0.1802849225932015</v>
      </c>
      <c r="K19" s="761">
        <v>0.19495425649236081</v>
      </c>
      <c r="L19" s="761">
        <v>0.22174797512369521</v>
      </c>
      <c r="M19" s="761">
        <v>0.21216527236975175</v>
      </c>
    </row>
    <row r="20" spans="2:15" ht="13.5" thickBot="1">
      <c r="B20" s="744"/>
      <c r="C20" s="744"/>
      <c r="D20" s="764"/>
      <c r="E20" s="764"/>
      <c r="F20" s="764"/>
      <c r="G20" s="764"/>
      <c r="H20" s="764"/>
      <c r="I20" s="764"/>
      <c r="J20" s="764"/>
      <c r="K20" s="764"/>
      <c r="L20" s="764"/>
      <c r="M20" s="764"/>
    </row>
    <row r="21" spans="2:15" ht="13.5" thickBot="1">
      <c r="B21" s="16"/>
      <c r="C21" s="751" t="s">
        <v>592</v>
      </c>
      <c r="D21" s="765">
        <v>7.5579654541892509</v>
      </c>
      <c r="E21" s="765">
        <v>8.3135209604408598</v>
      </c>
      <c r="F21" s="765">
        <v>6.0521724308630498</v>
      </c>
      <c r="G21" s="765">
        <v>6.9111481018413796</v>
      </c>
      <c r="H21" s="765">
        <v>7.7966542771101901</v>
      </c>
      <c r="I21" s="765">
        <v>12.2871375597783</v>
      </c>
      <c r="J21" s="765">
        <v>12.933632371774999</v>
      </c>
      <c r="K21" s="765">
        <v>12.553687757525061</v>
      </c>
      <c r="L21" s="765">
        <v>11.736460250710392</v>
      </c>
      <c r="M21" s="765">
        <v>11.122211739269501</v>
      </c>
    </row>
    <row r="22" spans="2:15" ht="13.5" thickBot="1">
      <c r="B22" s="744"/>
      <c r="C22" s="744"/>
      <c r="D22" s="764"/>
      <c r="E22" s="764"/>
      <c r="F22" s="764"/>
      <c r="G22" s="764"/>
      <c r="H22" s="764"/>
      <c r="I22" s="764"/>
      <c r="J22" s="764"/>
      <c r="K22" s="764"/>
      <c r="L22" s="764"/>
      <c r="M22" s="764"/>
    </row>
    <row r="23" spans="2:15">
      <c r="B23" s="1535" t="s">
        <v>593</v>
      </c>
      <c r="C23" s="766" t="s">
        <v>587</v>
      </c>
      <c r="D23" s="754">
        <v>6.5188340399253057</v>
      </c>
      <c r="E23" s="754">
        <v>7.0635610347615199</v>
      </c>
      <c r="F23" s="754">
        <v>11.548396334478809</v>
      </c>
      <c r="G23" s="754">
        <v>9.5956512500885331</v>
      </c>
      <c r="H23" s="754">
        <v>7.3620075333401198</v>
      </c>
      <c r="I23" s="754">
        <v>2.3676318695017273</v>
      </c>
      <c r="J23" s="754">
        <v>2.2216811811343136</v>
      </c>
      <c r="K23" s="754">
        <v>1.6535459112959112</v>
      </c>
      <c r="L23" s="754">
        <v>1.6525880877851069</v>
      </c>
      <c r="M23" s="754">
        <v>1.657935490973754</v>
      </c>
    </row>
    <row r="24" spans="2:15" ht="13.5" thickBot="1">
      <c r="B24" s="1536"/>
      <c r="C24" s="767" t="s">
        <v>763</v>
      </c>
      <c r="D24" s="761">
        <v>4.3353876931933639</v>
      </c>
      <c r="E24" s="761">
        <v>4.272646413223975</v>
      </c>
      <c r="F24" s="761">
        <v>8.3623982879974221</v>
      </c>
      <c r="G24" s="761">
        <v>7.2248434476790848</v>
      </c>
      <c r="H24" s="761">
        <v>5.6819601585824593</v>
      </c>
      <c r="I24" s="761">
        <v>2.1699497896196709</v>
      </c>
      <c r="J24" s="761">
        <v>1.7556914904788705</v>
      </c>
      <c r="K24" s="761">
        <v>1.3457836330992634</v>
      </c>
      <c r="L24" s="761">
        <v>1.201517684963525</v>
      </c>
      <c r="M24" s="761">
        <v>1.1467615407051481</v>
      </c>
    </row>
    <row r="25" spans="2:15" ht="13.5" thickBot="1">
      <c r="B25" s="744"/>
      <c r="C25" s="768"/>
      <c r="D25" s="769"/>
      <c r="E25" s="769"/>
      <c r="F25" s="769"/>
      <c r="G25" s="769"/>
      <c r="H25" s="769"/>
      <c r="I25" s="769"/>
      <c r="J25" s="769"/>
      <c r="K25" s="769"/>
      <c r="L25" s="769"/>
      <c r="M25" s="769"/>
    </row>
    <row r="26" spans="2:15">
      <c r="B26" s="1535" t="s">
        <v>594</v>
      </c>
      <c r="C26" s="766" t="s">
        <v>587</v>
      </c>
      <c r="D26" s="754">
        <v>3.9131910701060839</v>
      </c>
      <c r="E26" s="754">
        <v>4.485181504498879</v>
      </c>
      <c r="F26" s="754">
        <v>4.1508609320680456</v>
      </c>
      <c r="G26" s="754">
        <v>3.9339738486063935</v>
      </c>
      <c r="H26" s="754">
        <v>3.6281998281370225</v>
      </c>
      <c r="I26" s="754">
        <v>1.4137442430817435</v>
      </c>
      <c r="J26" s="754">
        <v>1.3052991976530279</v>
      </c>
      <c r="K26" s="754">
        <v>1.1547411045370128</v>
      </c>
      <c r="L26" s="754">
        <v>0.9396120205617996</v>
      </c>
      <c r="M26" s="754">
        <v>1.1988462502454251</v>
      </c>
    </row>
    <row r="27" spans="2:15" ht="13.5" thickBot="1">
      <c r="B27" s="1536"/>
      <c r="C27" s="767" t="s">
        <v>764</v>
      </c>
      <c r="D27" s="761">
        <v>2.602490000903058</v>
      </c>
      <c r="E27" s="761">
        <v>2.7130217426517427</v>
      </c>
      <c r="F27" s="761">
        <v>3.0057119055056889</v>
      </c>
      <c r="G27" s="761">
        <v>2.9620027283903778</v>
      </c>
      <c r="H27" s="761">
        <v>2.8002262667472704</v>
      </c>
      <c r="I27" s="761">
        <v>1.2957056636920774</v>
      </c>
      <c r="J27" s="761">
        <v>1.0315169629068868</v>
      </c>
      <c r="K27" s="761">
        <v>0.93964535301768026</v>
      </c>
      <c r="L27" s="761">
        <v>0.68314559145905096</v>
      </c>
      <c r="M27" s="761">
        <v>0.82922675064705831</v>
      </c>
    </row>
    <row r="28" spans="2:15" ht="13.5" thickBot="1">
      <c r="B28" s="744"/>
      <c r="C28" s="770"/>
      <c r="D28" s="764"/>
      <c r="E28" s="764"/>
      <c r="F28" s="764"/>
      <c r="G28" s="764"/>
      <c r="H28" s="764"/>
      <c r="I28" s="764"/>
      <c r="J28" s="764"/>
      <c r="K28" s="764"/>
      <c r="L28" s="764"/>
      <c r="M28" s="764"/>
    </row>
    <row r="29" spans="2:15" ht="12.75" customHeight="1">
      <c r="B29" s="1535" t="s">
        <v>595</v>
      </c>
      <c r="C29" s="766" t="s">
        <v>584</v>
      </c>
      <c r="D29" s="754">
        <v>0.19665014590525423</v>
      </c>
      <c r="E29" s="754">
        <v>0.22409333716017968</v>
      </c>
      <c r="F29" s="754" t="s">
        <v>585</v>
      </c>
      <c r="G29" s="754" t="s">
        <v>585</v>
      </c>
      <c r="H29" s="754" t="s">
        <v>585</v>
      </c>
      <c r="I29" s="754">
        <v>8.5894279811038005E-2</v>
      </c>
      <c r="J29" s="754">
        <v>7.6940849541224335E-2</v>
      </c>
      <c r="K29" s="754">
        <v>8.2202439171777816E-2</v>
      </c>
      <c r="L29" s="754">
        <v>6.635319287019209E-2</v>
      </c>
      <c r="M29" s="754">
        <v>8.0073010739679387E-2</v>
      </c>
    </row>
    <row r="30" spans="2:15" ht="13.5" thickBot="1">
      <c r="B30" s="1536"/>
      <c r="C30" s="767" t="s">
        <v>586</v>
      </c>
      <c r="D30" s="761">
        <v>0.6614031134519458</v>
      </c>
      <c r="E30" s="761">
        <v>0.90412166661026561</v>
      </c>
      <c r="F30" s="761" t="s">
        <v>585</v>
      </c>
      <c r="G30" s="761" t="s">
        <v>585</v>
      </c>
      <c r="H30" s="761" t="s">
        <v>585</v>
      </c>
      <c r="I30" s="761">
        <v>0.52916749620092041</v>
      </c>
      <c r="J30" s="761">
        <v>0.45607475519700319</v>
      </c>
      <c r="K30" s="761">
        <v>0.41320109076830108</v>
      </c>
      <c r="L30" s="761">
        <v>0.31067530172817404</v>
      </c>
      <c r="M30" s="761">
        <v>0.37034345467738283</v>
      </c>
    </row>
    <row r="31" spans="2:15">
      <c r="B31" s="9"/>
      <c r="C31" s="9"/>
      <c r="D31" s="771"/>
      <c r="E31" s="771"/>
      <c r="F31" s="771"/>
      <c r="G31" s="771"/>
      <c r="H31" s="771"/>
      <c r="I31" s="771"/>
      <c r="J31" s="771"/>
      <c r="K31" s="744"/>
      <c r="L31" s="744"/>
      <c r="M31" s="744"/>
      <c r="N31" s="744"/>
      <c r="O31" s="744"/>
    </row>
    <row r="32" spans="2:15">
      <c r="C32" s="744"/>
      <c r="D32" s="745"/>
      <c r="E32" s="745"/>
      <c r="F32" s="745"/>
      <c r="G32" s="745"/>
      <c r="H32" s="745"/>
      <c r="I32" s="745"/>
      <c r="J32" s="745"/>
      <c r="K32" s="744"/>
      <c r="L32" s="744"/>
      <c r="M32" s="744"/>
      <c r="N32" s="744"/>
      <c r="O32" s="744"/>
    </row>
    <row r="33" spans="2:16" ht="13.5" thickBot="1">
      <c r="C33" s="744"/>
      <c r="D33" s="772"/>
      <c r="E33" s="772"/>
      <c r="F33" s="772"/>
      <c r="G33" s="772"/>
      <c r="H33" s="772"/>
      <c r="I33" s="772"/>
      <c r="J33" s="772"/>
      <c r="K33" s="772"/>
      <c r="L33" s="744"/>
      <c r="M33" s="744"/>
    </row>
    <row r="34" spans="2:16" ht="13.5" thickBot="1">
      <c r="B34" s="749"/>
      <c r="C34" s="751" t="s">
        <v>578</v>
      </c>
      <c r="D34" s="773" t="s">
        <v>596</v>
      </c>
      <c r="E34" s="773" t="s">
        <v>597</v>
      </c>
      <c r="F34" s="773" t="s">
        <v>598</v>
      </c>
      <c r="G34" s="773" t="s">
        <v>599</v>
      </c>
      <c r="H34" s="773" t="s">
        <v>600</v>
      </c>
      <c r="I34" s="773" t="s">
        <v>601</v>
      </c>
      <c r="J34" s="773" t="s">
        <v>602</v>
      </c>
      <c r="K34" s="773" t="s">
        <v>605</v>
      </c>
      <c r="L34" s="773" t="s">
        <v>712</v>
      </c>
      <c r="M34" s="773" t="s">
        <v>970</v>
      </c>
    </row>
    <row r="35" spans="2:16">
      <c r="B35" s="1542" t="s">
        <v>681</v>
      </c>
      <c r="C35" s="757" t="s">
        <v>760</v>
      </c>
      <c r="D35" s="756">
        <v>0.39973209090089568</v>
      </c>
      <c r="E35" s="756">
        <v>0.3594611560337293</v>
      </c>
      <c r="F35" s="756">
        <v>0.37423604431624091</v>
      </c>
      <c r="G35" s="756">
        <v>0.40145853073801563</v>
      </c>
      <c r="H35" s="756">
        <v>0.41414131986603875</v>
      </c>
      <c r="I35" s="756">
        <v>0.48639682021472663</v>
      </c>
      <c r="J35" s="756">
        <v>0.51428943306176322</v>
      </c>
      <c r="K35" s="756">
        <v>0.56095948429158005</v>
      </c>
      <c r="L35" s="756">
        <v>0.8526439739085494</v>
      </c>
      <c r="M35" s="1297">
        <v>0.88701096252547962</v>
      </c>
      <c r="O35" s="93"/>
      <c r="P35" s="978"/>
    </row>
    <row r="36" spans="2:16">
      <c r="B36" s="1543"/>
      <c r="C36" s="755" t="s">
        <v>762</v>
      </c>
      <c r="D36" s="756">
        <v>0.43456502048388052</v>
      </c>
      <c r="E36" s="756">
        <v>0.38942093109597975</v>
      </c>
      <c r="F36" s="756">
        <v>0.4044180390974042</v>
      </c>
      <c r="G36" s="756">
        <v>0.43516089281031894</v>
      </c>
      <c r="H36" s="756">
        <v>0.44696850197945293</v>
      </c>
      <c r="I36" s="756">
        <v>0.52562643344295823</v>
      </c>
      <c r="J36" s="756">
        <v>0.53060179510240391</v>
      </c>
      <c r="K36" s="756">
        <v>0.56603278682630054</v>
      </c>
      <c r="L36" s="756">
        <v>0.85990604077867017</v>
      </c>
      <c r="M36" s="1297">
        <v>0.8937478914564565</v>
      </c>
      <c r="O36" s="93"/>
      <c r="P36" s="978"/>
    </row>
    <row r="37" spans="2:16">
      <c r="B37" s="1543"/>
      <c r="C37" s="757" t="s">
        <v>763</v>
      </c>
      <c r="D37" s="756">
        <v>0.14630241912760761</v>
      </c>
      <c r="E37" s="756">
        <v>0.11966677944113743</v>
      </c>
      <c r="F37" s="756">
        <v>0.11217960832716861</v>
      </c>
      <c r="G37" s="756">
        <v>0.11832879789342253</v>
      </c>
      <c r="H37" s="756">
        <v>0.12569567758616204</v>
      </c>
      <c r="I37" s="756">
        <v>0.13886194076329791</v>
      </c>
      <c r="J37" s="756">
        <v>0.177264951507176</v>
      </c>
      <c r="K37" s="756">
        <v>0.22866861046207618</v>
      </c>
      <c r="L37" s="756">
        <v>0.41722891467948409</v>
      </c>
      <c r="M37" s="1297">
        <v>0.43121410489489298</v>
      </c>
      <c r="O37" s="93"/>
      <c r="P37" s="978"/>
    </row>
    <row r="38" spans="2:16">
      <c r="B38" s="1543"/>
      <c r="C38" s="757" t="s">
        <v>584</v>
      </c>
      <c r="D38" s="756">
        <v>1.3267691136204223E-2</v>
      </c>
      <c r="E38" s="756">
        <v>1.6330016699085313E-2</v>
      </c>
      <c r="F38" s="756">
        <v>1.9405410087455281E-2</v>
      </c>
      <c r="G38" s="756">
        <v>1.2543169229379E-2</v>
      </c>
      <c r="H38" s="756">
        <v>1.5539780949565098E-2</v>
      </c>
      <c r="I38" s="756">
        <v>2.0293791063077694E-2</v>
      </c>
      <c r="J38" s="756">
        <v>2.251456096920668E-2</v>
      </c>
      <c r="K38" s="756">
        <v>2.8938882226793458E-2</v>
      </c>
      <c r="L38" s="756">
        <v>3.5182841032331283E-2</v>
      </c>
      <c r="M38" s="1297">
        <v>4.2251440245984685E-2</v>
      </c>
      <c r="O38" s="93"/>
      <c r="P38" s="978"/>
    </row>
    <row r="39" spans="2:16" ht="13.5" thickBot="1">
      <c r="B39" s="1544"/>
      <c r="C39" s="757" t="s">
        <v>586</v>
      </c>
      <c r="D39" s="756">
        <v>8.0739249235689314E-2</v>
      </c>
      <c r="E39" s="756">
        <v>8.0928154813050421E-2</v>
      </c>
      <c r="F39" s="756">
        <v>7.9264036671039401E-2</v>
      </c>
      <c r="G39" s="756">
        <v>7.8893238460193832E-2</v>
      </c>
      <c r="H39" s="756">
        <v>9.9030255791555138E-2</v>
      </c>
      <c r="I39" s="756">
        <v>0.1004721647974143</v>
      </c>
      <c r="J39" s="756">
        <v>0.11026768425744043</v>
      </c>
      <c r="K39" s="756">
        <v>0.15931882963403601</v>
      </c>
      <c r="L39" s="756">
        <v>0.17224937096090337</v>
      </c>
      <c r="M39" s="1297">
        <v>0.19742563776976418</v>
      </c>
      <c r="O39" s="93"/>
      <c r="P39" s="978"/>
    </row>
    <row r="40" spans="2:16" ht="12.75" customHeight="1">
      <c r="B40" s="1539" t="s">
        <v>761</v>
      </c>
      <c r="C40" s="803" t="s">
        <v>587</v>
      </c>
      <c r="D40" s="754">
        <v>0.58772450633933981</v>
      </c>
      <c r="E40" s="754">
        <v>0.60083000303219147</v>
      </c>
      <c r="F40" s="754">
        <v>0.58950070540947841</v>
      </c>
      <c r="G40" s="754">
        <v>0.61922217852343919</v>
      </c>
      <c r="H40" s="754">
        <v>0.64878971865919721</v>
      </c>
      <c r="I40" s="754">
        <v>0.66851769500632441</v>
      </c>
      <c r="J40" s="754">
        <v>0.67386337947480635</v>
      </c>
      <c r="K40" s="754">
        <v>0.68472213942781812</v>
      </c>
      <c r="L40" s="754">
        <v>0.76189278390972004</v>
      </c>
      <c r="M40" s="1298">
        <v>0.77674376685529134</v>
      </c>
      <c r="O40" s="93"/>
      <c r="P40" s="978"/>
    </row>
    <row r="41" spans="2:16">
      <c r="B41" s="1540"/>
      <c r="C41" s="804" t="s">
        <v>588</v>
      </c>
      <c r="D41" s="756">
        <v>0.2315864995524104</v>
      </c>
      <c r="E41" s="756">
        <v>0.20711111946978128</v>
      </c>
      <c r="F41" s="756">
        <v>0.17787603682954853</v>
      </c>
      <c r="G41" s="756">
        <v>0.14028195159698145</v>
      </c>
      <c r="H41" s="756">
        <v>9.6625302596149196E-2</v>
      </c>
      <c r="I41" s="756">
        <v>7.1718114448889772E-2</v>
      </c>
      <c r="J41" s="756">
        <v>7.3148206113804945E-2</v>
      </c>
      <c r="K41" s="756">
        <v>8.085425449361186E-2</v>
      </c>
      <c r="L41" s="756">
        <v>6.6169258364690189E-2</v>
      </c>
      <c r="M41" s="1297">
        <v>7.6264334956420474E-2</v>
      </c>
      <c r="O41" s="93"/>
      <c r="P41" s="978"/>
    </row>
    <row r="42" spans="2:16">
      <c r="B42" s="1540"/>
      <c r="C42" s="804" t="s">
        <v>584</v>
      </c>
      <c r="D42" s="756">
        <v>3.3743422787631455E-2</v>
      </c>
      <c r="E42" s="756">
        <v>4.6196968430351953E-2</v>
      </c>
      <c r="F42" s="756">
        <v>5.2711791017822821E-2</v>
      </c>
      <c r="G42" s="756">
        <v>3.1784524410079791E-2</v>
      </c>
      <c r="H42" s="756">
        <v>3.7522894249218383E-2</v>
      </c>
      <c r="I42" s="756">
        <v>4.1722705041777865E-2</v>
      </c>
      <c r="J42" s="756">
        <v>4.3777996439026218E-2</v>
      </c>
      <c r="K42" s="756">
        <v>5.1588186022631481E-2</v>
      </c>
      <c r="L42" s="756">
        <v>4.1263226046214727E-2</v>
      </c>
      <c r="M42" s="1297">
        <v>4.7633504016328328E-2</v>
      </c>
      <c r="O42" s="93"/>
      <c r="P42" s="978"/>
    </row>
    <row r="43" spans="2:16">
      <c r="B43" s="1540"/>
      <c r="C43" s="804" t="s">
        <v>590</v>
      </c>
      <c r="D43" s="756">
        <v>0.30929623271647155</v>
      </c>
      <c r="E43" s="756">
        <v>0.33728674356096183</v>
      </c>
      <c r="F43" s="756">
        <v>0.30854785764637122</v>
      </c>
      <c r="G43" s="756">
        <v>0.35279480103858374</v>
      </c>
      <c r="H43" s="756">
        <v>0.3843126947301303</v>
      </c>
      <c r="I43" s="756">
        <v>0.36247722194623672</v>
      </c>
      <c r="J43" s="756">
        <v>0.31936627264127382</v>
      </c>
      <c r="K43" s="756">
        <v>0.29723060098326598</v>
      </c>
      <c r="L43" s="756">
        <v>0.31720041899278179</v>
      </c>
      <c r="M43" s="1297">
        <v>0.38101297461951</v>
      </c>
      <c r="O43" s="93"/>
      <c r="P43" s="978"/>
    </row>
    <row r="44" spans="2:16">
      <c r="B44" s="1540"/>
      <c r="C44" s="804" t="s">
        <v>763</v>
      </c>
      <c r="D44" s="756">
        <v>0.37208767771243773</v>
      </c>
      <c r="E44" s="756">
        <v>0.3385325645327581</v>
      </c>
      <c r="F44" s="756">
        <v>0.30471853178849012</v>
      </c>
      <c r="G44" s="756">
        <v>0.29984643404552797</v>
      </c>
      <c r="H44" s="756">
        <v>0.30350914423805991</v>
      </c>
      <c r="I44" s="756">
        <v>0.28549105379018597</v>
      </c>
      <c r="J44" s="756">
        <v>0.34467935779245829</v>
      </c>
      <c r="K44" s="756">
        <v>0.40763837115768764</v>
      </c>
      <c r="L44" s="756">
        <v>0.48933544063754109</v>
      </c>
      <c r="M44" s="1297">
        <v>0.48614292620144062</v>
      </c>
      <c r="O44" s="93"/>
      <c r="P44" s="978"/>
    </row>
    <row r="45" spans="2:16" ht="13.5" thickBot="1">
      <c r="B45" s="1541"/>
      <c r="C45" s="805" t="s">
        <v>591</v>
      </c>
      <c r="D45" s="761">
        <v>0.20616250713902631</v>
      </c>
      <c r="E45" s="761">
        <v>0.20330226098683932</v>
      </c>
      <c r="F45" s="761">
        <v>0.27252797365252546</v>
      </c>
      <c r="G45" s="761">
        <v>0.26793905421867303</v>
      </c>
      <c r="H45" s="761">
        <v>0.31083738729796734</v>
      </c>
      <c r="I45" s="761">
        <v>0.30782541371614724</v>
      </c>
      <c r="J45" s="761">
        <v>0.31136819849796904</v>
      </c>
      <c r="K45" s="761">
        <v>0.30291309988758647</v>
      </c>
      <c r="L45" s="761">
        <v>0.2921886891128973</v>
      </c>
      <c r="M45" s="1299">
        <v>0.30384897362351138</v>
      </c>
      <c r="O45" s="93"/>
      <c r="P45" s="978"/>
    </row>
    <row r="46" spans="2:16" ht="13.5" thickBot="1">
      <c r="B46" s="744"/>
      <c r="C46" s="744"/>
      <c r="D46" s="764"/>
      <c r="E46" s="764"/>
      <c r="F46" s="764"/>
      <c r="G46" s="764"/>
      <c r="H46" s="764"/>
      <c r="I46" s="764"/>
      <c r="J46" s="764"/>
      <c r="K46" s="764"/>
      <c r="L46" s="764"/>
      <c r="M46" s="764"/>
      <c r="O46" s="93"/>
      <c r="P46" s="978"/>
    </row>
    <row r="47" spans="2:16" ht="13.5" thickBot="1">
      <c r="B47" s="16"/>
      <c r="C47" s="751" t="s">
        <v>592</v>
      </c>
      <c r="D47" s="765">
        <v>11.033628289397774</v>
      </c>
      <c r="E47" s="765">
        <v>10.653244780983071</v>
      </c>
      <c r="F47" s="765">
        <v>9.5305938057712876</v>
      </c>
      <c r="G47" s="765">
        <v>8.9694289703193757</v>
      </c>
      <c r="H47" s="765">
        <v>8.0865248407514994</v>
      </c>
      <c r="I47" s="765">
        <v>7.8052243520930293</v>
      </c>
      <c r="J47" s="765">
        <v>7.3619324670716617</v>
      </c>
      <c r="K47" s="765">
        <v>7.6930096532398995</v>
      </c>
      <c r="L47" s="765">
        <v>7.3354601114460909</v>
      </c>
      <c r="M47" s="1300">
        <v>6.9359943377982551</v>
      </c>
      <c r="O47" s="93"/>
      <c r="P47" s="978"/>
    </row>
    <row r="48" spans="2:16" ht="13.5" thickBot="1">
      <c r="B48" s="744"/>
      <c r="C48" s="744"/>
      <c r="D48" s="764"/>
      <c r="E48" s="764"/>
      <c r="F48" s="764"/>
      <c r="G48" s="764"/>
      <c r="H48" s="764"/>
      <c r="I48" s="764"/>
      <c r="J48" s="764"/>
      <c r="K48" s="764"/>
      <c r="L48" s="764"/>
      <c r="M48" s="1301"/>
      <c r="O48" s="93"/>
      <c r="P48" s="978"/>
    </row>
    <row r="49" spans="2:16">
      <c r="B49" s="1535" t="s">
        <v>593</v>
      </c>
      <c r="C49" s="774" t="s">
        <v>587</v>
      </c>
      <c r="D49" s="754">
        <v>1.8506645181073711</v>
      </c>
      <c r="E49" s="754">
        <v>2.3185793990487511</v>
      </c>
      <c r="F49" s="754">
        <v>2.6889447291913564</v>
      </c>
      <c r="G49" s="754">
        <v>4.1022927227429129</v>
      </c>
      <c r="H49" s="754">
        <v>4.5755119592036282</v>
      </c>
      <c r="I49" s="754">
        <v>5.8240829513021559</v>
      </c>
      <c r="J49" s="754">
        <v>4.6401642669364875</v>
      </c>
      <c r="K49" s="754">
        <v>3.9557086736632487</v>
      </c>
      <c r="L49" s="754">
        <v>3.8136016450527266</v>
      </c>
      <c r="M49" s="1298">
        <v>5.5614286988967265</v>
      </c>
      <c r="O49" s="93"/>
      <c r="P49" s="978"/>
    </row>
    <row r="50" spans="2:16" ht="13.5" thickBot="1">
      <c r="B50" s="1536"/>
      <c r="C50" s="775" t="s">
        <v>763</v>
      </c>
      <c r="D50" s="761">
        <v>1.17165347487001</v>
      </c>
      <c r="E50" s="761">
        <v>1.306383879086578</v>
      </c>
      <c r="F50" s="761">
        <v>1.3899411526071686</v>
      </c>
      <c r="G50" s="761">
        <v>1.9864563754135964</v>
      </c>
      <c r="H50" s="761">
        <v>2.1404619698025411</v>
      </c>
      <c r="I50" s="761">
        <v>2.487179608780556</v>
      </c>
      <c r="J50" s="761">
        <v>2.3734318977619657</v>
      </c>
      <c r="K50" s="761">
        <v>2.3549678733243438</v>
      </c>
      <c r="L50" s="761">
        <v>2.4493347106159931</v>
      </c>
      <c r="M50" s="1299">
        <v>3.4807478822627225</v>
      </c>
      <c r="O50" s="93"/>
      <c r="P50" s="978"/>
    </row>
    <row r="51" spans="2:16" ht="13.5" thickBot="1">
      <c r="B51" s="744"/>
      <c r="C51" s="776"/>
      <c r="D51" s="769"/>
      <c r="E51" s="769"/>
      <c r="F51" s="769"/>
      <c r="G51" s="769"/>
      <c r="H51" s="769"/>
      <c r="I51" s="769"/>
      <c r="J51" s="769"/>
      <c r="K51" s="769"/>
      <c r="L51" s="769"/>
      <c r="M51" s="769"/>
      <c r="O51" s="93"/>
      <c r="P51" s="978"/>
    </row>
    <row r="52" spans="2:16">
      <c r="B52" s="1535" t="s">
        <v>594</v>
      </c>
      <c r="C52" s="774" t="s">
        <v>587</v>
      </c>
      <c r="D52" s="754">
        <v>1.1905500072777522</v>
      </c>
      <c r="E52" s="754">
        <v>1.1015151033865811</v>
      </c>
      <c r="F52" s="754">
        <v>1.2340084993169218</v>
      </c>
      <c r="G52" s="754">
        <v>1.4002383381836434</v>
      </c>
      <c r="H52" s="754">
        <v>1.7579842923441797</v>
      </c>
      <c r="I52" s="754">
        <v>2.1261864756284194</v>
      </c>
      <c r="J52" s="754">
        <v>2.5202442801190736</v>
      </c>
      <c r="K52" s="754">
        <v>2.9363223304545145</v>
      </c>
      <c r="L52" s="754">
        <v>3.2673595547553234</v>
      </c>
      <c r="M52" s="1298">
        <v>3.1390660647015207</v>
      </c>
      <c r="O52" s="93"/>
      <c r="P52" s="978"/>
    </row>
    <row r="53" spans="2:16" ht="13.5" thickBot="1">
      <c r="B53" s="1536"/>
      <c r="C53" s="775" t="s">
        <v>763</v>
      </c>
      <c r="D53" s="761">
        <v>0.75373577693343974</v>
      </c>
      <c r="E53" s="761">
        <v>0.62063933382009573</v>
      </c>
      <c r="F53" s="761">
        <v>0.63787075176640573</v>
      </c>
      <c r="G53" s="761">
        <v>0.67803849261240368</v>
      </c>
      <c r="H53" s="761">
        <v>0.82239945055850883</v>
      </c>
      <c r="I53" s="761">
        <v>0.90798975407203941</v>
      </c>
      <c r="J53" s="761">
        <v>1.2890983638680364</v>
      </c>
      <c r="K53" s="761">
        <v>1.7480925225824457</v>
      </c>
      <c r="L53" s="761">
        <v>2.098503701850166</v>
      </c>
      <c r="M53" s="1299">
        <v>1.9646565924975627</v>
      </c>
      <c r="O53" s="93"/>
      <c r="P53" s="978"/>
    </row>
    <row r="54" spans="2:16" ht="13.5" thickBot="1">
      <c r="B54" s="744"/>
      <c r="C54" s="777"/>
      <c r="D54" s="764"/>
      <c r="E54" s="764"/>
      <c r="F54" s="764"/>
      <c r="G54" s="764"/>
      <c r="H54" s="764"/>
      <c r="I54" s="764"/>
      <c r="J54" s="764"/>
      <c r="K54" s="764"/>
      <c r="L54" s="764"/>
      <c r="M54" s="764"/>
      <c r="O54" s="93"/>
      <c r="P54" s="978"/>
    </row>
    <row r="55" spans="2:16" ht="12.75" customHeight="1">
      <c r="B55" s="1535" t="s">
        <v>595</v>
      </c>
      <c r="C55" s="766" t="s">
        <v>584</v>
      </c>
      <c r="D55" s="754">
        <v>5.3786825206429502E-2</v>
      </c>
      <c r="E55" s="754">
        <v>6.587905225584495E-2</v>
      </c>
      <c r="F55" s="754">
        <v>7.5301344753651273E-2</v>
      </c>
      <c r="G55" s="754">
        <v>4.8901738684901254E-2</v>
      </c>
      <c r="H55" s="754">
        <v>6.0835300936916192E-2</v>
      </c>
      <c r="I55" s="754">
        <v>7.8571948856032345E-2</v>
      </c>
      <c r="J55" s="754">
        <v>8.9487749451253665E-2</v>
      </c>
      <c r="K55" s="754">
        <v>0.11946285037561501</v>
      </c>
      <c r="L55" s="754">
        <v>0.15191463470844724</v>
      </c>
      <c r="M55" s="1298">
        <v>0.18209345128781904</v>
      </c>
      <c r="O55" s="93"/>
      <c r="P55" s="978"/>
    </row>
    <row r="56" spans="2:16" ht="13.5" thickBot="1">
      <c r="B56" s="1536"/>
      <c r="C56" s="767" t="s">
        <v>586</v>
      </c>
      <c r="D56" s="761">
        <v>0.32731451473785067</v>
      </c>
      <c r="E56" s="761">
        <v>0.3264828345335794</v>
      </c>
      <c r="F56" s="761">
        <v>0.30757858375744829</v>
      </c>
      <c r="G56" s="761">
        <v>0.30757908632450193</v>
      </c>
      <c r="H56" s="761">
        <v>0.38768470627043494</v>
      </c>
      <c r="I56" s="761">
        <v>0.38900044695345676</v>
      </c>
      <c r="J56" s="761">
        <v>0.43827667414415811</v>
      </c>
      <c r="K56" s="761">
        <v>0.6576854405581456</v>
      </c>
      <c r="L56" s="761">
        <v>0.74374892704767914</v>
      </c>
      <c r="M56" s="1299">
        <v>0.85085657541843474</v>
      </c>
      <c r="O56" s="93"/>
      <c r="P56" s="978"/>
    </row>
    <row r="57" spans="2:16">
      <c r="K57" s="772"/>
      <c r="L57" s="744"/>
    </row>
    <row r="58" spans="2:16">
      <c r="B58" s="5" t="s">
        <v>618</v>
      </c>
      <c r="K58" s="17"/>
      <c r="L58" s="744"/>
      <c r="M58" s="744"/>
      <c r="N58" s="744"/>
    </row>
    <row r="59" spans="2:16" ht="3" customHeight="1">
      <c r="K59" s="17"/>
      <c r="L59" s="744"/>
      <c r="M59" s="744"/>
      <c r="N59" s="744"/>
    </row>
    <row r="60" spans="2:16">
      <c r="B60" s="5" t="s">
        <v>603</v>
      </c>
      <c r="N60" s="744"/>
    </row>
    <row r="61" spans="2:16" ht="12.75" customHeight="1">
      <c r="B61" s="1361" t="s">
        <v>974</v>
      </c>
      <c r="C61" s="1361"/>
      <c r="D61" s="1361"/>
      <c r="E61" s="1361"/>
      <c r="F61" s="1361"/>
      <c r="G61" s="1361"/>
      <c r="H61" s="1361"/>
      <c r="I61" s="1361"/>
      <c r="J61" s="1361"/>
      <c r="K61" s="1361"/>
      <c r="L61" s="1361"/>
      <c r="M61" s="1361"/>
      <c r="N61" s="744"/>
    </row>
    <row r="62" spans="2:16">
      <c r="B62" s="5" t="s">
        <v>604</v>
      </c>
    </row>
    <row r="63" spans="2:16">
      <c r="B63" s="1" t="s">
        <v>765</v>
      </c>
      <c r="H63" s="93"/>
      <c r="I63" s="93"/>
      <c r="J63" s="93"/>
      <c r="K63" s="93"/>
      <c r="L63" s="93"/>
      <c r="M63" s="93"/>
      <c r="N63" s="93"/>
    </row>
    <row r="64" spans="2:16">
      <c r="H64" s="93"/>
      <c r="I64" s="93"/>
      <c r="J64" s="93"/>
      <c r="K64" s="93"/>
      <c r="L64" s="93"/>
      <c r="M64" s="93"/>
      <c r="N64" s="93"/>
    </row>
    <row r="65" spans="9:14">
      <c r="I65" s="93"/>
      <c r="J65" s="93"/>
      <c r="K65" s="93"/>
      <c r="L65" s="93"/>
      <c r="M65" s="93"/>
      <c r="N65" s="93"/>
    </row>
    <row r="66" spans="9:14">
      <c r="I66" s="93"/>
      <c r="J66" s="93"/>
      <c r="K66" s="93"/>
      <c r="L66" s="93"/>
      <c r="M66" s="93"/>
      <c r="N66" s="93"/>
    </row>
  </sheetData>
  <mergeCells count="12">
    <mergeCell ref="B61:M61"/>
    <mergeCell ref="B29:B30"/>
    <mergeCell ref="B6:N6"/>
    <mergeCell ref="B9:B13"/>
    <mergeCell ref="B14:B19"/>
    <mergeCell ref="B23:B24"/>
    <mergeCell ref="B26:B27"/>
    <mergeCell ref="B35:B39"/>
    <mergeCell ref="B40:B45"/>
    <mergeCell ref="B49:B50"/>
    <mergeCell ref="B52:B53"/>
    <mergeCell ref="B55:B56"/>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31</vt:i4>
      </vt:variant>
    </vt:vector>
  </HeadingPairs>
  <TitlesOfParts>
    <vt:vector size="62"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dc:creator>
  <cp:lastModifiedBy>Grinderz</cp:lastModifiedBy>
  <cp:lastPrinted>2019-07-22T20:45:59Z</cp:lastPrinted>
  <dcterms:created xsi:type="dcterms:W3CDTF">1999-01-19T22:36:21Z</dcterms:created>
  <dcterms:modified xsi:type="dcterms:W3CDTF">2020-03-30T21:04:06Z</dcterms:modified>
</cp:coreProperties>
</file>