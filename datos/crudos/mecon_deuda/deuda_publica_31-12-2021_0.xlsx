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V:\HP x795w\Escritorio\"/>
    </mc:Choice>
  </mc:AlternateContent>
  <bookViews>
    <workbookView xWindow="-108" yWindow="-108" windowWidth="19416" windowHeight="11016" tabRatio="930"/>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8" r:id="rId14"/>
    <sheet name="A.2.4" sheetId="161" r:id="rId15"/>
    <sheet name="A.2.5" sheetId="179" r:id="rId16"/>
    <sheet name="A.3.1" sheetId="152" r:id="rId17"/>
    <sheet name="A.3.2" sheetId="167" r:id="rId18"/>
    <sheet name="A.3.3" sheetId="168" r:id="rId19"/>
    <sheet name="A.3.4" sheetId="169" r:id="rId20"/>
    <sheet name="A.3.5" sheetId="170" r:id="rId21"/>
    <sheet name="A.3.6" sheetId="171" r:id="rId22"/>
    <sheet name="A.3.7" sheetId="172" r:id="rId23"/>
    <sheet name="A.3.8" sheetId="173"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5">#REF!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xlnm._FilterDatabase" localSheetId="18"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5">#REF!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15" hidden="1">{TRUE,TRUE,-1.25,-15.5,484.5,276.75,FALSE,FALSE,TRUE,TRUE,0,15,#N/A,56,#N/A,4.88636363636364,15.35,1,FALSE,FALSE,3,TRUE,1,FALSE,100,"Swvu.PLA2.","ACwvu.PLA2.",#N/A,FALSE,FALSE,0,0,0,0,2,"","",TRUE,TRUE,FALSE,FALSE,1,60,#N/A,#N/A,FALSE,FALSE,"Rwvu.PLA2.",#N/A,FALSE,FALSE,FALSE,9,65532,65532,FALSE,FALSE,TRUE,TRUE,TRUE}</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A.1.1!$B$2:$D$100</definedName>
    <definedName name="_xlnm.Print_Area" localSheetId="10">A.1.10!$B$2:$G$182</definedName>
    <definedName name="_xlnm.Print_Area" localSheetId="2">A.1.2!$B$2:$C$58</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A.1.7!$B$2:$H$55</definedName>
    <definedName name="_xlnm.Print_Area" localSheetId="8">A.1.8!$B$2:$H$70</definedName>
    <definedName name="_xlnm.Print_Area" localSheetId="9">A.1.9!$B$2:$H$93</definedName>
    <definedName name="_xlnm.Print_Area" localSheetId="11">A.2.1!$B$2:$B$91</definedName>
    <definedName name="_xlnm.Print_Area" localSheetId="12">A.2.2!$B$2:$D$93</definedName>
    <definedName name="_xlnm.Print_Area" localSheetId="13">A.2.3!$B$2:$D$74</definedName>
    <definedName name="_xlnm.Print_Area" localSheetId="14">A.2.4!$B$2:$F$93</definedName>
    <definedName name="_xlnm.Print_Area" localSheetId="15">A.2.5!$B$2:$AE$55</definedName>
    <definedName name="_xlnm.Print_Area" localSheetId="16">A.3.1!$B$2:$B$65</definedName>
    <definedName name="_xlnm.Print_Area" localSheetId="17">A.3.2!$B$2:$O$82</definedName>
    <definedName name="_xlnm.Print_Area" localSheetId="18">A.3.3!$B$2:$O$131</definedName>
    <definedName name="_xlnm.Print_Area" localSheetId="19">A.3.4!#REF!</definedName>
    <definedName name="_xlnm.Print_Area" localSheetId="20">A.3.5!$B$2:$O$125</definedName>
    <definedName name="_xlnm.Print_Area" localSheetId="21">A.3.6!$B$2:$N$79</definedName>
    <definedName name="_xlnm.Print_Area" localSheetId="22">A.3.7!$B$2:$AH$140</definedName>
    <definedName name="_xlnm.Print_Area" localSheetId="23">A.3.8!$B$2:$AH$132</definedName>
    <definedName name="_xlnm.Print_Area" localSheetId="24">A.4.1!$B$2:$F$28</definedName>
    <definedName name="_xlnm.Print_Area" localSheetId="25">A.4.2!$B$2:$C$60</definedName>
    <definedName name="_xlnm.Print_Area" localSheetId="26">A.4.3!$B$2:$C$44</definedName>
    <definedName name="_xlnm.Print_Area" localSheetId="27">A.4.4!#REF!</definedName>
    <definedName name="_xlnm.Print_Area" localSheetId="28">A.4.5!$B$2:$F$114</definedName>
    <definedName name="_xlnm.Print_Area" localSheetId="29">A.4.6!#REF!</definedName>
    <definedName name="_xlnm.Print_Area" localSheetId="30">A.4.7!$B$2:$N$38</definedName>
    <definedName name="_xlnm.Print_Area" localSheetId="0">INDICE!$B$5:$C$47</definedName>
    <definedName name="_xlnm.Print_Area">'[1]Fto. a partir del impuesto'!$D$7:$D$50</definedName>
    <definedName name="_xlnm.Database" localSheetId="13">#REF!</definedName>
    <definedName name="_xlnm.Database" localSheetId="15">#REF!</definedName>
    <definedName name="_xlnm.Database" localSheetId="18">#REF!</definedName>
    <definedName name="_xlnm.Database" localSheetId="30">#REF!</definedName>
    <definedName name="_xlnm.Database">#REF!</definedName>
    <definedName name="cacho" localSheetId="15">[4]GRAFPROM!#REF!</definedName>
    <definedName name="cacho" localSheetId="18">[4]GRAFPROM!#REF!</definedName>
    <definedName name="cacho" localSheetId="30">[4]GRAFPROM!#REF!</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15"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5">#REF!</definedName>
    <definedName name="CUADRO_N__4.1.3" localSheetId="18">#REF!</definedName>
    <definedName name="CUADRO_N__4.1.3" localSheetId="30">#REF!</definedName>
    <definedName name="CVAL">[7]Resumen!$A$2:$AU$262</definedName>
    <definedName name="d" localSheetId="15" hidden="1">#REF!</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5">#REF!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5">#REF!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5">#REF!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5">#REF!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5">#REF!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15" hidden="1">{FALSE,FALSE,-1.25,-15.5,484.5,276.75,FALSE,FALSE,TRUE,TRUE,0,12,#N/A,46,#N/A,2.93460490463215,15.35,1,FALSE,FALSE,3,TRUE,1,FALSE,100,"Swvu.PLA1.","ACwvu.PLA1.",#N/A,FALSE,FALSE,0,0,0,0,2,"","",TRUE,TRUE,FALSE,FALSE,1,60,#N/A,#N/A,FALSE,FALSE,FALSE,FALSE,FALSE,FALSE,FALSE,9,65532,65532,FALSE,FALSE,TRUE,TRUE,TRUE}</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5">#REF!</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15" hidden="1">{FALSE,FALSE,-1.25,-15.5,484.5,276.75,FALSE,FALSE,TRUE,TRUE,0,12,#N/A,46,#N/A,2.93460490463215,15.35,1,FALSE,FALSE,3,TRUE,1,FALSE,100,"Swvu.PLA1.","ACwvu.PLA1.",#N/A,FALSE,FALSE,0,0,0,0,2,"","",TRUE,TRUE,FALSE,FALSE,1,60,#N/A,#N/A,FALSE,FALSE,FALSE,FALSE,FALSE,FALSE,FALSE,9,65532,65532,FALSE,FALSE,TRUE,TRUE,TRUE}</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15" hidden="1">{FALSE,FALSE,-1.25,-15.5,484.5,276.75,FALSE,FALSE,TRUE,TRUE,0,12,#N/A,46,#N/A,2.93460490463215,15.35,1,FALSE,FALSE,3,TRUE,1,FALSE,100,"Swvu.PLA1.","ACwvu.PLA1.",#N/A,FALSE,FALSE,0,0,0,0,2,"","",TRUE,TRUE,FALSE,FALSE,1,60,#N/A,#N/A,FALSE,FALSE,FALSE,FALSE,FALSE,FALSE,FALSE,9,65532,65532,FALSE,FALSE,TRUE,TRUE,TRUE}</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15" hidden="1">{FALSE,FALSE,-1.25,-15.5,484.5,276.75,FALSE,FALSE,TRUE,TRUE,0,12,#N/A,46,#N/A,2.93460490463215,15.35,1,FALSE,FALSE,3,TRUE,1,FALSE,100,"Swvu.PLA1.","ACwvu.PLA1.",#N/A,FALSE,FALSE,0,0,0,0,2,"","",TRUE,TRUE,FALSE,FALSE,1,60,#N/A,#N/A,FALSE,FALSE,FALSE,FALSE,FALSE,FALSE,FALSE,9,65532,65532,FALSE,FALSE,TRUE,TRUE,TRUE}</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5">#REF!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5">#REF!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5">#REF!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5">#REF!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5">#REF!</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15" hidden="1">{"3",#N/A,FALSE,"BASE MONETARIA";"4",#N/A,FALSE,"BASE MONETARIA"}</definedName>
    <definedName name="wrn.BMA." localSheetId="30" hidden="1">{"3",#N/A,FALSE,"BASE MONETARIA";"4",#N/A,FALSE,"BASE MONETARIA"}</definedName>
    <definedName name="wrn.PASMON." localSheetId="15" hidden="1">{"1",#N/A,FALSE,"Pasivos Mon";"2",#N/A,FALSE,"Pasivos Mon"}</definedName>
    <definedName name="wrn.PASMON." localSheetId="30" hidden="1">{"1",#N/A,FALSE,"Pasivos Mon";"2",#N/A,FALSE,"Pasivos Mon"}</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5">#REF!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62" i="174" l="1"/>
  <c r="G62" i="174"/>
  <c r="F62" i="174"/>
  <c r="H56" i="174"/>
  <c r="G56" i="174"/>
  <c r="F56" i="174"/>
  <c r="E8" i="129" l="1"/>
  <c r="F8" i="129" s="1"/>
  <c r="G8" i="129" s="1"/>
  <c r="H8" i="129" s="1"/>
  <c r="C110" i="128" l="1"/>
  <c r="F110" i="128" s="1"/>
  <c r="C20" i="159" l="1"/>
  <c r="F60" i="177" l="1"/>
  <c r="E60" i="177"/>
  <c r="D60" i="177"/>
  <c r="G176" i="177"/>
  <c r="G175" i="177"/>
  <c r="G174" i="177"/>
  <c r="G173" i="177"/>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8"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81" i="177"/>
  <c r="G80" i="177"/>
  <c r="G79" i="177"/>
  <c r="G78" i="177"/>
  <c r="G77" i="177"/>
  <c r="G76" i="177"/>
  <c r="G75" i="177"/>
  <c r="G74" i="177"/>
  <c r="G73" i="177"/>
  <c r="G72" i="177"/>
  <c r="G71" i="177"/>
  <c r="G70" i="177"/>
  <c r="G69" i="177"/>
  <c r="G68" i="177"/>
  <c r="G67" i="177"/>
  <c r="G66" i="177"/>
  <c r="G65" i="177"/>
  <c r="G64" i="177"/>
  <c r="G63" i="177"/>
  <c r="G62" i="177"/>
  <c r="F33" i="177"/>
  <c r="E33" i="177"/>
  <c r="D33"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31" i="177"/>
  <c r="G30" i="177"/>
  <c r="G29" i="177"/>
  <c r="G28" i="177"/>
  <c r="G27" i="177"/>
  <c r="G26" i="177"/>
  <c r="G25" i="177"/>
  <c r="G24" i="177"/>
  <c r="G23" i="177"/>
  <c r="G22" i="177"/>
  <c r="G21" i="177"/>
  <c r="G20" i="177"/>
  <c r="G19" i="177"/>
  <c r="F17" i="177"/>
  <c r="E17" i="177"/>
  <c r="E178" i="177" s="1"/>
  <c r="D17" i="177"/>
  <c r="G60" i="177" l="1"/>
  <c r="D178" i="177"/>
  <c r="G33" i="177"/>
  <c r="G17" i="177"/>
  <c r="G178" i="177" s="1"/>
  <c r="F178" i="177"/>
  <c r="F114" i="168"/>
  <c r="C114" i="168"/>
  <c r="AF40" i="179" l="1"/>
  <c r="AF24" i="179"/>
  <c r="AF20" i="179" l="1"/>
  <c r="AF17" i="179" s="1"/>
  <c r="AF14" i="179" s="1"/>
  <c r="C113" i="173" l="1"/>
  <c r="AH32" i="173" l="1"/>
  <c r="AH30" i="173"/>
  <c r="AG31" i="173"/>
  <c r="AF31" i="173"/>
  <c r="AE31" i="173"/>
  <c r="AD31" i="173"/>
  <c r="AC31" i="173"/>
  <c r="AB31" i="173"/>
  <c r="AA31" i="173"/>
  <c r="Z31" i="173"/>
  <c r="Y31" i="173"/>
  <c r="X31" i="173"/>
  <c r="W31" i="173"/>
  <c r="V31" i="173"/>
  <c r="U31" i="173"/>
  <c r="T31" i="173"/>
  <c r="S31" i="173"/>
  <c r="R31" i="173"/>
  <c r="Q31" i="173"/>
  <c r="P31" i="173"/>
  <c r="O31" i="173"/>
  <c r="N31" i="173"/>
  <c r="M31" i="173"/>
  <c r="L31" i="173"/>
  <c r="K31" i="173"/>
  <c r="J31" i="173"/>
  <c r="I31" i="173"/>
  <c r="H31" i="173"/>
  <c r="G31" i="173"/>
  <c r="F31" i="173"/>
  <c r="E31" i="173"/>
  <c r="D31" i="173"/>
  <c r="C31" i="173"/>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E9" i="173" s="1"/>
  <c r="AF9" i="173" s="1"/>
  <c r="AG34" i="172"/>
  <c r="AF34" i="172"/>
  <c r="AE34" i="172"/>
  <c r="AD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H35" i="172"/>
  <c r="AH33" i="172"/>
  <c r="AH31" i="173" l="1"/>
  <c r="AH34" i="172"/>
  <c r="D126" i="168" l="1"/>
  <c r="E126" i="168"/>
  <c r="F126" i="168"/>
  <c r="G126" i="168"/>
  <c r="H126" i="168"/>
  <c r="I126" i="168"/>
  <c r="J126" i="168"/>
  <c r="K126" i="168"/>
  <c r="L126" i="168"/>
  <c r="M126" i="168"/>
  <c r="N126" i="168"/>
  <c r="D122" i="168"/>
  <c r="E122" i="168"/>
  <c r="F122" i="168"/>
  <c r="G122" i="168"/>
  <c r="H122" i="168"/>
  <c r="I122" i="168"/>
  <c r="J122" i="168"/>
  <c r="K122" i="168"/>
  <c r="L122" i="168"/>
  <c r="M122" i="168"/>
  <c r="N122" i="168"/>
  <c r="D120" i="168"/>
  <c r="E120" i="168"/>
  <c r="F120" i="168"/>
  <c r="G120" i="168"/>
  <c r="H120" i="168"/>
  <c r="I120" i="168"/>
  <c r="J120" i="168"/>
  <c r="K120" i="168"/>
  <c r="L120" i="168"/>
  <c r="M120" i="168"/>
  <c r="N120" i="168"/>
  <c r="D118" i="168"/>
  <c r="E118" i="168"/>
  <c r="F118" i="168"/>
  <c r="G118" i="168"/>
  <c r="H118" i="168"/>
  <c r="I118" i="168"/>
  <c r="J118" i="168"/>
  <c r="K118" i="168"/>
  <c r="L118" i="168"/>
  <c r="M118" i="168"/>
  <c r="N118" i="168"/>
  <c r="C118" i="168"/>
  <c r="D113" i="168"/>
  <c r="E113" i="168"/>
  <c r="F113" i="168"/>
  <c r="G113" i="168"/>
  <c r="H113" i="168"/>
  <c r="I113" i="168"/>
  <c r="J113" i="168"/>
  <c r="K113" i="168"/>
  <c r="L113" i="168"/>
  <c r="M113" i="168"/>
  <c r="N113" i="168"/>
  <c r="D64" i="168"/>
  <c r="E64" i="168"/>
  <c r="F64" i="168"/>
  <c r="G64" i="168"/>
  <c r="H64" i="168"/>
  <c r="I64" i="168"/>
  <c r="J64" i="168"/>
  <c r="K64" i="168"/>
  <c r="L64" i="168"/>
  <c r="M64" i="168"/>
  <c r="N64" i="168"/>
  <c r="D61" i="168"/>
  <c r="E61" i="168"/>
  <c r="F61" i="168"/>
  <c r="G61" i="168"/>
  <c r="H61" i="168"/>
  <c r="I61" i="168"/>
  <c r="J61" i="168"/>
  <c r="K61" i="168"/>
  <c r="L61" i="168"/>
  <c r="M61" i="168"/>
  <c r="N61" i="168"/>
  <c r="D58" i="168"/>
  <c r="E58" i="168"/>
  <c r="F58" i="168"/>
  <c r="G58" i="168"/>
  <c r="H58" i="168"/>
  <c r="I58" i="168"/>
  <c r="J58" i="168"/>
  <c r="K58" i="168"/>
  <c r="L58" i="168"/>
  <c r="M58" i="168"/>
  <c r="N58" i="168"/>
  <c r="D54" i="168"/>
  <c r="E54" i="168"/>
  <c r="F54" i="168"/>
  <c r="G54" i="168"/>
  <c r="H54" i="168"/>
  <c r="I54" i="168"/>
  <c r="J54" i="168"/>
  <c r="K54" i="168"/>
  <c r="L54" i="168"/>
  <c r="M54" i="168"/>
  <c r="N54" i="168"/>
  <c r="D50" i="168"/>
  <c r="E50" i="168"/>
  <c r="F50" i="168"/>
  <c r="G50" i="168"/>
  <c r="H50" i="168"/>
  <c r="I50" i="168"/>
  <c r="J50" i="168"/>
  <c r="K50" i="168"/>
  <c r="L50" i="168"/>
  <c r="M50" i="168"/>
  <c r="N50" i="168"/>
  <c r="D48" i="168"/>
  <c r="E48" i="168"/>
  <c r="F48" i="168"/>
  <c r="G48" i="168"/>
  <c r="H48" i="168"/>
  <c r="I48" i="168"/>
  <c r="J48" i="168"/>
  <c r="K48" i="168"/>
  <c r="L48" i="168"/>
  <c r="M48" i="168"/>
  <c r="N48" i="168"/>
  <c r="D45" i="168"/>
  <c r="E45" i="168"/>
  <c r="F45" i="168"/>
  <c r="G45" i="168"/>
  <c r="H45" i="168"/>
  <c r="I45" i="168"/>
  <c r="J45" i="168"/>
  <c r="K45" i="168"/>
  <c r="L45" i="168"/>
  <c r="M45" i="168"/>
  <c r="N45" i="168"/>
  <c r="D42" i="168"/>
  <c r="E42" i="168"/>
  <c r="F42" i="168"/>
  <c r="G42" i="168"/>
  <c r="H42" i="168"/>
  <c r="I42" i="168"/>
  <c r="J42" i="168"/>
  <c r="K42" i="168"/>
  <c r="L42" i="168"/>
  <c r="M42" i="168"/>
  <c r="N42" i="168"/>
  <c r="D38" i="168"/>
  <c r="E38" i="168"/>
  <c r="F38" i="168"/>
  <c r="G38" i="168"/>
  <c r="H38" i="168"/>
  <c r="I38" i="168"/>
  <c r="J38" i="168"/>
  <c r="K38" i="168"/>
  <c r="L38" i="168"/>
  <c r="M38" i="168"/>
  <c r="N38" i="168"/>
  <c r="D32" i="168"/>
  <c r="E32" i="168"/>
  <c r="F32" i="168"/>
  <c r="G32" i="168"/>
  <c r="H32" i="168"/>
  <c r="I32" i="168"/>
  <c r="J32" i="168"/>
  <c r="K32" i="168"/>
  <c r="L32" i="168"/>
  <c r="M32" i="168"/>
  <c r="N32" i="168"/>
  <c r="O31" i="168"/>
  <c r="N30" i="168"/>
  <c r="N29" i="168" s="1"/>
  <c r="M30" i="168"/>
  <c r="M29" i="168" s="1"/>
  <c r="L30" i="168"/>
  <c r="L29" i="168" s="1"/>
  <c r="K30" i="168"/>
  <c r="K29" i="168" s="1"/>
  <c r="J30" i="168"/>
  <c r="J29" i="168" s="1"/>
  <c r="I30" i="168"/>
  <c r="I29" i="168" s="1"/>
  <c r="H30" i="168"/>
  <c r="H29" i="168" s="1"/>
  <c r="G30" i="168"/>
  <c r="G29" i="168" s="1"/>
  <c r="F30" i="168"/>
  <c r="F29" i="168" s="1"/>
  <c r="E30" i="168"/>
  <c r="D30" i="168"/>
  <c r="D29" i="168" s="1"/>
  <c r="C30" i="168"/>
  <c r="C29" i="168" s="1"/>
  <c r="N26" i="168"/>
  <c r="N25" i="168" s="1"/>
  <c r="M26" i="168"/>
  <c r="L26" i="168"/>
  <c r="L25" i="168" s="1"/>
  <c r="K26" i="168"/>
  <c r="K25" i="168" s="1"/>
  <c r="J26" i="168"/>
  <c r="J25" i="168" s="1"/>
  <c r="I26" i="168"/>
  <c r="I25" i="168" s="1"/>
  <c r="H26" i="168"/>
  <c r="H25" i="168" s="1"/>
  <c r="G26" i="168"/>
  <c r="G25" i="168" s="1"/>
  <c r="F26" i="168"/>
  <c r="F25" i="168" s="1"/>
  <c r="E26" i="168"/>
  <c r="E25" i="168" s="1"/>
  <c r="D26" i="168"/>
  <c r="D25" i="168" s="1"/>
  <c r="D23" i="168"/>
  <c r="E23" i="168"/>
  <c r="F23" i="168"/>
  <c r="G23" i="168"/>
  <c r="H23" i="168"/>
  <c r="I23" i="168"/>
  <c r="J23" i="168"/>
  <c r="K23" i="168"/>
  <c r="L23" i="168"/>
  <c r="M23" i="168"/>
  <c r="N23" i="168"/>
  <c r="N18" i="168"/>
  <c r="M18" i="168"/>
  <c r="L18" i="168"/>
  <c r="K18" i="168"/>
  <c r="J18" i="168"/>
  <c r="I18" i="168"/>
  <c r="H18" i="168"/>
  <c r="G18" i="168"/>
  <c r="F18" i="168"/>
  <c r="E18" i="168"/>
  <c r="D18" i="168"/>
  <c r="N13" i="168"/>
  <c r="M13" i="168"/>
  <c r="L13" i="168"/>
  <c r="K13" i="168"/>
  <c r="J13" i="168"/>
  <c r="I13" i="168"/>
  <c r="H13" i="168"/>
  <c r="G13" i="168"/>
  <c r="F13" i="168"/>
  <c r="E13" i="168"/>
  <c r="D13" i="168"/>
  <c r="O129" i="168"/>
  <c r="O128" i="168"/>
  <c r="O127" i="168"/>
  <c r="O124" i="168"/>
  <c r="O123" i="168"/>
  <c r="O121" i="168"/>
  <c r="O119" i="168"/>
  <c r="O115" i="168"/>
  <c r="O114" i="168"/>
  <c r="O112" i="168"/>
  <c r="O111" i="168"/>
  <c r="O110" i="168"/>
  <c r="O109" i="168"/>
  <c r="O108" i="168"/>
  <c r="O107" i="168"/>
  <c r="O106" i="168"/>
  <c r="O105" i="168"/>
  <c r="O104" i="168"/>
  <c r="O103" i="168"/>
  <c r="O102" i="168"/>
  <c r="O101" i="168"/>
  <c r="O100" i="168"/>
  <c r="O99" i="168"/>
  <c r="O98" i="168"/>
  <c r="O97" i="168"/>
  <c r="O96" i="168"/>
  <c r="O95" i="168"/>
  <c r="O94" i="168"/>
  <c r="O93" i="168"/>
  <c r="O92" i="168"/>
  <c r="O91" i="168"/>
  <c r="O90" i="168"/>
  <c r="O89" i="168"/>
  <c r="O88" i="168"/>
  <c r="O87" i="168"/>
  <c r="O86" i="168"/>
  <c r="O85" i="168"/>
  <c r="O84" i="168"/>
  <c r="O83" i="168"/>
  <c r="O82" i="168"/>
  <c r="O81" i="168"/>
  <c r="O80" i="168"/>
  <c r="O79" i="168"/>
  <c r="O78" i="168"/>
  <c r="O77" i="168"/>
  <c r="O76" i="168"/>
  <c r="O75" i="168"/>
  <c r="O74" i="168"/>
  <c r="O73" i="168"/>
  <c r="O72" i="168"/>
  <c r="O71" i="168"/>
  <c r="O70" i="168"/>
  <c r="O69" i="168"/>
  <c r="O68" i="168"/>
  <c r="O67" i="168"/>
  <c r="O66" i="168"/>
  <c r="O65" i="168"/>
  <c r="O63" i="168"/>
  <c r="O62" i="168"/>
  <c r="O60" i="168"/>
  <c r="O59" i="168"/>
  <c r="O56" i="168"/>
  <c r="O55" i="168"/>
  <c r="O52" i="168"/>
  <c r="O51" i="168"/>
  <c r="O49" i="168"/>
  <c r="O47" i="168"/>
  <c r="O46" i="168"/>
  <c r="O44" i="168"/>
  <c r="O43" i="168"/>
  <c r="O40" i="168"/>
  <c r="O39" i="168"/>
  <c r="O34" i="168"/>
  <c r="O33" i="168"/>
  <c r="O28" i="168"/>
  <c r="O27" i="168"/>
  <c r="O24" i="168"/>
  <c r="O22" i="168"/>
  <c r="O21" i="168"/>
  <c r="O20" i="168"/>
  <c r="O19" i="168"/>
  <c r="O15" i="168"/>
  <c r="O14" i="168"/>
  <c r="F41" i="168" l="1"/>
  <c r="F37" i="168" s="1"/>
  <c r="M57" i="168"/>
  <c r="M53" i="168" s="1"/>
  <c r="I57" i="168"/>
  <c r="E57" i="168"/>
  <c r="H117" i="168"/>
  <c r="H116" i="168" s="1"/>
  <c r="M41" i="168"/>
  <c r="I41" i="168"/>
  <c r="E41" i="168"/>
  <c r="H57" i="168"/>
  <c r="H53" i="168" s="1"/>
  <c r="D57" i="168"/>
  <c r="D53" i="168" s="1"/>
  <c r="H17" i="168"/>
  <c r="K41" i="168"/>
  <c r="G41" i="168"/>
  <c r="G37" i="168" s="1"/>
  <c r="K57" i="168"/>
  <c r="K53" i="168" s="1"/>
  <c r="G57" i="168"/>
  <c r="G53" i="168" s="1"/>
  <c r="L117" i="168"/>
  <c r="D117" i="168"/>
  <c r="I17" i="168"/>
  <c r="H41" i="168"/>
  <c r="H37" i="168" s="1"/>
  <c r="D41" i="168"/>
  <c r="D37" i="168" s="1"/>
  <c r="N117" i="168"/>
  <c r="J117" i="168"/>
  <c r="J116" i="168" s="1"/>
  <c r="F117" i="168"/>
  <c r="F116" i="168" s="1"/>
  <c r="D116" i="168"/>
  <c r="M117" i="168"/>
  <c r="M116" i="168" s="1"/>
  <c r="I117" i="168"/>
  <c r="I116" i="168" s="1"/>
  <c r="E117" i="168"/>
  <c r="E116" i="168" s="1"/>
  <c r="O118" i="168"/>
  <c r="K117" i="168"/>
  <c r="G117" i="168"/>
  <c r="I53" i="168"/>
  <c r="E53" i="168"/>
  <c r="J57" i="168"/>
  <c r="F57" i="168"/>
  <c r="J41" i="168"/>
  <c r="J37" i="168" s="1"/>
  <c r="K37" i="168"/>
  <c r="M37" i="168"/>
  <c r="I37" i="168"/>
  <c r="E37" i="168"/>
  <c r="E29" i="168"/>
  <c r="O29" i="168" s="1"/>
  <c r="D17" i="168"/>
  <c r="O30" i="168"/>
  <c r="J17" i="168"/>
  <c r="F17" i="168"/>
  <c r="K17" i="168"/>
  <c r="G17" i="168"/>
  <c r="M25" i="168"/>
  <c r="M17" i="168" s="1"/>
  <c r="G116" i="168" l="1"/>
  <c r="K116" i="168"/>
  <c r="F53" i="168"/>
  <c r="F36" i="168" s="1"/>
  <c r="J53" i="168"/>
  <c r="E36" i="168"/>
  <c r="D36" i="168"/>
  <c r="I36" i="168"/>
  <c r="H36" i="168"/>
  <c r="M36" i="168"/>
  <c r="G36" i="168"/>
  <c r="E17" i="168"/>
  <c r="K36" i="168" l="1"/>
  <c r="J36" i="168"/>
  <c r="O43" i="169" l="1"/>
  <c r="O44" i="169"/>
  <c r="O45" i="169"/>
  <c r="O46" i="169"/>
  <c r="O47" i="169"/>
  <c r="O48" i="169"/>
  <c r="O49" i="169"/>
  <c r="O50" i="169"/>
  <c r="O51" i="169"/>
  <c r="O52" i="169"/>
  <c r="O53" i="169"/>
  <c r="O60" i="167" l="1"/>
  <c r="O61" i="167"/>
  <c r="O59" i="167"/>
  <c r="O58" i="167"/>
  <c r="O57" i="167"/>
  <c r="O56" i="167"/>
  <c r="O55" i="167"/>
  <c r="O54" i="167"/>
  <c r="O53" i="167"/>
  <c r="O52" i="167"/>
  <c r="O51" i="167"/>
  <c r="O50" i="167"/>
  <c r="O49" i="167"/>
  <c r="O48" i="167"/>
  <c r="O47" i="167"/>
  <c r="O46" i="167"/>
  <c r="O45" i="167"/>
  <c r="O44" i="167"/>
  <c r="O43" i="167"/>
  <c r="O42" i="167"/>
  <c r="O41" i="167"/>
  <c r="O30" i="167"/>
  <c r="N29" i="167"/>
  <c r="N28" i="167" s="1"/>
  <c r="M29" i="167"/>
  <c r="M28" i="167" s="1"/>
  <c r="L29" i="167"/>
  <c r="L28" i="167" s="1"/>
  <c r="K29" i="167"/>
  <c r="K28" i="167" s="1"/>
  <c r="J29" i="167"/>
  <c r="J28" i="167" s="1"/>
  <c r="I29" i="167"/>
  <c r="I28" i="167" s="1"/>
  <c r="H29" i="167"/>
  <c r="H28" i="167" s="1"/>
  <c r="G29" i="167"/>
  <c r="G28" i="167" s="1"/>
  <c r="F29" i="167"/>
  <c r="F28" i="167" s="1"/>
  <c r="E29" i="167"/>
  <c r="E28" i="167" s="1"/>
  <c r="D29" i="167"/>
  <c r="D28" i="167" s="1"/>
  <c r="C29" i="167"/>
  <c r="O80" i="167"/>
  <c r="O79" i="167"/>
  <c r="O78" i="167"/>
  <c r="O75" i="167"/>
  <c r="O74" i="167"/>
  <c r="O72" i="167"/>
  <c r="O71" i="167"/>
  <c r="O69" i="167"/>
  <c r="O68" i="167"/>
  <c r="O64" i="167"/>
  <c r="O63" i="167"/>
  <c r="O40" i="167"/>
  <c r="O39" i="167"/>
  <c r="O36" i="167"/>
  <c r="O34" i="167"/>
  <c r="O33" i="167"/>
  <c r="O31" i="167"/>
  <c r="O27" i="167"/>
  <c r="O25" i="167"/>
  <c r="O22" i="167"/>
  <c r="O21" i="167"/>
  <c r="O20" i="167"/>
  <c r="O19" i="167"/>
  <c r="O15" i="167"/>
  <c r="O14" i="167"/>
  <c r="O29" i="167" l="1"/>
  <c r="C28" i="167"/>
  <c r="O28" i="167" s="1"/>
  <c r="M77" i="167" l="1"/>
  <c r="L77" i="167"/>
  <c r="K77" i="167"/>
  <c r="J77" i="167"/>
  <c r="I77" i="167"/>
  <c r="H77" i="167"/>
  <c r="G77" i="167"/>
  <c r="F77" i="167"/>
  <c r="E77" i="167"/>
  <c r="D77" i="167"/>
  <c r="C77" i="167"/>
  <c r="M73" i="167"/>
  <c r="L73" i="167"/>
  <c r="K73" i="167"/>
  <c r="J73" i="167"/>
  <c r="I73" i="167"/>
  <c r="H73" i="167"/>
  <c r="G73" i="167"/>
  <c r="F73" i="167"/>
  <c r="E73" i="167"/>
  <c r="D73" i="167"/>
  <c r="C73" i="167"/>
  <c r="M70" i="167"/>
  <c r="L70" i="167"/>
  <c r="K70" i="167"/>
  <c r="J70" i="167"/>
  <c r="I70" i="167"/>
  <c r="H70" i="167"/>
  <c r="G70" i="167"/>
  <c r="F70" i="167"/>
  <c r="E70" i="167"/>
  <c r="D70" i="167"/>
  <c r="C70" i="167"/>
  <c r="M67" i="167"/>
  <c r="L67" i="167"/>
  <c r="K67" i="167"/>
  <c r="J67" i="167"/>
  <c r="I67" i="167"/>
  <c r="H67" i="167"/>
  <c r="G67" i="167"/>
  <c r="F67" i="167"/>
  <c r="E67" i="167"/>
  <c r="D67" i="167"/>
  <c r="C67" i="167"/>
  <c r="M62" i="167"/>
  <c r="L62" i="167"/>
  <c r="K62" i="167"/>
  <c r="J62" i="167"/>
  <c r="I62" i="167"/>
  <c r="H62" i="167"/>
  <c r="G62" i="167"/>
  <c r="F62" i="167"/>
  <c r="E62" i="167"/>
  <c r="D62" i="167"/>
  <c r="C62" i="167"/>
  <c r="M32" i="167"/>
  <c r="L32" i="167"/>
  <c r="K32" i="167"/>
  <c r="J32" i="167"/>
  <c r="I32" i="167"/>
  <c r="H32" i="167"/>
  <c r="G32" i="167"/>
  <c r="F32" i="167"/>
  <c r="E32" i="167"/>
  <c r="D32" i="167"/>
  <c r="C32" i="167"/>
  <c r="M26" i="167"/>
  <c r="L26" i="167"/>
  <c r="K26" i="167"/>
  <c r="J26" i="167"/>
  <c r="I26" i="167"/>
  <c r="H26" i="167"/>
  <c r="G26" i="167"/>
  <c r="F26" i="167"/>
  <c r="E26" i="167"/>
  <c r="D26" i="167"/>
  <c r="C26" i="167"/>
  <c r="M24" i="167"/>
  <c r="L24" i="167"/>
  <c r="K24" i="167"/>
  <c r="J24" i="167"/>
  <c r="I24" i="167"/>
  <c r="H24" i="167"/>
  <c r="G24" i="167"/>
  <c r="F24" i="167"/>
  <c r="E24" i="167"/>
  <c r="D24" i="167"/>
  <c r="C24" i="167"/>
  <c r="M18" i="167"/>
  <c r="L18" i="167"/>
  <c r="K18" i="167"/>
  <c r="J18" i="167"/>
  <c r="I18" i="167"/>
  <c r="H18" i="167"/>
  <c r="G18" i="167"/>
  <c r="F18" i="167"/>
  <c r="E18" i="167"/>
  <c r="D18" i="167"/>
  <c r="C18" i="167"/>
  <c r="M13" i="167"/>
  <c r="L13" i="167"/>
  <c r="K13" i="167"/>
  <c r="J13" i="167"/>
  <c r="I13" i="167"/>
  <c r="H13" i="167"/>
  <c r="G13" i="167"/>
  <c r="F13" i="167"/>
  <c r="E13" i="167"/>
  <c r="D13" i="167"/>
  <c r="C13" i="167"/>
  <c r="J66" i="167" l="1"/>
  <c r="D66" i="167"/>
  <c r="L66" i="167"/>
  <c r="E66" i="167"/>
  <c r="M66" i="167"/>
  <c r="F66" i="167"/>
  <c r="J65" i="167"/>
  <c r="I66" i="167"/>
  <c r="E23" i="167"/>
  <c r="E17" i="167" s="1"/>
  <c r="H66" i="167"/>
  <c r="I23" i="167"/>
  <c r="I17" i="167" s="1"/>
  <c r="C23" i="167"/>
  <c r="C17" i="167" s="1"/>
  <c r="K23" i="167"/>
  <c r="K17" i="167" s="1"/>
  <c r="M23" i="167"/>
  <c r="M17" i="167" s="1"/>
  <c r="F23" i="167"/>
  <c r="F17" i="167" s="1"/>
  <c r="J23" i="167"/>
  <c r="J17" i="167" s="1"/>
  <c r="G23" i="167"/>
  <c r="G17" i="167" s="1"/>
  <c r="D23" i="167"/>
  <c r="D17" i="167" s="1"/>
  <c r="H23" i="167"/>
  <c r="H17" i="167" s="1"/>
  <c r="L23" i="167"/>
  <c r="L17" i="167" s="1"/>
  <c r="C66" i="167"/>
  <c r="G66" i="167"/>
  <c r="K66" i="167"/>
  <c r="O56" i="152"/>
  <c r="O55" i="152"/>
  <c r="O51" i="152"/>
  <c r="O50" i="152"/>
  <c r="O46" i="152"/>
  <c r="O45" i="152"/>
  <c r="O41" i="152"/>
  <c r="O40" i="152"/>
  <c r="O36" i="152"/>
  <c r="O35" i="152"/>
  <c r="O31" i="152"/>
  <c r="O30" i="152"/>
  <c r="O26" i="152"/>
  <c r="O25" i="152"/>
  <c r="O21" i="152"/>
  <c r="O20" i="152"/>
  <c r="O16" i="152"/>
  <c r="O15" i="152"/>
  <c r="C65" i="167" l="1"/>
  <c r="K65" i="167"/>
  <c r="M65" i="167"/>
  <c r="G65" i="167"/>
  <c r="I65" i="167"/>
  <c r="E65" i="167"/>
  <c r="L65" i="167"/>
  <c r="J38" i="167"/>
  <c r="H65" i="167"/>
  <c r="F65" i="167"/>
  <c r="D65" i="167"/>
  <c r="L60" i="152"/>
  <c r="M60" i="152"/>
  <c r="N60" i="152"/>
  <c r="L61" i="152"/>
  <c r="M61" i="152"/>
  <c r="N61" i="152"/>
  <c r="L54" i="152"/>
  <c r="M54" i="152"/>
  <c r="N54" i="152"/>
  <c r="L49" i="152"/>
  <c r="M49" i="152"/>
  <c r="N49" i="152"/>
  <c r="L44" i="152"/>
  <c r="M44" i="152"/>
  <c r="N44" i="152"/>
  <c r="L39" i="152"/>
  <c r="M39" i="152"/>
  <c r="N39" i="152"/>
  <c r="L34" i="152"/>
  <c r="M34" i="152"/>
  <c r="N34" i="152"/>
  <c r="L29" i="152"/>
  <c r="M29" i="152"/>
  <c r="N29" i="152"/>
  <c r="L24" i="152"/>
  <c r="M24" i="152"/>
  <c r="N24" i="152"/>
  <c r="L19" i="152"/>
  <c r="M19" i="152"/>
  <c r="N19" i="152"/>
  <c r="L14" i="152"/>
  <c r="M14" i="152"/>
  <c r="N14" i="152"/>
  <c r="F38" i="167" l="1"/>
  <c r="E38" i="167"/>
  <c r="G38" i="167"/>
  <c r="K38" i="167"/>
  <c r="D38" i="167"/>
  <c r="H38" i="167"/>
  <c r="L38" i="167"/>
  <c r="I38" i="167"/>
  <c r="M38" i="167"/>
  <c r="C38" i="167"/>
  <c r="N59" i="152"/>
  <c r="M59" i="152"/>
  <c r="L59" i="152"/>
  <c r="H44" i="175" l="1"/>
  <c r="G44" i="175"/>
  <c r="F44" i="175"/>
  <c r="H42" i="174"/>
  <c r="G42" i="174"/>
  <c r="F42" i="174"/>
  <c r="G53" i="166" l="1"/>
  <c r="F53" i="166"/>
  <c r="E53" i="166"/>
  <c r="D53" i="166"/>
  <c r="C53" i="166"/>
  <c r="G76" i="166" l="1"/>
  <c r="G68" i="166"/>
  <c r="G63" i="166"/>
  <c r="G32" i="166"/>
  <c r="G28" i="166" s="1"/>
  <c r="G22" i="166"/>
  <c r="G20" i="166" l="1"/>
  <c r="C33" i="165"/>
  <c r="G17" i="166" l="1"/>
  <c r="C29" i="163"/>
  <c r="G14" i="166" l="1"/>
  <c r="AE40" i="179"/>
  <c r="AD40" i="179"/>
  <c r="AC40" i="179"/>
  <c r="AB40" i="179"/>
  <c r="AA40" i="179"/>
  <c r="Z40" i="179"/>
  <c r="Y40" i="179"/>
  <c r="X40" i="179"/>
  <c r="W40" i="179"/>
  <c r="V40" i="179"/>
  <c r="U40" i="179"/>
  <c r="T40" i="179"/>
  <c r="S40" i="179"/>
  <c r="R40" i="179"/>
  <c r="Q40" i="179"/>
  <c r="P40" i="179"/>
  <c r="O40" i="179"/>
  <c r="N40" i="179"/>
  <c r="M40" i="179"/>
  <c r="AE24" i="179"/>
  <c r="AD24" i="179"/>
  <c r="AC24" i="179"/>
  <c r="AC20" i="179" s="1"/>
  <c r="AB24" i="179"/>
  <c r="AA24" i="179"/>
  <c r="Z24" i="179"/>
  <c r="Y24" i="179"/>
  <c r="Y20" i="179" s="1"/>
  <c r="X24" i="179"/>
  <c r="X20" i="179" s="1"/>
  <c r="W24" i="179"/>
  <c r="V24" i="179"/>
  <c r="V20" i="179" s="1"/>
  <c r="U24" i="179"/>
  <c r="U20" i="179" s="1"/>
  <c r="T24" i="179"/>
  <c r="T20" i="179" s="1"/>
  <c r="S24" i="179"/>
  <c r="S20" i="179" s="1"/>
  <c r="S17" i="179" s="1"/>
  <c r="S14" i="179" s="1"/>
  <c r="R24" i="179"/>
  <c r="R20" i="179" s="1"/>
  <c r="Q24" i="179"/>
  <c r="Q20" i="179" s="1"/>
  <c r="P24" i="179"/>
  <c r="P20" i="179" s="1"/>
  <c r="O24" i="179"/>
  <c r="N24" i="179"/>
  <c r="N20" i="179" s="1"/>
  <c r="M24" i="179"/>
  <c r="M20" i="179" s="1"/>
  <c r="L24" i="179"/>
  <c r="L20" i="179" s="1"/>
  <c r="L17" i="179" s="1"/>
  <c r="L14" i="179" s="1"/>
  <c r="K24" i="179"/>
  <c r="J24" i="179"/>
  <c r="I24" i="179"/>
  <c r="I20" i="179" s="1"/>
  <c r="I17" i="179" s="1"/>
  <c r="I14" i="179" s="1"/>
  <c r="H24" i="179"/>
  <c r="H20" i="179" s="1"/>
  <c r="H17" i="179" s="1"/>
  <c r="H14" i="179" s="1"/>
  <c r="G24" i="179"/>
  <c r="G20" i="179" s="1"/>
  <c r="G17" i="179" s="1"/>
  <c r="G14" i="179" s="1"/>
  <c r="F24" i="179"/>
  <c r="F20" i="179" s="1"/>
  <c r="F17" i="179" s="1"/>
  <c r="F14" i="179" s="1"/>
  <c r="E24" i="179"/>
  <c r="E20" i="179" s="1"/>
  <c r="E17" i="179" s="1"/>
  <c r="E14" i="179" s="1"/>
  <c r="D24" i="179"/>
  <c r="D20" i="179" s="1"/>
  <c r="D17" i="179" s="1"/>
  <c r="D14" i="179" s="1"/>
  <c r="C24" i="179"/>
  <c r="AE20" i="179"/>
  <c r="AE17" i="179" s="1"/>
  <c r="AE14" i="179" s="1"/>
  <c r="AD20" i="179"/>
  <c r="AD17" i="179" s="1"/>
  <c r="AD14" i="179" s="1"/>
  <c r="AB20" i="179"/>
  <c r="AA20" i="179"/>
  <c r="Z20" i="179"/>
  <c r="W20" i="179"/>
  <c r="O20" i="179"/>
  <c r="K20" i="179"/>
  <c r="J20" i="179"/>
  <c r="J17" i="179" s="1"/>
  <c r="J14" i="179" s="1"/>
  <c r="C20" i="179"/>
  <c r="C17" i="179" s="1"/>
  <c r="C14" i="179" s="1"/>
  <c r="AA17" i="179"/>
  <c r="AA14" i="179" s="1"/>
  <c r="K17" i="179"/>
  <c r="K14" i="179" s="1"/>
  <c r="N17" i="179" l="1"/>
  <c r="N14" i="179" s="1"/>
  <c r="R17" i="179"/>
  <c r="R14" i="179" s="1"/>
  <c r="V17" i="179"/>
  <c r="V14" i="179" s="1"/>
  <c r="O17" i="179"/>
  <c r="O14" i="179" s="1"/>
  <c r="AB17" i="179"/>
  <c r="AB14" i="179" s="1"/>
  <c r="P17" i="179"/>
  <c r="P14" i="179" s="1"/>
  <c r="T17" i="179"/>
  <c r="T14" i="179" s="1"/>
  <c r="X17" i="179"/>
  <c r="X14" i="179" s="1"/>
  <c r="M17" i="179"/>
  <c r="M14" i="179" s="1"/>
  <c r="Q17" i="179"/>
  <c r="Q14" i="179" s="1"/>
  <c r="U17" i="179"/>
  <c r="U14" i="179" s="1"/>
  <c r="Y17" i="179"/>
  <c r="Y14" i="179" s="1"/>
  <c r="AC17" i="179"/>
  <c r="AC14" i="179" s="1"/>
  <c r="W17" i="179"/>
  <c r="W14" i="179" s="1"/>
  <c r="Z17" i="179"/>
  <c r="Z14" i="179" s="1"/>
  <c r="D54" i="162"/>
  <c r="C54" i="162"/>
  <c r="AF19" i="76" l="1"/>
  <c r="AF25" i="76"/>
  <c r="AF31" i="76"/>
  <c r="AF13" i="76"/>
  <c r="AF33" i="76" l="1"/>
  <c r="AF27" i="76"/>
  <c r="AF21" i="76"/>
  <c r="C22" i="129"/>
  <c r="C20" i="129"/>
  <c r="C18" i="129"/>
  <c r="C16" i="129"/>
  <c r="C14" i="129"/>
  <c r="C12" i="129"/>
  <c r="I10" i="129"/>
  <c r="C10" i="129" l="1"/>
  <c r="F107" i="128"/>
  <c r="C109" i="128"/>
  <c r="F109" i="128" l="1"/>
  <c r="C56" i="159"/>
  <c r="C66" i="159" s="1"/>
  <c r="D90" i="159" l="1"/>
  <c r="C90" i="159"/>
  <c r="E88" i="159"/>
  <c r="E87" i="159"/>
  <c r="E86" i="159"/>
  <c r="E85" i="159"/>
  <c r="E84" i="159"/>
  <c r="E83" i="159"/>
  <c r="E82" i="159"/>
  <c r="D56" i="159"/>
  <c r="D66" i="159" s="1"/>
  <c r="D49" i="159"/>
  <c r="C49" i="159"/>
  <c r="D31" i="159"/>
  <c r="C31" i="159"/>
  <c r="C41" i="159" s="1"/>
  <c r="D20" i="159"/>
  <c r="D16" i="159"/>
  <c r="C16" i="159"/>
  <c r="C62" i="159" l="1"/>
  <c r="C64" i="159" s="1"/>
  <c r="D41" i="159"/>
  <c r="D62" i="159" s="1"/>
  <c r="D64" i="159" s="1"/>
  <c r="E90" i="159"/>
  <c r="C15" i="121"/>
  <c r="D68" i="159" l="1"/>
  <c r="C68" i="159"/>
  <c r="C52" i="120"/>
  <c r="F76" i="166" l="1"/>
  <c r="F68" i="166"/>
  <c r="F63" i="166"/>
  <c r="F32" i="166"/>
  <c r="F28" i="166" s="1"/>
  <c r="F22" i="166"/>
  <c r="F20" i="166" l="1"/>
  <c r="F17" i="166" s="1"/>
  <c r="E33" i="165"/>
  <c r="F14" i="166" l="1"/>
  <c r="AG121" i="173" l="1"/>
  <c r="AF121" i="173"/>
  <c r="AE121" i="173"/>
  <c r="AD121" i="173"/>
  <c r="AC121" i="173"/>
  <c r="AB121" i="173"/>
  <c r="AA121" i="173"/>
  <c r="Z121" i="173"/>
  <c r="Y121" i="173"/>
  <c r="X121" i="173"/>
  <c r="W121" i="173"/>
  <c r="V121" i="173"/>
  <c r="U121" i="173"/>
  <c r="T121" i="173"/>
  <c r="S121" i="173"/>
  <c r="R121" i="173"/>
  <c r="Q121" i="173"/>
  <c r="P121" i="173"/>
  <c r="O121" i="173"/>
  <c r="N121" i="173"/>
  <c r="M121" i="173"/>
  <c r="L121" i="173"/>
  <c r="K121" i="173"/>
  <c r="J121" i="173"/>
  <c r="I121" i="173"/>
  <c r="H121" i="173"/>
  <c r="G121" i="173"/>
  <c r="F121" i="173"/>
  <c r="E121" i="173"/>
  <c r="D121" i="173"/>
  <c r="C121" i="173"/>
  <c r="AH122" i="173"/>
  <c r="N111" i="170" l="1"/>
  <c r="M111" i="170"/>
  <c r="L111" i="170"/>
  <c r="K111" i="170"/>
  <c r="J111" i="170"/>
  <c r="I111" i="170"/>
  <c r="H111" i="170"/>
  <c r="G111" i="170"/>
  <c r="F111" i="170"/>
  <c r="E111" i="170"/>
  <c r="D111" i="170"/>
  <c r="C111" i="170"/>
  <c r="O112" i="170"/>
  <c r="O113" i="170"/>
  <c r="C122" i="168"/>
  <c r="O42" i="169"/>
  <c r="N116" i="168" l="1"/>
  <c r="L116" i="168"/>
  <c r="O122" i="168"/>
  <c r="O111" i="170"/>
  <c r="I14" i="152"/>
  <c r="J14" i="152"/>
  <c r="K14" i="152"/>
  <c r="I19" i="152"/>
  <c r="J19" i="152"/>
  <c r="K19" i="152"/>
  <c r="I24" i="152"/>
  <c r="J24" i="152"/>
  <c r="K24" i="152"/>
  <c r="I29" i="152"/>
  <c r="J29" i="152"/>
  <c r="K29" i="152"/>
  <c r="I34" i="152"/>
  <c r="J34" i="152"/>
  <c r="K34" i="152"/>
  <c r="I39" i="152"/>
  <c r="J39" i="152"/>
  <c r="K39" i="152"/>
  <c r="I44" i="152"/>
  <c r="J44" i="152"/>
  <c r="K44" i="152"/>
  <c r="I49" i="152"/>
  <c r="J49" i="152"/>
  <c r="K49" i="152"/>
  <c r="I54" i="152"/>
  <c r="J54" i="152"/>
  <c r="K54" i="152"/>
  <c r="I60" i="152"/>
  <c r="J60" i="152"/>
  <c r="K60" i="152"/>
  <c r="I61" i="152"/>
  <c r="J61" i="152"/>
  <c r="K61" i="152"/>
  <c r="I59" i="152" l="1"/>
  <c r="K59" i="152"/>
  <c r="J59" i="152"/>
  <c r="H76" i="176"/>
  <c r="G76" i="176"/>
  <c r="F76" i="176"/>
  <c r="C40" i="165" l="1"/>
  <c r="E40" i="165"/>
  <c r="AG62" i="173" l="1"/>
  <c r="AF62" i="173"/>
  <c r="AE62" i="173"/>
  <c r="AD62" i="173"/>
  <c r="AC62" i="173"/>
  <c r="AB62" i="173"/>
  <c r="AA62" i="173"/>
  <c r="Z62" i="173"/>
  <c r="Y62" i="173"/>
  <c r="X62" i="173"/>
  <c r="W62" i="173"/>
  <c r="V62" i="173"/>
  <c r="U62" i="173"/>
  <c r="T62" i="173"/>
  <c r="S62" i="173"/>
  <c r="R62" i="173"/>
  <c r="Q62" i="173"/>
  <c r="P62" i="173"/>
  <c r="O62" i="173"/>
  <c r="N62" i="173"/>
  <c r="M62" i="173"/>
  <c r="L62" i="173"/>
  <c r="K62" i="173"/>
  <c r="J62" i="173"/>
  <c r="I62" i="173"/>
  <c r="H62" i="173"/>
  <c r="G62" i="173"/>
  <c r="F62" i="173"/>
  <c r="E62" i="173"/>
  <c r="D62" i="173"/>
  <c r="C62" i="173"/>
  <c r="AG60" i="173"/>
  <c r="AF60" i="173"/>
  <c r="AE60" i="173"/>
  <c r="AD60" i="173"/>
  <c r="AC60" i="173"/>
  <c r="AB60" i="173"/>
  <c r="AA60" i="173"/>
  <c r="Z60" i="173"/>
  <c r="Y60" i="173"/>
  <c r="X60" i="173"/>
  <c r="W60" i="173"/>
  <c r="V60" i="173"/>
  <c r="U60" i="173"/>
  <c r="T60" i="173"/>
  <c r="S60" i="173"/>
  <c r="R60" i="173"/>
  <c r="Q60" i="173"/>
  <c r="P60" i="173"/>
  <c r="O60" i="173"/>
  <c r="N60" i="173"/>
  <c r="M60" i="173"/>
  <c r="L60" i="173"/>
  <c r="K60" i="173"/>
  <c r="J60" i="173"/>
  <c r="I60" i="173"/>
  <c r="H60" i="173"/>
  <c r="G60" i="173"/>
  <c r="F60" i="173"/>
  <c r="E60" i="173"/>
  <c r="D60" i="173"/>
  <c r="C60" i="173"/>
  <c r="AG58" i="173"/>
  <c r="AF58" i="173"/>
  <c r="AE58" i="173"/>
  <c r="AD58" i="173"/>
  <c r="AC58" i="173"/>
  <c r="AB58" i="173"/>
  <c r="AA58" i="173"/>
  <c r="Z58" i="173"/>
  <c r="Y58" i="173"/>
  <c r="X58" i="173"/>
  <c r="W58" i="173"/>
  <c r="V58" i="173"/>
  <c r="U58" i="173"/>
  <c r="T58" i="173"/>
  <c r="S58" i="173"/>
  <c r="R58" i="173"/>
  <c r="Q58" i="173"/>
  <c r="P58" i="173"/>
  <c r="O58" i="173"/>
  <c r="N58" i="173"/>
  <c r="M58" i="173"/>
  <c r="L58" i="173"/>
  <c r="K58" i="173"/>
  <c r="J58" i="173"/>
  <c r="I58" i="173"/>
  <c r="H58" i="173"/>
  <c r="G58" i="173"/>
  <c r="F58" i="173"/>
  <c r="E58" i="173"/>
  <c r="D58" i="173"/>
  <c r="C58" i="173"/>
  <c r="AG54" i="173"/>
  <c r="AF54" i="173"/>
  <c r="AE54" i="173"/>
  <c r="AD54" i="173"/>
  <c r="AC54" i="173"/>
  <c r="AB54" i="173"/>
  <c r="AA54" i="173"/>
  <c r="Z54" i="173"/>
  <c r="Y54" i="173"/>
  <c r="X54" i="173"/>
  <c r="W54" i="173"/>
  <c r="V54" i="173"/>
  <c r="U54" i="173"/>
  <c r="T54" i="173"/>
  <c r="S54" i="173"/>
  <c r="R54" i="173"/>
  <c r="Q54" i="173"/>
  <c r="P54" i="173"/>
  <c r="O54" i="173"/>
  <c r="N54" i="173"/>
  <c r="M54" i="173"/>
  <c r="L54" i="173"/>
  <c r="K54" i="173"/>
  <c r="J54" i="173"/>
  <c r="I54" i="173"/>
  <c r="H54" i="173"/>
  <c r="G54" i="173"/>
  <c r="F54" i="173"/>
  <c r="E54" i="173"/>
  <c r="D54" i="173"/>
  <c r="C54" i="173"/>
  <c r="AG50" i="173"/>
  <c r="AF50" i="173"/>
  <c r="AE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G48" i="173"/>
  <c r="AF48" i="173"/>
  <c r="AE48" i="173"/>
  <c r="AD48" i="173"/>
  <c r="AC48" i="173"/>
  <c r="AB48" i="173"/>
  <c r="AA48" i="173"/>
  <c r="Z48" i="173"/>
  <c r="Y48" i="173"/>
  <c r="X48" i="173"/>
  <c r="W48" i="173"/>
  <c r="V48" i="173"/>
  <c r="U48" i="173"/>
  <c r="T48" i="173"/>
  <c r="S48" i="173"/>
  <c r="R48" i="173"/>
  <c r="Q48" i="173"/>
  <c r="P48" i="173"/>
  <c r="O48" i="173"/>
  <c r="N48" i="173"/>
  <c r="M48" i="173"/>
  <c r="L48" i="173"/>
  <c r="K48" i="173"/>
  <c r="J48" i="173"/>
  <c r="I48" i="173"/>
  <c r="H48" i="173"/>
  <c r="G48" i="173"/>
  <c r="F48" i="173"/>
  <c r="E48" i="173"/>
  <c r="D48" i="173"/>
  <c r="C48" i="173"/>
  <c r="AG45" i="173"/>
  <c r="AF45" i="173"/>
  <c r="AE45" i="173"/>
  <c r="AD45" i="173"/>
  <c r="AC45" i="173"/>
  <c r="AB45" i="173"/>
  <c r="AA45" i="173"/>
  <c r="Z45" i="173"/>
  <c r="Y45" i="173"/>
  <c r="X45" i="173"/>
  <c r="W45" i="173"/>
  <c r="V45" i="173"/>
  <c r="U45" i="173"/>
  <c r="T45" i="173"/>
  <c r="S45" i="173"/>
  <c r="R45" i="173"/>
  <c r="Q45" i="173"/>
  <c r="P45" i="173"/>
  <c r="O45" i="173"/>
  <c r="N45" i="173"/>
  <c r="M45" i="173"/>
  <c r="L45" i="173"/>
  <c r="K45" i="173"/>
  <c r="J45" i="173"/>
  <c r="I45" i="173"/>
  <c r="H45" i="173"/>
  <c r="G45" i="173"/>
  <c r="F45" i="173"/>
  <c r="E45" i="173"/>
  <c r="D45" i="173"/>
  <c r="C45" i="173"/>
  <c r="AG43" i="173"/>
  <c r="AF43" i="173"/>
  <c r="AE43" i="173"/>
  <c r="AD43" i="173"/>
  <c r="AC43" i="173"/>
  <c r="AB43" i="173"/>
  <c r="AA43" i="173"/>
  <c r="Z43" i="173"/>
  <c r="Y43" i="173"/>
  <c r="X43" i="173"/>
  <c r="W43" i="173"/>
  <c r="V43" i="173"/>
  <c r="U43" i="173"/>
  <c r="T43" i="173"/>
  <c r="S43" i="173"/>
  <c r="R43" i="173"/>
  <c r="Q43" i="173"/>
  <c r="P43" i="173"/>
  <c r="O43" i="173"/>
  <c r="N43" i="173"/>
  <c r="M43" i="173"/>
  <c r="L43" i="173"/>
  <c r="K43" i="173"/>
  <c r="J43" i="173"/>
  <c r="I43" i="173"/>
  <c r="H43" i="173"/>
  <c r="G43" i="173"/>
  <c r="F43" i="173"/>
  <c r="E43" i="173"/>
  <c r="D43" i="173"/>
  <c r="C43" i="173"/>
  <c r="AG39" i="173"/>
  <c r="AF39" i="173"/>
  <c r="AE39" i="173"/>
  <c r="AD39" i="173"/>
  <c r="AC39" i="173"/>
  <c r="AB39" i="173"/>
  <c r="AA39" i="173"/>
  <c r="Z39" i="173"/>
  <c r="Y39" i="173"/>
  <c r="X39" i="173"/>
  <c r="W39" i="173"/>
  <c r="V39" i="173"/>
  <c r="U39" i="173"/>
  <c r="T39" i="173"/>
  <c r="S39" i="173"/>
  <c r="R39" i="173"/>
  <c r="Q39" i="173"/>
  <c r="P39" i="173"/>
  <c r="O39" i="173"/>
  <c r="N39" i="173"/>
  <c r="M39" i="173"/>
  <c r="L39" i="173"/>
  <c r="K39" i="173"/>
  <c r="J39" i="173"/>
  <c r="I39" i="173"/>
  <c r="H39" i="173"/>
  <c r="G39" i="173"/>
  <c r="F39" i="173"/>
  <c r="E39" i="173"/>
  <c r="D39" i="173"/>
  <c r="C39" i="173"/>
  <c r="AG67" i="172"/>
  <c r="AF67" i="172"/>
  <c r="AE67" i="172"/>
  <c r="AD67" i="172"/>
  <c r="AC67" i="172"/>
  <c r="AB67" i="172"/>
  <c r="AA67" i="172"/>
  <c r="Z67" i="172"/>
  <c r="Y67" i="172"/>
  <c r="X67" i="172"/>
  <c r="W67" i="172"/>
  <c r="V67" i="172"/>
  <c r="U67" i="172"/>
  <c r="T67" i="172"/>
  <c r="S67" i="172"/>
  <c r="R67" i="172"/>
  <c r="Q67" i="172"/>
  <c r="P67" i="172"/>
  <c r="O67" i="172"/>
  <c r="N67" i="172"/>
  <c r="M67" i="172"/>
  <c r="L67" i="172"/>
  <c r="K67" i="172"/>
  <c r="J67" i="172"/>
  <c r="I67" i="172"/>
  <c r="H67" i="172"/>
  <c r="G67" i="172"/>
  <c r="F67" i="172"/>
  <c r="E67" i="172"/>
  <c r="D67" i="172"/>
  <c r="C67" i="172"/>
  <c r="AG65" i="172"/>
  <c r="AF65" i="172"/>
  <c r="AE65" i="172"/>
  <c r="AD65" i="172"/>
  <c r="AC65" i="172"/>
  <c r="AB65" i="172"/>
  <c r="AA65" i="172"/>
  <c r="Z65" i="172"/>
  <c r="Y65" i="172"/>
  <c r="X65" i="172"/>
  <c r="W65" i="172"/>
  <c r="V65" i="172"/>
  <c r="U65" i="172"/>
  <c r="T65" i="172"/>
  <c r="S65" i="172"/>
  <c r="R65" i="172"/>
  <c r="Q65" i="172"/>
  <c r="P65" i="172"/>
  <c r="O65" i="172"/>
  <c r="N65" i="172"/>
  <c r="M65" i="172"/>
  <c r="L65" i="172"/>
  <c r="K65" i="172"/>
  <c r="J65" i="172"/>
  <c r="I65" i="172"/>
  <c r="H65" i="172"/>
  <c r="G65" i="172"/>
  <c r="F65" i="172"/>
  <c r="E65" i="172"/>
  <c r="D65" i="172"/>
  <c r="C65" i="172"/>
  <c r="AG63" i="172"/>
  <c r="AF63" i="172"/>
  <c r="AE63" i="172"/>
  <c r="AD63" i="172"/>
  <c r="AC63" i="172"/>
  <c r="AB63" i="172"/>
  <c r="AA63" i="172"/>
  <c r="Z63" i="172"/>
  <c r="Y63" i="172"/>
  <c r="X63" i="172"/>
  <c r="W63" i="172"/>
  <c r="V63" i="172"/>
  <c r="U63" i="172"/>
  <c r="T63" i="172"/>
  <c r="S63" i="172"/>
  <c r="R63" i="172"/>
  <c r="Q63" i="172"/>
  <c r="P63" i="172"/>
  <c r="O63" i="172"/>
  <c r="N63" i="172"/>
  <c r="M63" i="172"/>
  <c r="L63" i="172"/>
  <c r="K63" i="172"/>
  <c r="J63" i="172"/>
  <c r="I63" i="172"/>
  <c r="H63" i="172"/>
  <c r="G63" i="172"/>
  <c r="F63" i="172"/>
  <c r="E63" i="172"/>
  <c r="D63" i="172"/>
  <c r="C63" i="172"/>
  <c r="AG59" i="172"/>
  <c r="AF59" i="172"/>
  <c r="AE59" i="172"/>
  <c r="AD59" i="172"/>
  <c r="AC59" i="172"/>
  <c r="AB59" i="172"/>
  <c r="AA59" i="172"/>
  <c r="Z59" i="172"/>
  <c r="Y59" i="172"/>
  <c r="X59" i="172"/>
  <c r="W59" i="172"/>
  <c r="V59" i="172"/>
  <c r="U59" i="172"/>
  <c r="T59" i="172"/>
  <c r="S59" i="172"/>
  <c r="R59" i="172"/>
  <c r="Q59" i="172"/>
  <c r="P59" i="172"/>
  <c r="O59" i="172"/>
  <c r="N59" i="172"/>
  <c r="M59" i="172"/>
  <c r="L59" i="172"/>
  <c r="K59" i="172"/>
  <c r="J59" i="172"/>
  <c r="I59" i="172"/>
  <c r="H59" i="172"/>
  <c r="G59" i="172"/>
  <c r="F59" i="172"/>
  <c r="E59" i="172"/>
  <c r="D59" i="172"/>
  <c r="C59" i="172"/>
  <c r="AG55" i="172"/>
  <c r="AF55" i="172"/>
  <c r="AE55" i="172"/>
  <c r="AD55" i="172"/>
  <c r="AC55" i="172"/>
  <c r="AB55" i="172"/>
  <c r="AA55" i="172"/>
  <c r="Z55" i="172"/>
  <c r="Y55" i="172"/>
  <c r="X55" i="172"/>
  <c r="W55" i="172"/>
  <c r="V55" i="172"/>
  <c r="U55" i="172"/>
  <c r="T55" i="172"/>
  <c r="S55" i="172"/>
  <c r="R55" i="172"/>
  <c r="Q55" i="172"/>
  <c r="P55" i="172"/>
  <c r="O55" i="172"/>
  <c r="N55" i="172"/>
  <c r="M55" i="172"/>
  <c r="L55" i="172"/>
  <c r="K55" i="172"/>
  <c r="J55" i="172"/>
  <c r="I55" i="172"/>
  <c r="H55" i="172"/>
  <c r="G55" i="172"/>
  <c r="F55" i="172"/>
  <c r="E55" i="172"/>
  <c r="D55" i="172"/>
  <c r="C55" i="172"/>
  <c r="AG53" i="172"/>
  <c r="AF53" i="172"/>
  <c r="AE53" i="172"/>
  <c r="AD53" i="172"/>
  <c r="AC53" i="172"/>
  <c r="AB53" i="172"/>
  <c r="AA53" i="172"/>
  <c r="Z53" i="172"/>
  <c r="Y53" i="172"/>
  <c r="X53" i="172"/>
  <c r="W53" i="172"/>
  <c r="V53" i="172"/>
  <c r="U53" i="172"/>
  <c r="T53" i="172"/>
  <c r="S53" i="172"/>
  <c r="R53" i="172"/>
  <c r="Q53" i="172"/>
  <c r="P53" i="172"/>
  <c r="O53" i="172"/>
  <c r="N53" i="172"/>
  <c r="M53" i="172"/>
  <c r="L53" i="172"/>
  <c r="K53" i="172"/>
  <c r="J53" i="172"/>
  <c r="I53" i="172"/>
  <c r="H53" i="172"/>
  <c r="G53" i="172"/>
  <c r="F53" i="172"/>
  <c r="E53" i="172"/>
  <c r="D53" i="172"/>
  <c r="C53" i="172"/>
  <c r="AG50" i="172"/>
  <c r="AF50" i="172"/>
  <c r="AE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G48" i="172"/>
  <c r="AF48" i="172"/>
  <c r="AE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G44" i="172"/>
  <c r="AF44" i="172"/>
  <c r="AE44" i="172"/>
  <c r="AD44" i="172"/>
  <c r="AC44" i="172"/>
  <c r="AB44" i="172"/>
  <c r="AA44" i="172"/>
  <c r="Z44" i="172"/>
  <c r="Y44" i="172"/>
  <c r="X44" i="172"/>
  <c r="W44" i="172"/>
  <c r="V44" i="172"/>
  <c r="U44" i="172"/>
  <c r="T44" i="172"/>
  <c r="S44" i="172"/>
  <c r="R44" i="172"/>
  <c r="Q44" i="172"/>
  <c r="P44" i="172"/>
  <c r="O44" i="172"/>
  <c r="N44" i="172"/>
  <c r="M44" i="172"/>
  <c r="L44" i="172"/>
  <c r="K44" i="172"/>
  <c r="J44" i="172"/>
  <c r="I44" i="172"/>
  <c r="H44" i="172"/>
  <c r="G44" i="172"/>
  <c r="F44" i="172"/>
  <c r="E44" i="172"/>
  <c r="D44" i="172"/>
  <c r="C44" i="172"/>
  <c r="S47" i="172" l="1"/>
  <c r="K57" i="173"/>
  <c r="AA57" i="173"/>
  <c r="G42" i="173"/>
  <c r="M62" i="172"/>
  <c r="M58" i="172" s="1"/>
  <c r="C47" i="172"/>
  <c r="AC62" i="172"/>
  <c r="S57" i="173"/>
  <c r="O42" i="173"/>
  <c r="C57" i="173"/>
  <c r="G57" i="173"/>
  <c r="O57" i="173"/>
  <c r="W57" i="173"/>
  <c r="AE57" i="173"/>
  <c r="M57" i="173"/>
  <c r="AC57" i="173"/>
  <c r="E57" i="173"/>
  <c r="U57" i="173"/>
  <c r="I57" i="173"/>
  <c r="Q57" i="173"/>
  <c r="Y57" i="173"/>
  <c r="AG57" i="173"/>
  <c r="M53" i="173"/>
  <c r="AC53" i="173"/>
  <c r="W42" i="173"/>
  <c r="E42" i="173"/>
  <c r="Q42" i="173"/>
  <c r="Y42" i="173"/>
  <c r="AC42" i="173"/>
  <c r="C42" i="173"/>
  <c r="K42" i="173"/>
  <c r="S42" i="173"/>
  <c r="AE42" i="173"/>
  <c r="U62" i="172"/>
  <c r="E62" i="172"/>
  <c r="Q62" i="172"/>
  <c r="AG62" i="172"/>
  <c r="C62" i="172"/>
  <c r="G62" i="172"/>
  <c r="K62" i="172"/>
  <c r="S62" i="172"/>
  <c r="AA62" i="172"/>
  <c r="AE62" i="172"/>
  <c r="AE58" i="172" s="1"/>
  <c r="I62" i="172"/>
  <c r="Y62" i="172"/>
  <c r="G47" i="172"/>
  <c r="W47" i="172"/>
  <c r="K47" i="172"/>
  <c r="AA47" i="172"/>
  <c r="E47" i="172"/>
  <c r="I47" i="172"/>
  <c r="M47" i="172"/>
  <c r="Q47" i="172"/>
  <c r="U47" i="172"/>
  <c r="Y47" i="172"/>
  <c r="AC47" i="172"/>
  <c r="AG47" i="172"/>
  <c r="O47" i="172"/>
  <c r="AE47" i="172"/>
  <c r="K58" i="172"/>
  <c r="I42" i="173"/>
  <c r="M42" i="173"/>
  <c r="U42" i="173"/>
  <c r="AG42" i="173"/>
  <c r="C43" i="172"/>
  <c r="S43" i="172"/>
  <c r="F57" i="173"/>
  <c r="J57" i="173"/>
  <c r="N57" i="173"/>
  <c r="R57" i="173"/>
  <c r="V57" i="173"/>
  <c r="Z57" i="173"/>
  <c r="AD57" i="173"/>
  <c r="D57" i="173"/>
  <c r="H57" i="173"/>
  <c r="L57" i="173"/>
  <c r="P57" i="173"/>
  <c r="T57" i="173"/>
  <c r="X57" i="173"/>
  <c r="AB57" i="173"/>
  <c r="AF57" i="173"/>
  <c r="D42" i="173"/>
  <c r="H42" i="173"/>
  <c r="L42" i="173"/>
  <c r="P42" i="173"/>
  <c r="T42" i="173"/>
  <c r="X42" i="173"/>
  <c r="AB42" i="173"/>
  <c r="AF42" i="173"/>
  <c r="AA42" i="173"/>
  <c r="G38" i="173"/>
  <c r="F42" i="173"/>
  <c r="J42" i="173"/>
  <c r="N42" i="173"/>
  <c r="R42" i="173"/>
  <c r="V42" i="173"/>
  <c r="Z42" i="173"/>
  <c r="AD42" i="173"/>
  <c r="F62" i="172"/>
  <c r="J62" i="172"/>
  <c r="N62" i="172"/>
  <c r="R62" i="172"/>
  <c r="V62" i="172"/>
  <c r="Z62" i="172"/>
  <c r="AD62" i="172"/>
  <c r="D62" i="172"/>
  <c r="H62" i="172"/>
  <c r="L62" i="172"/>
  <c r="P62" i="172"/>
  <c r="T62" i="172"/>
  <c r="X62" i="172"/>
  <c r="AB62" i="172"/>
  <c r="AF62" i="172"/>
  <c r="O62" i="172"/>
  <c r="W62" i="172"/>
  <c r="J58" i="172"/>
  <c r="J47" i="172"/>
  <c r="N47" i="172"/>
  <c r="V47" i="172"/>
  <c r="Z47" i="172"/>
  <c r="AD47" i="172"/>
  <c r="D47" i="172"/>
  <c r="H47" i="172"/>
  <c r="L47" i="172"/>
  <c r="P47" i="172"/>
  <c r="T47" i="172"/>
  <c r="X47" i="172"/>
  <c r="AB47" i="172"/>
  <c r="AF47" i="172"/>
  <c r="F47" i="172"/>
  <c r="R47" i="172"/>
  <c r="Z43" i="172"/>
  <c r="AD43" i="172"/>
  <c r="C53" i="173" l="1"/>
  <c r="K53" i="173"/>
  <c r="Q53" i="173"/>
  <c r="O53" i="173"/>
  <c r="S53" i="173"/>
  <c r="N53" i="173"/>
  <c r="D53" i="173"/>
  <c r="AA53" i="173"/>
  <c r="AC38" i="173"/>
  <c r="O38" i="173"/>
  <c r="W38" i="173"/>
  <c r="AA58" i="172"/>
  <c r="AF43" i="172"/>
  <c r="U58" i="172"/>
  <c r="AC58" i="172"/>
  <c r="Y58" i="172"/>
  <c r="L58" i="172"/>
  <c r="I58" i="172"/>
  <c r="Z58" i="172"/>
  <c r="E58" i="172"/>
  <c r="AB43" i="172"/>
  <c r="P53" i="173"/>
  <c r="AF53" i="173"/>
  <c r="W53" i="173"/>
  <c r="I53" i="173"/>
  <c r="X38" i="173"/>
  <c r="AD53" i="173"/>
  <c r="G53" i="173"/>
  <c r="Y53" i="173"/>
  <c r="T53" i="173"/>
  <c r="AB53" i="173"/>
  <c r="J53" i="173"/>
  <c r="X53" i="173"/>
  <c r="L53" i="173"/>
  <c r="Z53" i="173"/>
  <c r="H53" i="173"/>
  <c r="AE53" i="173"/>
  <c r="AG53" i="173"/>
  <c r="U53" i="173"/>
  <c r="E53" i="173"/>
  <c r="M38" i="173"/>
  <c r="AE38" i="173"/>
  <c r="E38" i="173"/>
  <c r="R38" i="173"/>
  <c r="K38" i="173"/>
  <c r="Q38" i="173"/>
  <c r="I38" i="173"/>
  <c r="S38" i="173"/>
  <c r="H38" i="173"/>
  <c r="V38" i="173"/>
  <c r="AB38" i="173"/>
  <c r="L38" i="173"/>
  <c r="U38" i="173"/>
  <c r="AG38" i="173"/>
  <c r="C38" i="173"/>
  <c r="Y38" i="173"/>
  <c r="P43" i="172"/>
  <c r="AG58" i="172"/>
  <c r="M43" i="172"/>
  <c r="S58" i="172"/>
  <c r="L43" i="172"/>
  <c r="Q58" i="172"/>
  <c r="G58" i="172"/>
  <c r="AF58" i="172"/>
  <c r="P58" i="172"/>
  <c r="AD58" i="172"/>
  <c r="N58" i="172"/>
  <c r="H58" i="172"/>
  <c r="F58" i="172"/>
  <c r="AB58" i="172"/>
  <c r="C58" i="172"/>
  <c r="W58" i="172"/>
  <c r="X58" i="172"/>
  <c r="V58" i="172"/>
  <c r="O58" i="172"/>
  <c r="R58" i="172"/>
  <c r="W43" i="172"/>
  <c r="X43" i="172"/>
  <c r="G43" i="172"/>
  <c r="F43" i="172"/>
  <c r="R43" i="172"/>
  <c r="V43" i="172"/>
  <c r="T43" i="172"/>
  <c r="D43" i="172"/>
  <c r="AA43" i="172"/>
  <c r="AG43" i="172"/>
  <c r="Y43" i="172"/>
  <c r="Q43" i="172"/>
  <c r="I43" i="172"/>
  <c r="N43" i="172"/>
  <c r="AE43" i="172"/>
  <c r="H43" i="172"/>
  <c r="J43" i="172"/>
  <c r="K43" i="172"/>
  <c r="O43" i="172"/>
  <c r="AC43" i="172"/>
  <c r="U43" i="172"/>
  <c r="E43" i="172"/>
  <c r="V53" i="173"/>
  <c r="F53" i="173"/>
  <c r="R53" i="173"/>
  <c r="F38" i="173"/>
  <c r="T38" i="173"/>
  <c r="D38" i="173"/>
  <c r="AF38" i="173"/>
  <c r="P38" i="173"/>
  <c r="AA38" i="173"/>
  <c r="AD38" i="173"/>
  <c r="N38" i="173"/>
  <c r="Z38" i="173"/>
  <c r="J38" i="173"/>
  <c r="T58" i="172"/>
  <c r="D58" i="172"/>
  <c r="N61" i="170" l="1"/>
  <c r="M61" i="170"/>
  <c r="L61" i="170"/>
  <c r="K61" i="170"/>
  <c r="J61" i="170"/>
  <c r="I61" i="170"/>
  <c r="H61" i="170"/>
  <c r="G61" i="170"/>
  <c r="F61" i="170"/>
  <c r="E61" i="170"/>
  <c r="D61" i="170"/>
  <c r="C61" i="170"/>
  <c r="N59" i="170"/>
  <c r="M59" i="170"/>
  <c r="L59" i="170"/>
  <c r="K59" i="170"/>
  <c r="J59" i="170"/>
  <c r="I59" i="170"/>
  <c r="H59" i="170"/>
  <c r="G59" i="170"/>
  <c r="F59" i="170"/>
  <c r="E59" i="170"/>
  <c r="D59" i="170"/>
  <c r="C59" i="170"/>
  <c r="N56" i="170"/>
  <c r="M56" i="170"/>
  <c r="L56" i="170"/>
  <c r="K56" i="170"/>
  <c r="J56" i="170"/>
  <c r="I56" i="170"/>
  <c r="H56" i="170"/>
  <c r="G56" i="170"/>
  <c r="F56" i="170"/>
  <c r="E56" i="170"/>
  <c r="D56" i="170"/>
  <c r="C56" i="170"/>
  <c r="N52" i="170"/>
  <c r="M52" i="170"/>
  <c r="L52" i="170"/>
  <c r="K52" i="170"/>
  <c r="J52" i="170"/>
  <c r="I52" i="170"/>
  <c r="H52" i="170"/>
  <c r="G52" i="170"/>
  <c r="F52" i="170"/>
  <c r="E52" i="170"/>
  <c r="D52" i="170"/>
  <c r="C52" i="170"/>
  <c r="J55" i="170" l="1"/>
  <c r="D55" i="170"/>
  <c r="L55" i="170"/>
  <c r="F55" i="170"/>
  <c r="C55" i="170"/>
  <c r="H55" i="170"/>
  <c r="N55" i="170"/>
  <c r="G55" i="170"/>
  <c r="K55" i="170"/>
  <c r="E55" i="170"/>
  <c r="I55" i="170"/>
  <c r="M55" i="170"/>
  <c r="E76" i="166"/>
  <c r="E68" i="166"/>
  <c r="E63" i="166"/>
  <c r="E32" i="166"/>
  <c r="E28" i="166" s="1"/>
  <c r="E22" i="166" l="1"/>
  <c r="E20" i="166" s="1"/>
  <c r="E17" i="166" s="1"/>
  <c r="E14" i="166" l="1"/>
  <c r="O54" i="169"/>
  <c r="G61" i="152" l="1"/>
  <c r="F61" i="152"/>
  <c r="E61" i="152"/>
  <c r="G60" i="152"/>
  <c r="F60" i="152"/>
  <c r="E60" i="152"/>
  <c r="G54" i="152"/>
  <c r="F54" i="152"/>
  <c r="E54" i="152"/>
  <c r="G49" i="152"/>
  <c r="F49" i="152"/>
  <c r="E49" i="152"/>
  <c r="G44" i="152"/>
  <c r="F44" i="152"/>
  <c r="E44" i="152"/>
  <c r="G39" i="152"/>
  <c r="F39" i="152"/>
  <c r="E39" i="152"/>
  <c r="G34" i="152"/>
  <c r="F34" i="152"/>
  <c r="E34" i="152"/>
  <c r="G29" i="152"/>
  <c r="F29" i="152"/>
  <c r="E29" i="152"/>
  <c r="G24" i="152"/>
  <c r="F24" i="152"/>
  <c r="E24" i="152"/>
  <c r="G19" i="152"/>
  <c r="F19" i="152"/>
  <c r="E19" i="152"/>
  <c r="G14" i="152"/>
  <c r="F14" i="152"/>
  <c r="E14" i="152"/>
  <c r="G59" i="152" l="1"/>
  <c r="E59" i="152"/>
  <c r="F59" i="152"/>
  <c r="C20" i="178" l="1"/>
  <c r="D58" i="178" l="1"/>
  <c r="D68" i="178" s="1"/>
  <c r="C58" i="178"/>
  <c r="C68" i="178" s="1"/>
  <c r="D51" i="178"/>
  <c r="C51" i="178"/>
  <c r="D31" i="178"/>
  <c r="C31" i="178"/>
  <c r="C43" i="178" s="1"/>
  <c r="D20" i="178"/>
  <c r="C64" i="178" l="1"/>
  <c r="D43" i="178"/>
  <c r="D64" i="178" s="1"/>
  <c r="C66" i="178" l="1"/>
  <c r="D22" i="166"/>
  <c r="D76" i="166"/>
  <c r="D68" i="166"/>
  <c r="D63" i="166"/>
  <c r="D32" i="166"/>
  <c r="D28" i="166" s="1"/>
  <c r="D66" i="178" l="1"/>
  <c r="C70" i="178"/>
  <c r="D20" i="166"/>
  <c r="D17" i="166" s="1"/>
  <c r="AH128" i="173"/>
  <c r="AH127" i="173"/>
  <c r="AH126" i="173"/>
  <c r="AH123" i="173"/>
  <c r="AH120" i="173"/>
  <c r="AH118" i="173"/>
  <c r="AH114" i="173"/>
  <c r="AH113" i="173"/>
  <c r="AH111" i="173"/>
  <c r="AH110" i="173"/>
  <c r="AH109" i="173"/>
  <c r="AH108" i="173"/>
  <c r="AH107" i="173"/>
  <c r="AH106" i="173"/>
  <c r="AH105" i="173"/>
  <c r="AH104" i="173"/>
  <c r="AH103" i="173"/>
  <c r="AH102" i="173"/>
  <c r="AH101" i="173"/>
  <c r="AH100" i="173"/>
  <c r="AH99" i="173"/>
  <c r="AH98" i="173"/>
  <c r="AH97" i="173"/>
  <c r="AH96" i="173"/>
  <c r="AH95" i="173"/>
  <c r="AH94" i="173"/>
  <c r="AH93" i="173"/>
  <c r="AH92" i="173"/>
  <c r="AH91" i="173"/>
  <c r="AH90" i="173"/>
  <c r="AH89" i="173"/>
  <c r="AH88" i="173"/>
  <c r="AH87" i="173"/>
  <c r="AH86" i="173"/>
  <c r="AH85" i="173"/>
  <c r="AH84" i="173"/>
  <c r="AH83" i="173"/>
  <c r="AH82" i="173"/>
  <c r="AH81" i="173"/>
  <c r="AH80" i="173"/>
  <c r="AH79" i="173"/>
  <c r="AH78" i="173"/>
  <c r="AH77" i="173"/>
  <c r="AH76" i="173"/>
  <c r="AH75" i="173"/>
  <c r="AH74" i="173"/>
  <c r="AH73" i="173"/>
  <c r="AH72" i="173"/>
  <c r="AH71" i="173"/>
  <c r="AH70" i="173"/>
  <c r="AH69" i="173"/>
  <c r="AH68" i="173"/>
  <c r="AH67" i="173"/>
  <c r="AH66" i="173"/>
  <c r="AH65" i="173"/>
  <c r="AH64" i="173"/>
  <c r="AH63" i="173"/>
  <c r="AH61" i="173"/>
  <c r="AH59" i="173"/>
  <c r="AH56" i="173"/>
  <c r="AH55" i="173"/>
  <c r="AH52" i="173"/>
  <c r="AH51" i="173"/>
  <c r="AH49" i="173"/>
  <c r="AH47" i="173"/>
  <c r="AH46" i="173"/>
  <c r="AH44" i="173"/>
  <c r="AH41" i="173"/>
  <c r="AH40" i="173"/>
  <c r="AH35" i="173"/>
  <c r="AH34" i="173"/>
  <c r="AH27" i="173"/>
  <c r="AH26" i="173"/>
  <c r="AH24" i="173"/>
  <c r="AH22" i="173"/>
  <c r="AH21" i="173"/>
  <c r="AH20" i="173"/>
  <c r="AH19" i="173"/>
  <c r="AH15" i="173"/>
  <c r="AH14" i="173"/>
  <c r="D14" i="166" l="1"/>
  <c r="D70" i="178"/>
  <c r="C64" i="168"/>
  <c r="C61" i="168"/>
  <c r="C58" i="168"/>
  <c r="C54" i="168"/>
  <c r="C50" i="168"/>
  <c r="C48" i="168"/>
  <c r="C45" i="168"/>
  <c r="C42" i="168"/>
  <c r="C38" i="168"/>
  <c r="N57" i="168" l="1"/>
  <c r="L57" i="168"/>
  <c r="O54" i="168"/>
  <c r="N41" i="168"/>
  <c r="L41" i="168"/>
  <c r="O42" i="168"/>
  <c r="O50" i="168"/>
  <c r="O64" i="168"/>
  <c r="O48" i="168"/>
  <c r="O61" i="168"/>
  <c r="O45" i="168"/>
  <c r="O58" i="168"/>
  <c r="O38" i="168"/>
  <c r="C57" i="168"/>
  <c r="C41" i="168"/>
  <c r="L53" i="168" l="1"/>
  <c r="O57" i="168"/>
  <c r="N53" i="168"/>
  <c r="L37" i="168"/>
  <c r="N37" i="168"/>
  <c r="O41" i="168"/>
  <c r="C37" i="168"/>
  <c r="O37" i="168" l="1"/>
  <c r="C53" i="168"/>
  <c r="C23" i="168"/>
  <c r="O23" i="168" l="1"/>
  <c r="O53" i="168" l="1"/>
  <c r="H22" i="175"/>
  <c r="G22" i="175"/>
  <c r="F22" i="175"/>
  <c r="C106" i="128" l="1"/>
  <c r="F106" i="128" s="1"/>
  <c r="O54" i="152" l="1"/>
  <c r="AE39" i="76"/>
  <c r="AE38" i="76"/>
  <c r="AE37" i="76"/>
  <c r="AE36" i="76"/>
  <c r="AE35" i="76"/>
  <c r="O44" i="152" l="1"/>
  <c r="O34" i="152"/>
  <c r="O29" i="152"/>
  <c r="O24" i="152"/>
  <c r="O49" i="152"/>
  <c r="O39" i="152"/>
  <c r="O19" i="152"/>
  <c r="O14" i="152"/>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F38"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F36"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F35"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AG32" i="76"/>
  <c r="AG31" i="76"/>
  <c r="AG30" i="76"/>
  <c r="AG29" i="76"/>
  <c r="AG26" i="76"/>
  <c r="AG27" i="76"/>
  <c r="AG24" i="76"/>
  <c r="AG23" i="76"/>
  <c r="AG20" i="76"/>
  <c r="AG21" i="76"/>
  <c r="AG18" i="76"/>
  <c r="AG17" i="76"/>
  <c r="AG14" i="76"/>
  <c r="AG13" i="76"/>
  <c r="AG12" i="76"/>
  <c r="AG11" i="76"/>
  <c r="AF15" i="76" l="1"/>
  <c r="AG33" i="76"/>
  <c r="AG38" i="76"/>
  <c r="AG36" i="76"/>
  <c r="AG25" i="76"/>
  <c r="AG35" i="76"/>
  <c r="AG19" i="76"/>
  <c r="AF37" i="76"/>
  <c r="C108" i="128"/>
  <c r="F108" i="128" s="1"/>
  <c r="AG15" i="76" l="1"/>
  <c r="AF39" i="76"/>
  <c r="AG37" i="76"/>
  <c r="L64" i="171"/>
  <c r="L59" i="171"/>
  <c r="L54" i="171"/>
  <c r="L49" i="171"/>
  <c r="L44" i="171"/>
  <c r="L39" i="171"/>
  <c r="L34" i="171"/>
  <c r="L31" i="171"/>
  <c r="L30" i="171"/>
  <c r="L23" i="171"/>
  <c r="L18" i="171"/>
  <c r="L13" i="171"/>
  <c r="AG39" i="76" l="1"/>
  <c r="L72" i="171"/>
  <c r="L73" i="171"/>
  <c r="L28" i="171"/>
  <c r="L70" i="171" l="1"/>
  <c r="AG25" i="173"/>
  <c r="AF25" i="173"/>
  <c r="AE25" i="173"/>
  <c r="AD25" i="173"/>
  <c r="AC25" i="173"/>
  <c r="AB25" i="173"/>
  <c r="AA25" i="173"/>
  <c r="Z25" i="173"/>
  <c r="Y25" i="173"/>
  <c r="X25" i="173"/>
  <c r="W25" i="173"/>
  <c r="V25" i="173"/>
  <c r="U25" i="173"/>
  <c r="T25" i="173"/>
  <c r="S25" i="173"/>
  <c r="R25" i="173"/>
  <c r="Q25" i="173"/>
  <c r="P25" i="173"/>
  <c r="O25" i="173"/>
  <c r="N25" i="173"/>
  <c r="M25" i="173"/>
  <c r="L25" i="173"/>
  <c r="K25" i="173"/>
  <c r="J25" i="173"/>
  <c r="I25" i="173"/>
  <c r="H25" i="173"/>
  <c r="G25" i="173"/>
  <c r="F25" i="173"/>
  <c r="E25" i="173"/>
  <c r="D25" i="173"/>
  <c r="C25" i="173"/>
  <c r="AG125" i="173"/>
  <c r="AG119" i="173"/>
  <c r="AG117" i="173"/>
  <c r="AG112" i="173"/>
  <c r="AG33" i="173"/>
  <c r="AG29" i="173"/>
  <c r="AG23" i="173"/>
  <c r="AG18" i="173"/>
  <c r="AG13" i="173"/>
  <c r="C32" i="172"/>
  <c r="C36" i="172"/>
  <c r="AG26" i="172"/>
  <c r="AF26" i="172"/>
  <c r="AE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G28" i="173" l="1"/>
  <c r="C31" i="172"/>
  <c r="AH25" i="173"/>
  <c r="AG116" i="173"/>
  <c r="AG115" i="173" l="1"/>
  <c r="AG17" i="173"/>
  <c r="AG37" i="173" l="1"/>
  <c r="N120" i="170"/>
  <c r="M120" i="170"/>
  <c r="L120" i="170"/>
  <c r="K120" i="170"/>
  <c r="J120" i="170"/>
  <c r="I120" i="170"/>
  <c r="H120" i="170"/>
  <c r="G120" i="170"/>
  <c r="F120" i="170"/>
  <c r="E120" i="170"/>
  <c r="D120" i="170"/>
  <c r="N118" i="170"/>
  <c r="M118" i="170"/>
  <c r="L118" i="170"/>
  <c r="K118" i="170"/>
  <c r="J118" i="170"/>
  <c r="I118" i="170"/>
  <c r="H118" i="170"/>
  <c r="G118" i="170"/>
  <c r="F118" i="170"/>
  <c r="E118" i="170"/>
  <c r="D118" i="170"/>
  <c r="N116" i="170"/>
  <c r="M116" i="170"/>
  <c r="L116" i="170"/>
  <c r="K116" i="170"/>
  <c r="J116" i="170"/>
  <c r="I116" i="170"/>
  <c r="H116" i="170"/>
  <c r="G116" i="170"/>
  <c r="F116" i="170"/>
  <c r="E116" i="170"/>
  <c r="D116" i="170"/>
  <c r="C120" i="170"/>
  <c r="C118" i="170"/>
  <c r="C116" i="170"/>
  <c r="N48" i="170"/>
  <c r="M48" i="170"/>
  <c r="L48" i="170"/>
  <c r="K48" i="170"/>
  <c r="J48" i="170"/>
  <c r="I48" i="170"/>
  <c r="H48" i="170"/>
  <c r="G48" i="170"/>
  <c r="F48" i="170"/>
  <c r="E48" i="170"/>
  <c r="D48" i="170"/>
  <c r="C48" i="170"/>
  <c r="N46" i="170"/>
  <c r="M46" i="170"/>
  <c r="L46" i="170"/>
  <c r="K46" i="170"/>
  <c r="J46" i="170"/>
  <c r="I46" i="170"/>
  <c r="H46" i="170"/>
  <c r="G46" i="170"/>
  <c r="F46" i="170"/>
  <c r="E46" i="170"/>
  <c r="D46" i="170"/>
  <c r="C46" i="170"/>
  <c r="N43" i="170"/>
  <c r="M43" i="170"/>
  <c r="L43" i="170"/>
  <c r="K43" i="170"/>
  <c r="J43" i="170"/>
  <c r="I43" i="170"/>
  <c r="H43" i="170"/>
  <c r="G43" i="170"/>
  <c r="F43" i="170"/>
  <c r="E43" i="170"/>
  <c r="D43" i="170"/>
  <c r="C43" i="170"/>
  <c r="N41" i="170"/>
  <c r="M41" i="170"/>
  <c r="L41" i="170"/>
  <c r="K41" i="170"/>
  <c r="J41" i="170"/>
  <c r="I41" i="170"/>
  <c r="H41" i="170"/>
  <c r="G41" i="170"/>
  <c r="F41" i="170"/>
  <c r="E41" i="170"/>
  <c r="D41" i="170"/>
  <c r="C41" i="170"/>
  <c r="N37" i="170"/>
  <c r="M37" i="170"/>
  <c r="L37" i="170"/>
  <c r="K37" i="170"/>
  <c r="J37" i="170"/>
  <c r="I37" i="170"/>
  <c r="H37" i="170"/>
  <c r="G37" i="170"/>
  <c r="F37" i="170"/>
  <c r="E37" i="170"/>
  <c r="D37" i="170"/>
  <c r="C37" i="170"/>
  <c r="C126" i="168"/>
  <c r="C120" i="168"/>
  <c r="C113" i="168"/>
  <c r="C32" i="168"/>
  <c r="C26" i="168"/>
  <c r="C25" i="168" s="1"/>
  <c r="C18" i="168"/>
  <c r="C13" i="168"/>
  <c r="O19" i="169"/>
  <c r="N70" i="167"/>
  <c r="N62" i="167"/>
  <c r="N24" i="167"/>
  <c r="O126" i="168" l="1"/>
  <c r="O113" i="168"/>
  <c r="O120" i="168"/>
  <c r="L17" i="168"/>
  <c r="N17" i="168"/>
  <c r="C17" i="168"/>
  <c r="O32" i="168"/>
  <c r="O26" i="168"/>
  <c r="O18" i="168"/>
  <c r="O62" i="167"/>
  <c r="O70" i="167"/>
  <c r="O24" i="167"/>
  <c r="I115" i="170"/>
  <c r="C115" i="170"/>
  <c r="K115" i="170"/>
  <c r="G40" i="170"/>
  <c r="K40" i="170"/>
  <c r="D40" i="170"/>
  <c r="E40" i="170"/>
  <c r="I40" i="170"/>
  <c r="M40" i="170"/>
  <c r="C40" i="170"/>
  <c r="H40" i="170"/>
  <c r="L40" i="170"/>
  <c r="F40" i="170"/>
  <c r="J40" i="170"/>
  <c r="N40" i="170"/>
  <c r="D115" i="170"/>
  <c r="H115" i="170"/>
  <c r="L115" i="170"/>
  <c r="E115" i="170"/>
  <c r="M115" i="170"/>
  <c r="G115" i="170"/>
  <c r="F115" i="170"/>
  <c r="J115" i="170"/>
  <c r="N115" i="170"/>
  <c r="G51" i="170"/>
  <c r="K51" i="170"/>
  <c r="D51" i="170"/>
  <c r="H51" i="170"/>
  <c r="L51" i="170"/>
  <c r="F51" i="170"/>
  <c r="N51" i="170"/>
  <c r="C51" i="170"/>
  <c r="C117" i="168"/>
  <c r="N77" i="167"/>
  <c r="N73" i="167"/>
  <c r="N67" i="167"/>
  <c r="N32" i="167"/>
  <c r="N26" i="167"/>
  <c r="N18" i="167"/>
  <c r="N13" i="167"/>
  <c r="C114" i="170" l="1"/>
  <c r="O117" i="168"/>
  <c r="O25" i="168"/>
  <c r="O77" i="167"/>
  <c r="O32" i="167"/>
  <c r="O67" i="167"/>
  <c r="O73" i="167"/>
  <c r="O26" i="167"/>
  <c r="O18" i="167"/>
  <c r="I114" i="170"/>
  <c r="F36" i="170"/>
  <c r="D36" i="170"/>
  <c r="C36" i="170"/>
  <c r="K114" i="170"/>
  <c r="I36" i="170"/>
  <c r="K36" i="170"/>
  <c r="G36" i="170"/>
  <c r="J36" i="170"/>
  <c r="L36" i="170"/>
  <c r="D114" i="170"/>
  <c r="F114" i="170"/>
  <c r="E114" i="170"/>
  <c r="M114" i="170"/>
  <c r="N114" i="170"/>
  <c r="G114" i="170"/>
  <c r="L114" i="170"/>
  <c r="H114" i="170"/>
  <c r="E36" i="170"/>
  <c r="H36" i="170"/>
  <c r="M36" i="170"/>
  <c r="N36" i="170"/>
  <c r="I51" i="170"/>
  <c r="E51" i="170"/>
  <c r="M51" i="170"/>
  <c r="J51" i="170"/>
  <c r="J114" i="170"/>
  <c r="C116" i="168"/>
  <c r="N36" i="168"/>
  <c r="L36" i="168"/>
  <c r="N66" i="167"/>
  <c r="N23" i="167"/>
  <c r="N17" i="167" s="1"/>
  <c r="C76" i="166"/>
  <c r="C68" i="166"/>
  <c r="C63" i="166"/>
  <c r="C32" i="166"/>
  <c r="C28" i="166" s="1"/>
  <c r="C22" i="166"/>
  <c r="G52" i="165"/>
  <c r="G51" i="165"/>
  <c r="E50" i="165"/>
  <c r="C50" i="165"/>
  <c r="C35" i="170" l="1"/>
  <c r="D35" i="170"/>
  <c r="N35" i="170"/>
  <c r="L35" i="170"/>
  <c r="I35" i="170"/>
  <c r="O116" i="168"/>
  <c r="O17" i="168"/>
  <c r="O66" i="167"/>
  <c r="O23" i="167"/>
  <c r="J35" i="170"/>
  <c r="H35" i="170"/>
  <c r="G35" i="170"/>
  <c r="F35" i="170"/>
  <c r="M35" i="170"/>
  <c r="E35" i="170"/>
  <c r="K35" i="170"/>
  <c r="C36" i="168"/>
  <c r="C20" i="166"/>
  <c r="O36" i="168" l="1"/>
  <c r="O17" i="167"/>
  <c r="C17" i="166"/>
  <c r="C14" i="166" l="1"/>
  <c r="H58" i="176" l="1"/>
  <c r="G58" i="176"/>
  <c r="F58" i="176"/>
  <c r="H44" i="176"/>
  <c r="G44" i="176"/>
  <c r="F44" i="176"/>
  <c r="F20" i="176"/>
  <c r="G20" i="176"/>
  <c r="H20" i="176"/>
  <c r="H64" i="175"/>
  <c r="G64" i="175"/>
  <c r="F64" i="175"/>
  <c r="F54" i="175"/>
  <c r="G54" i="175"/>
  <c r="H54" i="175"/>
  <c r="H35" i="175"/>
  <c r="G35" i="175"/>
  <c r="F35" i="175"/>
  <c r="F19" i="175"/>
  <c r="G19" i="175"/>
  <c r="H19" i="175"/>
  <c r="G23" i="174"/>
  <c r="F23" i="174"/>
  <c r="H90" i="176" l="1"/>
  <c r="F18" i="176"/>
  <c r="F90" i="176" s="1"/>
  <c r="H18" i="176"/>
  <c r="G18" i="176"/>
  <c r="G90" i="176" s="1"/>
  <c r="H17" i="175"/>
  <c r="G17" i="175"/>
  <c r="F17" i="175"/>
  <c r="G67" i="175" l="1"/>
  <c r="H67" i="175"/>
  <c r="F67" i="175"/>
  <c r="C104" i="128" l="1"/>
  <c r="F104" i="128" s="1"/>
  <c r="B90" i="177" l="1"/>
  <c r="B89" i="177"/>
  <c r="H23" i="174"/>
  <c r="H20" i="174"/>
  <c r="G20" i="174"/>
  <c r="F20" i="174"/>
  <c r="F18" i="174" l="1"/>
  <c r="G18" i="174"/>
  <c r="H18" i="174"/>
  <c r="AF125" i="173" l="1"/>
  <c r="AE125" i="173"/>
  <c r="AD125" i="173"/>
  <c r="AC125" i="173"/>
  <c r="AB125" i="173"/>
  <c r="AA125" i="173"/>
  <c r="Z125" i="173"/>
  <c r="Y125" i="173"/>
  <c r="X125" i="173"/>
  <c r="W125" i="173"/>
  <c r="V125" i="173"/>
  <c r="U125" i="173"/>
  <c r="T125" i="173"/>
  <c r="S125" i="173"/>
  <c r="R125" i="173"/>
  <c r="Q125" i="173"/>
  <c r="P125" i="173"/>
  <c r="O125" i="173"/>
  <c r="N125" i="173"/>
  <c r="M125" i="173"/>
  <c r="L125" i="173"/>
  <c r="K125" i="173"/>
  <c r="J125" i="173"/>
  <c r="I125" i="173"/>
  <c r="H125" i="173"/>
  <c r="G125" i="173"/>
  <c r="F125" i="173"/>
  <c r="E125" i="173"/>
  <c r="D125" i="173"/>
  <c r="C125" i="173"/>
  <c r="AF119" i="173"/>
  <c r="AE119" i="173"/>
  <c r="AD119" i="173"/>
  <c r="AC119" i="173"/>
  <c r="AB119" i="173"/>
  <c r="AA119" i="173"/>
  <c r="Z119" i="173"/>
  <c r="Y119" i="173"/>
  <c r="X119" i="173"/>
  <c r="W119" i="173"/>
  <c r="V119" i="173"/>
  <c r="U119" i="173"/>
  <c r="T119" i="173"/>
  <c r="S119" i="173"/>
  <c r="R119" i="173"/>
  <c r="Q119" i="173"/>
  <c r="P119" i="173"/>
  <c r="O119" i="173"/>
  <c r="N119" i="173"/>
  <c r="M119" i="173"/>
  <c r="L119" i="173"/>
  <c r="K119" i="173"/>
  <c r="J119" i="173"/>
  <c r="I119" i="173"/>
  <c r="H119" i="173"/>
  <c r="G119" i="173"/>
  <c r="F119" i="173"/>
  <c r="E119" i="173"/>
  <c r="D119" i="173"/>
  <c r="C119" i="173"/>
  <c r="AF117" i="173"/>
  <c r="AE117" i="173"/>
  <c r="AD117" i="173"/>
  <c r="AC117" i="173"/>
  <c r="AB117" i="173"/>
  <c r="AA117" i="173"/>
  <c r="Z117" i="173"/>
  <c r="Y117" i="173"/>
  <c r="X117" i="173"/>
  <c r="W117" i="173"/>
  <c r="V117" i="173"/>
  <c r="U117" i="173"/>
  <c r="T117" i="173"/>
  <c r="S117" i="173"/>
  <c r="R117" i="173"/>
  <c r="Q117" i="173"/>
  <c r="P117" i="173"/>
  <c r="O117" i="173"/>
  <c r="N117" i="173"/>
  <c r="M117" i="173"/>
  <c r="L117" i="173"/>
  <c r="K117" i="173"/>
  <c r="J117" i="173"/>
  <c r="I117" i="173"/>
  <c r="H117" i="173"/>
  <c r="G117" i="173"/>
  <c r="F117" i="173"/>
  <c r="E117" i="173"/>
  <c r="D117" i="173"/>
  <c r="C117" i="173"/>
  <c r="AF112" i="173"/>
  <c r="AE112" i="173"/>
  <c r="AD112" i="173"/>
  <c r="AC112" i="173"/>
  <c r="AB112" i="173"/>
  <c r="AA112" i="173"/>
  <c r="Z112" i="173"/>
  <c r="Y112" i="173"/>
  <c r="X112" i="173"/>
  <c r="W112" i="173"/>
  <c r="V112" i="173"/>
  <c r="U112" i="173"/>
  <c r="T112" i="173"/>
  <c r="S112" i="173"/>
  <c r="R112" i="173"/>
  <c r="Q112" i="173"/>
  <c r="P112" i="173"/>
  <c r="O112" i="173"/>
  <c r="N112" i="173"/>
  <c r="M112" i="173"/>
  <c r="L112" i="173"/>
  <c r="K112" i="173"/>
  <c r="J112" i="173"/>
  <c r="I112" i="173"/>
  <c r="H112" i="173"/>
  <c r="G112" i="173"/>
  <c r="F112" i="173"/>
  <c r="E112" i="173"/>
  <c r="D112" i="173"/>
  <c r="C112" i="173"/>
  <c r="AH62" i="173"/>
  <c r="AH58" i="173"/>
  <c r="AH50" i="173"/>
  <c r="AH45" i="173"/>
  <c r="AH39" i="173"/>
  <c r="AF33" i="173"/>
  <c r="AE33" i="173"/>
  <c r="AD33" i="173"/>
  <c r="AC33" i="173"/>
  <c r="AB33" i="173"/>
  <c r="AA33" i="173"/>
  <c r="Z33" i="173"/>
  <c r="Y33" i="173"/>
  <c r="X33" i="173"/>
  <c r="W33" i="173"/>
  <c r="V33" i="173"/>
  <c r="U33" i="173"/>
  <c r="T33" i="173"/>
  <c r="S33" i="173"/>
  <c r="R33" i="173"/>
  <c r="Q33" i="173"/>
  <c r="P33" i="173"/>
  <c r="O33" i="173"/>
  <c r="N33" i="173"/>
  <c r="M33" i="173"/>
  <c r="L33" i="173"/>
  <c r="K33" i="173"/>
  <c r="J33" i="173"/>
  <c r="I33" i="173"/>
  <c r="H33" i="173"/>
  <c r="G33" i="173"/>
  <c r="F33" i="173"/>
  <c r="E33" i="173"/>
  <c r="D33" i="173"/>
  <c r="C33" i="173"/>
  <c r="AF29" i="173"/>
  <c r="AE29" i="173"/>
  <c r="AD29" i="173"/>
  <c r="AC29" i="173"/>
  <c r="AB29" i="173"/>
  <c r="AA29" i="173"/>
  <c r="Z29" i="173"/>
  <c r="Y29" i="173"/>
  <c r="X29" i="173"/>
  <c r="W29" i="173"/>
  <c r="V29" i="173"/>
  <c r="U29" i="173"/>
  <c r="T29" i="173"/>
  <c r="S29" i="173"/>
  <c r="R29" i="173"/>
  <c r="Q29" i="173"/>
  <c r="P29" i="173"/>
  <c r="O29" i="173"/>
  <c r="N29" i="173"/>
  <c r="M29" i="173"/>
  <c r="L29" i="173"/>
  <c r="K29" i="173"/>
  <c r="J29" i="173"/>
  <c r="I29" i="173"/>
  <c r="H29" i="173"/>
  <c r="G29" i="173"/>
  <c r="F29" i="173"/>
  <c r="E29" i="173"/>
  <c r="D29" i="173"/>
  <c r="C29" i="173"/>
  <c r="AF23" i="173"/>
  <c r="AE23"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F18" i="173"/>
  <c r="AE18"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F13" i="173"/>
  <c r="AE13"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H137" i="172"/>
  <c r="AH136" i="172"/>
  <c r="AH135" i="172"/>
  <c r="AG134" i="172"/>
  <c r="AF134" i="172"/>
  <c r="AE134" i="172"/>
  <c r="AD134" i="172"/>
  <c r="AC134" i="172"/>
  <c r="AB134" i="172"/>
  <c r="AA134" i="172"/>
  <c r="Z134" i="172"/>
  <c r="Y134" i="172"/>
  <c r="X134" i="172"/>
  <c r="W134" i="172"/>
  <c r="V134" i="172"/>
  <c r="U134" i="172"/>
  <c r="T134" i="172"/>
  <c r="S134" i="172"/>
  <c r="R134" i="172"/>
  <c r="Q134" i="172"/>
  <c r="P134" i="172"/>
  <c r="O134" i="172"/>
  <c r="N134" i="172"/>
  <c r="M134" i="172"/>
  <c r="L134" i="172"/>
  <c r="K134" i="172"/>
  <c r="J134" i="172"/>
  <c r="I134" i="172"/>
  <c r="H134" i="172"/>
  <c r="G134" i="172"/>
  <c r="F134" i="172"/>
  <c r="E134" i="172"/>
  <c r="D134" i="172"/>
  <c r="C134" i="172"/>
  <c r="AH132" i="172"/>
  <c r="AH131" i="172"/>
  <c r="AG130" i="172"/>
  <c r="AF130" i="172"/>
  <c r="AE130" i="172"/>
  <c r="AD130" i="172"/>
  <c r="AC130" i="172"/>
  <c r="AB130" i="172"/>
  <c r="AA130" i="172"/>
  <c r="Z130" i="172"/>
  <c r="Y130" i="172"/>
  <c r="X130" i="172"/>
  <c r="W130" i="172"/>
  <c r="V130" i="172"/>
  <c r="U130" i="172"/>
  <c r="T130" i="172"/>
  <c r="S130" i="172"/>
  <c r="R130" i="172"/>
  <c r="Q130" i="172"/>
  <c r="P130" i="172"/>
  <c r="O130" i="172"/>
  <c r="N130" i="172"/>
  <c r="M130" i="172"/>
  <c r="L130" i="172"/>
  <c r="K130" i="172"/>
  <c r="J130" i="172"/>
  <c r="I130" i="172"/>
  <c r="H130" i="172"/>
  <c r="G130" i="172"/>
  <c r="F130" i="172"/>
  <c r="E130" i="172"/>
  <c r="D130" i="172"/>
  <c r="C130" i="172"/>
  <c r="AH129" i="172"/>
  <c r="AH128" i="172"/>
  <c r="AG127" i="172"/>
  <c r="AF127" i="172"/>
  <c r="AE127" i="172"/>
  <c r="AD127" i="172"/>
  <c r="AC127" i="172"/>
  <c r="AB127" i="172"/>
  <c r="AA127" i="172"/>
  <c r="Z127" i="172"/>
  <c r="Y127" i="172"/>
  <c r="X127" i="172"/>
  <c r="W127" i="172"/>
  <c r="V127" i="172"/>
  <c r="U127" i="172"/>
  <c r="T127" i="172"/>
  <c r="S127" i="172"/>
  <c r="R127" i="172"/>
  <c r="Q127" i="172"/>
  <c r="P127" i="172"/>
  <c r="O127" i="172"/>
  <c r="N127" i="172"/>
  <c r="M127" i="172"/>
  <c r="L127" i="172"/>
  <c r="K127" i="172"/>
  <c r="J127" i="172"/>
  <c r="I127" i="172"/>
  <c r="H127" i="172"/>
  <c r="G127" i="172"/>
  <c r="F127" i="172"/>
  <c r="E127" i="172"/>
  <c r="D127" i="172"/>
  <c r="C127" i="172"/>
  <c r="AH126" i="172"/>
  <c r="AH125" i="172"/>
  <c r="AG124" i="172"/>
  <c r="AF124" i="172"/>
  <c r="AE124" i="172"/>
  <c r="AD124" i="172"/>
  <c r="AC124" i="172"/>
  <c r="AB124" i="172"/>
  <c r="AA124" i="172"/>
  <c r="Z124" i="172"/>
  <c r="Y124" i="172"/>
  <c r="X124" i="172"/>
  <c r="W124" i="172"/>
  <c r="V124" i="172"/>
  <c r="U124" i="172"/>
  <c r="T124" i="172"/>
  <c r="S124" i="172"/>
  <c r="R124" i="172"/>
  <c r="Q124" i="172"/>
  <c r="P124" i="172"/>
  <c r="O124" i="172"/>
  <c r="N124" i="172"/>
  <c r="M124" i="172"/>
  <c r="L124" i="172"/>
  <c r="K124" i="172"/>
  <c r="J124" i="172"/>
  <c r="I124" i="172"/>
  <c r="H124" i="172"/>
  <c r="G124" i="172"/>
  <c r="F124" i="172"/>
  <c r="E124" i="172"/>
  <c r="D124" i="172"/>
  <c r="C124" i="172"/>
  <c r="AH121" i="172"/>
  <c r="AH120" i="172"/>
  <c r="AG119" i="172"/>
  <c r="AF119" i="172"/>
  <c r="AE119" i="172"/>
  <c r="AD119" i="172"/>
  <c r="AC119" i="172"/>
  <c r="AB119" i="172"/>
  <c r="AA119" i="172"/>
  <c r="Z119" i="172"/>
  <c r="Y119" i="172"/>
  <c r="X119" i="172"/>
  <c r="W119" i="172"/>
  <c r="V119" i="172"/>
  <c r="U119" i="172"/>
  <c r="T119" i="172"/>
  <c r="S119" i="172"/>
  <c r="R119" i="172"/>
  <c r="Q119" i="172"/>
  <c r="P119" i="172"/>
  <c r="O119" i="172"/>
  <c r="N119" i="172"/>
  <c r="M119" i="172"/>
  <c r="L119" i="172"/>
  <c r="K119" i="172"/>
  <c r="J119" i="172"/>
  <c r="I119" i="172"/>
  <c r="H119" i="172"/>
  <c r="G119" i="172"/>
  <c r="F119" i="172"/>
  <c r="E119" i="172"/>
  <c r="D119" i="172"/>
  <c r="C119" i="172"/>
  <c r="AH118" i="172"/>
  <c r="AH117" i="172"/>
  <c r="AH116" i="172"/>
  <c r="AH115" i="172"/>
  <c r="AH114" i="172"/>
  <c r="AH113" i="172"/>
  <c r="AH112" i="172"/>
  <c r="AH111" i="172"/>
  <c r="AH110" i="172"/>
  <c r="AH109" i="172"/>
  <c r="AH108" i="172"/>
  <c r="AH107" i="172"/>
  <c r="AH106" i="172"/>
  <c r="AH105" i="172"/>
  <c r="AH104" i="172"/>
  <c r="AH103" i="172"/>
  <c r="AH102" i="172"/>
  <c r="AH101" i="172"/>
  <c r="AH100" i="172"/>
  <c r="AH99" i="172"/>
  <c r="AH98" i="172"/>
  <c r="AH97" i="172"/>
  <c r="AH96" i="172"/>
  <c r="AH95" i="172"/>
  <c r="AH94" i="172"/>
  <c r="AH93" i="172"/>
  <c r="AH92" i="172"/>
  <c r="AH91" i="172"/>
  <c r="AH90" i="172"/>
  <c r="AH89" i="172"/>
  <c r="AH88" i="172"/>
  <c r="AH87" i="172"/>
  <c r="AH86" i="172"/>
  <c r="AH85" i="172"/>
  <c r="AH84" i="172"/>
  <c r="AH83" i="172"/>
  <c r="AH82" i="172"/>
  <c r="AH81" i="172"/>
  <c r="AH80" i="172"/>
  <c r="AH79" i="172"/>
  <c r="AH78" i="172"/>
  <c r="AH77" i="172"/>
  <c r="AH76" i="172"/>
  <c r="AH75" i="172"/>
  <c r="AH74" i="172"/>
  <c r="AH73" i="172"/>
  <c r="AH72" i="172"/>
  <c r="AH71" i="172"/>
  <c r="AH70" i="172"/>
  <c r="AH69" i="172"/>
  <c r="AH68" i="172"/>
  <c r="AH66" i="172"/>
  <c r="AH64" i="172"/>
  <c r="AH63" i="172"/>
  <c r="AH61" i="172"/>
  <c r="AH60" i="172"/>
  <c r="AH57" i="172"/>
  <c r="AH56" i="172"/>
  <c r="AH54" i="172"/>
  <c r="AH52" i="172"/>
  <c r="AH51" i="172"/>
  <c r="AH49" i="172"/>
  <c r="AH48" i="172"/>
  <c r="AH46" i="172"/>
  <c r="AH45" i="172"/>
  <c r="AH40" i="172"/>
  <c r="AH38" i="172"/>
  <c r="AH37" i="172"/>
  <c r="AG36" i="172"/>
  <c r="AF36" i="172"/>
  <c r="AE36" i="172"/>
  <c r="AD36" i="172"/>
  <c r="AC36" i="172"/>
  <c r="AB36" i="172"/>
  <c r="AA36" i="172"/>
  <c r="Z36" i="172"/>
  <c r="Y36" i="172"/>
  <c r="X36" i="172"/>
  <c r="W36" i="172"/>
  <c r="V36" i="172"/>
  <c r="U36" i="172"/>
  <c r="T36" i="172"/>
  <c r="S36" i="172"/>
  <c r="R36" i="172"/>
  <c r="Q36" i="172"/>
  <c r="P36" i="172"/>
  <c r="O36" i="172"/>
  <c r="N36" i="172"/>
  <c r="M36" i="172"/>
  <c r="L36" i="172"/>
  <c r="K36" i="172"/>
  <c r="J36" i="172"/>
  <c r="I36" i="172"/>
  <c r="H36" i="172"/>
  <c r="G36" i="172"/>
  <c r="F36" i="172"/>
  <c r="E36" i="172"/>
  <c r="D36" i="172"/>
  <c r="AG32" i="172"/>
  <c r="AF32" i="172"/>
  <c r="AE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AH30" i="172"/>
  <c r="AH29" i="172"/>
  <c r="AG28" i="172"/>
  <c r="AF28" i="172"/>
  <c r="AE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H27" i="172"/>
  <c r="AH24" i="172"/>
  <c r="AG23" i="172"/>
  <c r="AF23" i="172"/>
  <c r="AE23" i="172"/>
  <c r="AD23" i="172"/>
  <c r="AC23" i="172"/>
  <c r="AB23" i="172"/>
  <c r="AA23" i="172"/>
  <c r="Z23" i="172"/>
  <c r="Y23" i="172"/>
  <c r="X23" i="172"/>
  <c r="W23" i="172"/>
  <c r="V23" i="172"/>
  <c r="U23" i="172"/>
  <c r="T23" i="172"/>
  <c r="S23" i="172"/>
  <c r="R23" i="172"/>
  <c r="Q23" i="172"/>
  <c r="P23" i="172"/>
  <c r="O23" i="172"/>
  <c r="N23" i="172"/>
  <c r="M23" i="172"/>
  <c r="L23" i="172"/>
  <c r="K23" i="172"/>
  <c r="J23" i="172"/>
  <c r="I23" i="172"/>
  <c r="H23" i="172"/>
  <c r="G23" i="172"/>
  <c r="F23" i="172"/>
  <c r="E23" i="172"/>
  <c r="D23" i="172"/>
  <c r="C23" i="172"/>
  <c r="AH22" i="172"/>
  <c r="AH21" i="172"/>
  <c r="AH20" i="172"/>
  <c r="AH19" i="172"/>
  <c r="AG18" i="172"/>
  <c r="AF18" i="172"/>
  <c r="AE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H15" i="172"/>
  <c r="AH14" i="172"/>
  <c r="AG13" i="172"/>
  <c r="AF13" i="172"/>
  <c r="AE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K64" i="171"/>
  <c r="J64" i="171"/>
  <c r="I64" i="171"/>
  <c r="H64" i="171"/>
  <c r="G64" i="171"/>
  <c r="F64" i="171"/>
  <c r="E64" i="171"/>
  <c r="D64" i="171"/>
  <c r="C64" i="171"/>
  <c r="N61" i="171"/>
  <c r="N60" i="171"/>
  <c r="M59" i="171"/>
  <c r="K59" i="171"/>
  <c r="J59" i="171"/>
  <c r="I59" i="171"/>
  <c r="H59" i="171"/>
  <c r="G59" i="171"/>
  <c r="F59" i="171"/>
  <c r="E59" i="171"/>
  <c r="D59" i="171"/>
  <c r="C59" i="171"/>
  <c r="N56" i="171"/>
  <c r="N55" i="171"/>
  <c r="M54" i="171"/>
  <c r="K54" i="171"/>
  <c r="J54" i="171"/>
  <c r="I54" i="171"/>
  <c r="H54" i="171"/>
  <c r="G54" i="171"/>
  <c r="F54" i="171"/>
  <c r="E54" i="171"/>
  <c r="D54" i="171"/>
  <c r="C54" i="171"/>
  <c r="N51" i="171"/>
  <c r="N50" i="171"/>
  <c r="M49" i="171"/>
  <c r="K49" i="171"/>
  <c r="J49" i="171"/>
  <c r="I49" i="171"/>
  <c r="H49" i="171"/>
  <c r="G49" i="171"/>
  <c r="F49" i="171"/>
  <c r="E49" i="171"/>
  <c r="D49" i="171"/>
  <c r="C49" i="171"/>
  <c r="N46" i="171"/>
  <c r="N45" i="171"/>
  <c r="M44" i="171"/>
  <c r="K44" i="171"/>
  <c r="J44" i="171"/>
  <c r="I44" i="171"/>
  <c r="H44" i="171"/>
  <c r="G44" i="171"/>
  <c r="F44" i="171"/>
  <c r="E44" i="171"/>
  <c r="D44" i="171"/>
  <c r="C44" i="171"/>
  <c r="N41" i="171"/>
  <c r="N40" i="171"/>
  <c r="M39" i="171"/>
  <c r="K39" i="171"/>
  <c r="J39" i="171"/>
  <c r="I39" i="171"/>
  <c r="H39" i="171"/>
  <c r="G39" i="171"/>
  <c r="F39" i="171"/>
  <c r="E39" i="171"/>
  <c r="D39" i="171"/>
  <c r="C39" i="171"/>
  <c r="N36" i="171"/>
  <c r="N35" i="171"/>
  <c r="M34" i="171"/>
  <c r="K34" i="171"/>
  <c r="J34" i="171"/>
  <c r="I34" i="171"/>
  <c r="H34" i="171"/>
  <c r="G34" i="171"/>
  <c r="F34" i="171"/>
  <c r="E34" i="171"/>
  <c r="D34" i="171"/>
  <c r="C34" i="171"/>
  <c r="M31" i="171"/>
  <c r="K31" i="171"/>
  <c r="J31" i="171"/>
  <c r="I31" i="171"/>
  <c r="H31" i="171"/>
  <c r="G31" i="171"/>
  <c r="F31" i="171"/>
  <c r="E31" i="171"/>
  <c r="D31" i="171"/>
  <c r="C31" i="171"/>
  <c r="M30" i="171"/>
  <c r="K30" i="171"/>
  <c r="J30" i="171"/>
  <c r="I30" i="171"/>
  <c r="H30" i="171"/>
  <c r="G30" i="171"/>
  <c r="F30" i="171"/>
  <c r="E30" i="171"/>
  <c r="D30" i="171"/>
  <c r="C30" i="171"/>
  <c r="N26" i="171"/>
  <c r="N25" i="171"/>
  <c r="M23" i="171"/>
  <c r="K23" i="171"/>
  <c r="J23" i="171"/>
  <c r="I23" i="171"/>
  <c r="H23" i="171"/>
  <c r="G23" i="171"/>
  <c r="F23" i="171"/>
  <c r="E23" i="171"/>
  <c r="D23" i="171"/>
  <c r="C23" i="171"/>
  <c r="N21" i="171"/>
  <c r="N20" i="171"/>
  <c r="M18" i="171"/>
  <c r="K18" i="171"/>
  <c r="J18" i="171"/>
  <c r="I18" i="171"/>
  <c r="H18" i="171"/>
  <c r="G18" i="171"/>
  <c r="F18" i="171"/>
  <c r="E18" i="171"/>
  <c r="D18" i="171"/>
  <c r="C18" i="171"/>
  <c r="N16" i="171"/>
  <c r="N15" i="171"/>
  <c r="M13" i="171"/>
  <c r="K13" i="171"/>
  <c r="J13" i="171"/>
  <c r="I13" i="171"/>
  <c r="H13" i="171"/>
  <c r="G13" i="171"/>
  <c r="F13" i="171"/>
  <c r="E13" i="171"/>
  <c r="D13" i="171"/>
  <c r="C13" i="171"/>
  <c r="O126" i="170"/>
  <c r="O125" i="170"/>
  <c r="O124" i="170"/>
  <c r="N123" i="170"/>
  <c r="M123" i="170"/>
  <c r="L123" i="170"/>
  <c r="K123" i="170"/>
  <c r="J123" i="170"/>
  <c r="I123" i="170"/>
  <c r="H123" i="170"/>
  <c r="G123" i="170"/>
  <c r="F123" i="170"/>
  <c r="E123" i="170"/>
  <c r="D123" i="170"/>
  <c r="C123" i="170"/>
  <c r="O121" i="170"/>
  <c r="O119" i="170"/>
  <c r="O117" i="170"/>
  <c r="O110" i="170"/>
  <c r="O109" i="170"/>
  <c r="O108" i="170"/>
  <c r="O107" i="170"/>
  <c r="O106" i="170"/>
  <c r="O105" i="170"/>
  <c r="O104" i="170"/>
  <c r="O103" i="170"/>
  <c r="O102" i="170"/>
  <c r="O101" i="170"/>
  <c r="O100" i="170"/>
  <c r="O99" i="170"/>
  <c r="O98" i="170"/>
  <c r="O97" i="170"/>
  <c r="O96" i="170"/>
  <c r="O95" i="170"/>
  <c r="O94" i="170"/>
  <c r="O93" i="170"/>
  <c r="O92" i="170"/>
  <c r="O91" i="170"/>
  <c r="O90" i="170"/>
  <c r="O89" i="170"/>
  <c r="O88" i="170"/>
  <c r="O87" i="170"/>
  <c r="O86" i="170"/>
  <c r="O85" i="170"/>
  <c r="O84" i="170"/>
  <c r="O83" i="170"/>
  <c r="O82" i="170"/>
  <c r="O81" i="170"/>
  <c r="O80" i="170"/>
  <c r="O79" i="170"/>
  <c r="O78" i="170"/>
  <c r="O77" i="170"/>
  <c r="O76" i="170"/>
  <c r="O75" i="170"/>
  <c r="O74" i="170"/>
  <c r="O73" i="170"/>
  <c r="O72" i="170"/>
  <c r="O71" i="170"/>
  <c r="O70" i="170"/>
  <c r="O69" i="170"/>
  <c r="O68" i="170"/>
  <c r="O67" i="170"/>
  <c r="O66" i="170"/>
  <c r="O65" i="170"/>
  <c r="O64" i="170"/>
  <c r="O63" i="170"/>
  <c r="O62" i="170"/>
  <c r="O60" i="170"/>
  <c r="O58" i="170"/>
  <c r="O57" i="170"/>
  <c r="O54" i="170"/>
  <c r="O53" i="170"/>
  <c r="O50" i="170"/>
  <c r="O49" i="170"/>
  <c r="O47" i="170"/>
  <c r="O45" i="170"/>
  <c r="O44" i="170"/>
  <c r="O42" i="170"/>
  <c r="O39" i="170"/>
  <c r="O38" i="170"/>
  <c r="O33" i="170"/>
  <c r="O32" i="170"/>
  <c r="N31" i="170"/>
  <c r="M31" i="170"/>
  <c r="L31" i="170"/>
  <c r="K31" i="170"/>
  <c r="J31" i="170"/>
  <c r="I31" i="170"/>
  <c r="H31" i="170"/>
  <c r="G31" i="170"/>
  <c r="F31" i="170"/>
  <c r="E31" i="170"/>
  <c r="D31" i="170"/>
  <c r="C31" i="170"/>
  <c r="O30" i="170"/>
  <c r="N29" i="170"/>
  <c r="M29" i="170"/>
  <c r="L29" i="170"/>
  <c r="K29" i="170"/>
  <c r="J29" i="170"/>
  <c r="I29" i="170"/>
  <c r="H29" i="170"/>
  <c r="G29" i="170"/>
  <c r="F29" i="170"/>
  <c r="E29" i="170"/>
  <c r="D29" i="170"/>
  <c r="C29" i="170"/>
  <c r="N28" i="170"/>
  <c r="O27" i="170"/>
  <c r="O26" i="170"/>
  <c r="N25" i="170"/>
  <c r="M25" i="170"/>
  <c r="L25" i="170"/>
  <c r="K25" i="170"/>
  <c r="J25" i="170"/>
  <c r="I25" i="170"/>
  <c r="H25" i="170"/>
  <c r="G25" i="170"/>
  <c r="F25" i="170"/>
  <c r="E25" i="170"/>
  <c r="D25" i="170"/>
  <c r="C25" i="170"/>
  <c r="O24" i="170"/>
  <c r="N23" i="170"/>
  <c r="M23" i="170"/>
  <c r="L23" i="170"/>
  <c r="K23" i="170"/>
  <c r="J23" i="170"/>
  <c r="I23" i="170"/>
  <c r="H23" i="170"/>
  <c r="G23" i="170"/>
  <c r="F23" i="170"/>
  <c r="E23" i="170"/>
  <c r="D23" i="170"/>
  <c r="C23" i="170"/>
  <c r="O22" i="170"/>
  <c r="O21" i="170"/>
  <c r="O20" i="170"/>
  <c r="O19" i="170"/>
  <c r="N18" i="170"/>
  <c r="M18" i="170"/>
  <c r="L18" i="170"/>
  <c r="K18" i="170"/>
  <c r="J18" i="170"/>
  <c r="I18" i="170"/>
  <c r="H18" i="170"/>
  <c r="G18" i="170"/>
  <c r="F18" i="170"/>
  <c r="E18" i="170"/>
  <c r="D18" i="170"/>
  <c r="C18" i="170"/>
  <c r="O15" i="170"/>
  <c r="O14" i="170"/>
  <c r="N13" i="170"/>
  <c r="M13" i="170"/>
  <c r="L13" i="170"/>
  <c r="K13" i="170"/>
  <c r="J13" i="170"/>
  <c r="I13" i="170"/>
  <c r="H13" i="170"/>
  <c r="G13" i="170"/>
  <c r="F13" i="170"/>
  <c r="E13" i="170"/>
  <c r="D13" i="170"/>
  <c r="C13" i="170"/>
  <c r="O70" i="169"/>
  <c r="O69" i="169"/>
  <c r="O68" i="169"/>
  <c r="N67" i="169"/>
  <c r="M67" i="169"/>
  <c r="L67" i="169"/>
  <c r="K67" i="169"/>
  <c r="J67" i="169"/>
  <c r="I67" i="169"/>
  <c r="H67" i="169"/>
  <c r="G67" i="169"/>
  <c r="F67" i="169"/>
  <c r="E67" i="169"/>
  <c r="D67" i="169"/>
  <c r="C67" i="169"/>
  <c r="O65" i="169"/>
  <c r="O64" i="169"/>
  <c r="N63" i="169"/>
  <c r="M63" i="169"/>
  <c r="L63" i="169"/>
  <c r="K63" i="169"/>
  <c r="J63" i="169"/>
  <c r="I63" i="169"/>
  <c r="H63" i="169"/>
  <c r="G63" i="169"/>
  <c r="F63" i="169"/>
  <c r="E63" i="169"/>
  <c r="D63" i="169"/>
  <c r="C63" i="169"/>
  <c r="O62" i="169"/>
  <c r="N61" i="169"/>
  <c r="M61" i="169"/>
  <c r="L61" i="169"/>
  <c r="K61" i="169"/>
  <c r="J61" i="169"/>
  <c r="I61" i="169"/>
  <c r="H61" i="169"/>
  <c r="G61" i="169"/>
  <c r="F61" i="169"/>
  <c r="E61" i="169"/>
  <c r="D61" i="169"/>
  <c r="C61" i="169"/>
  <c r="O58" i="169"/>
  <c r="O57" i="169"/>
  <c r="N56" i="169"/>
  <c r="M56" i="169"/>
  <c r="L56" i="169"/>
  <c r="K56" i="169"/>
  <c r="J56" i="169"/>
  <c r="I56" i="169"/>
  <c r="H56" i="169"/>
  <c r="G56" i="169"/>
  <c r="F56" i="169"/>
  <c r="E56" i="169"/>
  <c r="D56" i="169"/>
  <c r="C56" i="169"/>
  <c r="O55" i="169"/>
  <c r="O41" i="169"/>
  <c r="O40" i="169"/>
  <c r="O39" i="169"/>
  <c r="O38" i="169"/>
  <c r="O37" i="169"/>
  <c r="O36" i="169"/>
  <c r="O35" i="169"/>
  <c r="O34" i="169"/>
  <c r="O33" i="169"/>
  <c r="O30" i="169"/>
  <c r="O28" i="169"/>
  <c r="O27" i="169"/>
  <c r="N26"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D28" i="173" l="1"/>
  <c r="L28" i="173"/>
  <c r="T28" i="173"/>
  <c r="X28" i="173"/>
  <c r="AF28" i="173"/>
  <c r="E28" i="173"/>
  <c r="I28" i="173"/>
  <c r="M28" i="173"/>
  <c r="Q28" i="173"/>
  <c r="U28" i="173"/>
  <c r="Y28" i="173"/>
  <c r="F28" i="173"/>
  <c r="J28" i="173"/>
  <c r="N28" i="173"/>
  <c r="R28" i="173"/>
  <c r="V28" i="173"/>
  <c r="Z28" i="173"/>
  <c r="AD28" i="173"/>
  <c r="H28" i="173"/>
  <c r="P28" i="173"/>
  <c r="AB28" i="173"/>
  <c r="AC28" i="173"/>
  <c r="C28" i="173"/>
  <c r="AH29" i="173"/>
  <c r="G28" i="173"/>
  <c r="K28" i="173"/>
  <c r="O28" i="173"/>
  <c r="S28" i="173"/>
  <c r="W28" i="173"/>
  <c r="AA28" i="173"/>
  <c r="AE28" i="173"/>
  <c r="Q31" i="172"/>
  <c r="AC31" i="172"/>
  <c r="D31" i="172"/>
  <c r="AH32" i="172"/>
  <c r="H31" i="172"/>
  <c r="L31" i="172"/>
  <c r="P31" i="172"/>
  <c r="T31" i="172"/>
  <c r="X31" i="172"/>
  <c r="AB31" i="172"/>
  <c r="AF31" i="172"/>
  <c r="E31" i="172"/>
  <c r="M31" i="172"/>
  <c r="Y31" i="172"/>
  <c r="F31" i="172"/>
  <c r="J31" i="172"/>
  <c r="N31" i="172"/>
  <c r="R31" i="172"/>
  <c r="V31" i="172"/>
  <c r="Z31" i="172"/>
  <c r="AD31" i="172"/>
  <c r="I31" i="172"/>
  <c r="U31" i="172"/>
  <c r="AG31" i="172"/>
  <c r="G31" i="172"/>
  <c r="K31" i="172"/>
  <c r="O31" i="172"/>
  <c r="S31" i="172"/>
  <c r="W31" i="172"/>
  <c r="AA31" i="172"/>
  <c r="AE31" i="172"/>
  <c r="AH134" i="172"/>
  <c r="AH117" i="173"/>
  <c r="C72" i="171"/>
  <c r="G72" i="171"/>
  <c r="K72" i="171"/>
  <c r="I73" i="171"/>
  <c r="D72" i="171"/>
  <c r="H72" i="171"/>
  <c r="J73" i="171"/>
  <c r="G73" i="171"/>
  <c r="K73" i="171"/>
  <c r="F72" i="171"/>
  <c r="J72" i="171"/>
  <c r="D73" i="171"/>
  <c r="H73" i="171"/>
  <c r="AH33" i="173"/>
  <c r="AH43" i="173"/>
  <c r="AH48" i="173"/>
  <c r="AH54" i="173"/>
  <c r="AH60" i="173"/>
  <c r="AH112" i="173"/>
  <c r="AH119" i="173"/>
  <c r="AH121" i="173"/>
  <c r="AH125" i="173"/>
  <c r="AH23" i="173"/>
  <c r="AH18" i="173"/>
  <c r="C28" i="170"/>
  <c r="C17" i="170" s="1"/>
  <c r="G28" i="170"/>
  <c r="K28" i="170"/>
  <c r="O46" i="170"/>
  <c r="D28" i="170"/>
  <c r="H28" i="170"/>
  <c r="L28" i="170"/>
  <c r="O41" i="170"/>
  <c r="E28" i="170"/>
  <c r="I28" i="170"/>
  <c r="M28" i="170"/>
  <c r="F28" i="170"/>
  <c r="J28" i="170"/>
  <c r="O59" i="170"/>
  <c r="E17" i="169"/>
  <c r="I17" i="169"/>
  <c r="M17" i="169"/>
  <c r="C17" i="169"/>
  <c r="G17" i="169"/>
  <c r="K17" i="169"/>
  <c r="M72" i="171"/>
  <c r="M73" i="171"/>
  <c r="C116" i="173"/>
  <c r="G116" i="173"/>
  <c r="K116" i="173"/>
  <c r="O116" i="173"/>
  <c r="E116" i="173"/>
  <c r="I116" i="173"/>
  <c r="M116" i="173"/>
  <c r="Q116" i="173"/>
  <c r="U116" i="173"/>
  <c r="Y116" i="173"/>
  <c r="AC116" i="173"/>
  <c r="AF116" i="173"/>
  <c r="F116" i="173"/>
  <c r="J116" i="173"/>
  <c r="N116" i="173"/>
  <c r="R116" i="173"/>
  <c r="V116" i="173"/>
  <c r="Z116" i="173"/>
  <c r="AD116" i="173"/>
  <c r="D116" i="173"/>
  <c r="H116" i="173"/>
  <c r="L116" i="173"/>
  <c r="T116" i="173"/>
  <c r="N23" i="171"/>
  <c r="D28" i="171"/>
  <c r="N44" i="171"/>
  <c r="D17" i="169"/>
  <c r="H17" i="169"/>
  <c r="L17" i="169"/>
  <c r="F17" i="169"/>
  <c r="J17" i="169"/>
  <c r="N17" i="169"/>
  <c r="N60" i="169"/>
  <c r="L60" i="169"/>
  <c r="C123" i="172"/>
  <c r="K123" i="172"/>
  <c r="AG123" i="172"/>
  <c r="O18" i="169"/>
  <c r="N13" i="171"/>
  <c r="C28" i="171"/>
  <c r="D25" i="172"/>
  <c r="H25" i="172"/>
  <c r="L25" i="172"/>
  <c r="P25" i="172"/>
  <c r="T25" i="172"/>
  <c r="X25" i="172"/>
  <c r="AB25" i="172"/>
  <c r="AF25" i="172"/>
  <c r="V25" i="172"/>
  <c r="N65" i="167"/>
  <c r="O13" i="168"/>
  <c r="F60" i="169"/>
  <c r="J60" i="169"/>
  <c r="N34" i="171"/>
  <c r="N54" i="171"/>
  <c r="F123" i="172"/>
  <c r="J123" i="172"/>
  <c r="N123" i="172"/>
  <c r="R123" i="172"/>
  <c r="V123" i="172"/>
  <c r="Z123" i="172"/>
  <c r="AD123" i="172"/>
  <c r="P116" i="173"/>
  <c r="X116" i="173"/>
  <c r="AB116" i="173"/>
  <c r="O37" i="170"/>
  <c r="D60" i="169"/>
  <c r="H60" i="169"/>
  <c r="E25" i="172"/>
  <c r="I25" i="172"/>
  <c r="M25" i="172"/>
  <c r="Q25" i="172"/>
  <c r="U25" i="172"/>
  <c r="Y25" i="172"/>
  <c r="AC25" i="172"/>
  <c r="AG25" i="172"/>
  <c r="O13" i="167"/>
  <c r="AH28" i="172"/>
  <c r="F25" i="172"/>
  <c r="J25" i="172"/>
  <c r="N25" i="172"/>
  <c r="R25" i="172"/>
  <c r="Z25" i="172"/>
  <c r="AD25" i="172"/>
  <c r="E123" i="172"/>
  <c r="I123" i="172"/>
  <c r="M123" i="172"/>
  <c r="Q123" i="172"/>
  <c r="U123" i="172"/>
  <c r="Y123" i="172"/>
  <c r="AC123" i="172"/>
  <c r="G123" i="172"/>
  <c r="O123" i="172"/>
  <c r="W123" i="172"/>
  <c r="AA123" i="172"/>
  <c r="AE123" i="172"/>
  <c r="F73" i="171"/>
  <c r="C73" i="171"/>
  <c r="AH130" i="172"/>
  <c r="N39" i="171"/>
  <c r="S123" i="172"/>
  <c r="O13" i="169"/>
  <c r="O123" i="170"/>
  <c r="H28" i="171"/>
  <c r="N49" i="171"/>
  <c r="O56" i="169"/>
  <c r="O25" i="170"/>
  <c r="N18" i="171"/>
  <c r="N64" i="171"/>
  <c r="AH55" i="172"/>
  <c r="O31" i="170"/>
  <c r="O48" i="170"/>
  <c r="O61" i="170"/>
  <c r="O63" i="169"/>
  <c r="N17" i="170"/>
  <c r="O118" i="170"/>
  <c r="F28" i="171"/>
  <c r="K28" i="171"/>
  <c r="N59" i="171"/>
  <c r="O26" i="169"/>
  <c r="E60" i="169"/>
  <c r="I60" i="169"/>
  <c r="M60" i="169"/>
  <c r="O13" i="170"/>
  <c r="O23" i="170"/>
  <c r="G28" i="171"/>
  <c r="M28" i="171"/>
  <c r="N30" i="171"/>
  <c r="C25" i="172"/>
  <c r="G25" i="172"/>
  <c r="K25" i="172"/>
  <c r="O25" i="172"/>
  <c r="S25" i="172"/>
  <c r="W25" i="172"/>
  <c r="AA25" i="172"/>
  <c r="AE25" i="172"/>
  <c r="O43" i="170"/>
  <c r="J28" i="171"/>
  <c r="AH18" i="172"/>
  <c r="AH36" i="172"/>
  <c r="AH65" i="172"/>
  <c r="AH119" i="172"/>
  <c r="D123" i="172"/>
  <c r="H123" i="172"/>
  <c r="L123" i="172"/>
  <c r="P123" i="172"/>
  <c r="T123" i="172"/>
  <c r="X123" i="172"/>
  <c r="AB123" i="172"/>
  <c r="AF123" i="172"/>
  <c r="AH127" i="172"/>
  <c r="AH13" i="173"/>
  <c r="S116" i="173"/>
  <c r="W116" i="173"/>
  <c r="AA116" i="173"/>
  <c r="AE116" i="173"/>
  <c r="I72" i="171"/>
  <c r="I28" i="171"/>
  <c r="E73" i="171"/>
  <c r="N31" i="171"/>
  <c r="E72" i="171"/>
  <c r="E28" i="171"/>
  <c r="O56" i="170"/>
  <c r="C60" i="169"/>
  <c r="G60" i="169"/>
  <c r="K60" i="169"/>
  <c r="O61" i="169"/>
  <c r="O29" i="170"/>
  <c r="AH23" i="172"/>
  <c r="O23" i="169"/>
  <c r="O120" i="170"/>
  <c r="AH26" i="172"/>
  <c r="AH67" i="172"/>
  <c r="AH50" i="172"/>
  <c r="O67" i="169"/>
  <c r="O18" i="170"/>
  <c r="O52" i="170"/>
  <c r="O116" i="170"/>
  <c r="AH13" i="172"/>
  <c r="AH44" i="172"/>
  <c r="AH53" i="172"/>
  <c r="AH59" i="172"/>
  <c r="AH124" i="172"/>
  <c r="J70" i="171" l="1"/>
  <c r="E70" i="171"/>
  <c r="O65" i="167"/>
  <c r="AF17" i="173"/>
  <c r="H70" i="171"/>
  <c r="G70" i="171"/>
  <c r="M70" i="171"/>
  <c r="K70" i="171"/>
  <c r="D70" i="171"/>
  <c r="L17" i="170"/>
  <c r="K17" i="170"/>
  <c r="M17" i="170"/>
  <c r="O115" i="173"/>
  <c r="G115" i="173"/>
  <c r="R17" i="173"/>
  <c r="Q17" i="173"/>
  <c r="N17" i="173"/>
  <c r="X17" i="173"/>
  <c r="AA17" i="173"/>
  <c r="J17" i="173"/>
  <c r="K17" i="173"/>
  <c r="F17" i="172"/>
  <c r="V17" i="172"/>
  <c r="T17" i="172"/>
  <c r="D17" i="172"/>
  <c r="G17" i="170"/>
  <c r="D17" i="170"/>
  <c r="J17" i="170"/>
  <c r="AH57" i="173"/>
  <c r="AH28" i="173"/>
  <c r="AH116" i="173"/>
  <c r="AH42" i="173"/>
  <c r="AE17" i="173"/>
  <c r="M17" i="173"/>
  <c r="F17" i="173"/>
  <c r="AC17" i="173"/>
  <c r="O17" i="173"/>
  <c r="U17" i="173"/>
  <c r="AB17" i="173"/>
  <c r="E17" i="173"/>
  <c r="D17" i="173"/>
  <c r="P17" i="173"/>
  <c r="W17" i="173"/>
  <c r="G17" i="173"/>
  <c r="Y17" i="173"/>
  <c r="I17" i="173"/>
  <c r="T17" i="173"/>
  <c r="AD17" i="173"/>
  <c r="H17" i="173"/>
  <c r="S17" i="173"/>
  <c r="C17" i="173"/>
  <c r="V17" i="173"/>
  <c r="L17" i="173"/>
  <c r="Z17" i="173"/>
  <c r="AH62" i="172"/>
  <c r="AH47" i="172"/>
  <c r="Q17" i="172"/>
  <c r="R17" i="172"/>
  <c r="AE17" i="172"/>
  <c r="I17" i="170"/>
  <c r="O28" i="170"/>
  <c r="F17" i="170"/>
  <c r="H17" i="170"/>
  <c r="E17" i="170"/>
  <c r="N38" i="167"/>
  <c r="X115" i="173"/>
  <c r="H115" i="173"/>
  <c r="Z115" i="173"/>
  <c r="R115" i="173"/>
  <c r="AF115" i="173"/>
  <c r="AC115" i="173"/>
  <c r="U115" i="173"/>
  <c r="M115" i="173"/>
  <c r="E115" i="173"/>
  <c r="AA115" i="173"/>
  <c r="AB115" i="173"/>
  <c r="L115" i="173"/>
  <c r="AE115" i="173"/>
  <c r="T115" i="173"/>
  <c r="AD115" i="173"/>
  <c r="V115" i="173"/>
  <c r="N115" i="173"/>
  <c r="F115" i="173"/>
  <c r="Y115" i="173"/>
  <c r="Q115" i="173"/>
  <c r="I115" i="173"/>
  <c r="C115" i="173"/>
  <c r="K115" i="173"/>
  <c r="W115" i="173"/>
  <c r="J115" i="173"/>
  <c r="S115" i="173"/>
  <c r="P115" i="173"/>
  <c r="D115" i="173"/>
  <c r="P122" i="172"/>
  <c r="AA122" i="172"/>
  <c r="M122" i="172"/>
  <c r="AD122" i="172"/>
  <c r="N122" i="172"/>
  <c r="K122" i="172"/>
  <c r="D122" i="172"/>
  <c r="AE122" i="172"/>
  <c r="X122" i="172"/>
  <c r="H122" i="172"/>
  <c r="O122" i="172"/>
  <c r="U122" i="172"/>
  <c r="E122" i="172"/>
  <c r="V122" i="172"/>
  <c r="F122" i="172"/>
  <c r="R122" i="172"/>
  <c r="AF122" i="172"/>
  <c r="AC122" i="172"/>
  <c r="T122" i="172"/>
  <c r="G122" i="172"/>
  <c r="Q122" i="172"/>
  <c r="AG122" i="172"/>
  <c r="AB122" i="172"/>
  <c r="L122" i="172"/>
  <c r="S122" i="172"/>
  <c r="W122" i="172"/>
  <c r="Y122" i="172"/>
  <c r="I122" i="172"/>
  <c r="Z122" i="172"/>
  <c r="J122" i="172"/>
  <c r="C122" i="172"/>
  <c r="AF17" i="172"/>
  <c r="P17" i="172"/>
  <c r="W17" i="172"/>
  <c r="G17" i="172"/>
  <c r="U17" i="172"/>
  <c r="E17" i="172"/>
  <c r="AA17" i="172"/>
  <c r="K17" i="172"/>
  <c r="I17" i="172"/>
  <c r="O17" i="172"/>
  <c r="AC17" i="172"/>
  <c r="M17" i="172"/>
  <c r="S17" i="172"/>
  <c r="C17" i="172"/>
  <c r="Y17" i="172"/>
  <c r="X17" i="172"/>
  <c r="H17" i="172"/>
  <c r="AG17" i="172"/>
  <c r="N17" i="172"/>
  <c r="AB17" i="172"/>
  <c r="L17" i="172"/>
  <c r="I70" i="171"/>
  <c r="C70" i="171"/>
  <c r="O115" i="170"/>
  <c r="M59" i="169"/>
  <c r="J59" i="169"/>
  <c r="L59" i="169"/>
  <c r="D59" i="169"/>
  <c r="G59" i="169"/>
  <c r="E59" i="169"/>
  <c r="H59" i="169"/>
  <c r="N59" i="169"/>
  <c r="K59" i="169"/>
  <c r="I59" i="169"/>
  <c r="F59" i="169"/>
  <c r="Z17" i="172"/>
  <c r="O114" i="170"/>
  <c r="AD17" i="172"/>
  <c r="J17" i="172"/>
  <c r="N73" i="171"/>
  <c r="F70" i="171"/>
  <c r="N28" i="171"/>
  <c r="AH123" i="172"/>
  <c r="O55" i="170"/>
  <c r="O40" i="170"/>
  <c r="O17" i="169"/>
  <c r="AH25" i="172"/>
  <c r="O60" i="169"/>
  <c r="C59" i="169"/>
  <c r="AH31" i="172"/>
  <c r="N72" i="171"/>
  <c r="O36" i="170"/>
  <c r="O38" i="167" l="1"/>
  <c r="AH115" i="173"/>
  <c r="AH53" i="173"/>
  <c r="AH38" i="173"/>
  <c r="AH17" i="173"/>
  <c r="Q42" i="172"/>
  <c r="AC42" i="172"/>
  <c r="W42" i="172"/>
  <c r="K42" i="172"/>
  <c r="L42" i="172"/>
  <c r="U42" i="172"/>
  <c r="AH43" i="172"/>
  <c r="G42" i="172"/>
  <c r="O17" i="170"/>
  <c r="O51" i="170"/>
  <c r="W37" i="173"/>
  <c r="I37" i="173"/>
  <c r="Y37" i="173"/>
  <c r="V37" i="173"/>
  <c r="AC37" i="173"/>
  <c r="Z37" i="173"/>
  <c r="X37" i="173"/>
  <c r="L37" i="173"/>
  <c r="D37" i="173"/>
  <c r="AA37" i="173"/>
  <c r="E37" i="173"/>
  <c r="U37" i="173"/>
  <c r="T37" i="173"/>
  <c r="H37" i="173"/>
  <c r="J37" i="173"/>
  <c r="M37" i="173"/>
  <c r="AE37" i="173"/>
  <c r="C37" i="173"/>
  <c r="K37" i="173"/>
  <c r="F37" i="173"/>
  <c r="AB37" i="173"/>
  <c r="R37" i="173"/>
  <c r="N37" i="173"/>
  <c r="Q37" i="173"/>
  <c r="P37" i="173"/>
  <c r="O37" i="173"/>
  <c r="AD37" i="173"/>
  <c r="S37" i="173"/>
  <c r="AF37" i="173"/>
  <c r="G37" i="173"/>
  <c r="AD42" i="172"/>
  <c r="R42" i="172"/>
  <c r="AE42" i="172"/>
  <c r="AA42" i="172"/>
  <c r="O42" i="172"/>
  <c r="V42" i="172"/>
  <c r="H42" i="172"/>
  <c r="D42" i="172"/>
  <c r="AH122" i="172"/>
  <c r="Z42" i="172"/>
  <c r="S42" i="172"/>
  <c r="Y42" i="172"/>
  <c r="X42" i="172"/>
  <c r="F42" i="172"/>
  <c r="C42" i="172"/>
  <c r="AB42" i="172"/>
  <c r="T42" i="172"/>
  <c r="P42" i="172"/>
  <c r="I42" i="172"/>
  <c r="AF42" i="172"/>
  <c r="M42" i="172"/>
  <c r="AG42" i="172"/>
  <c r="N42" i="172"/>
  <c r="J42" i="172"/>
  <c r="AH58" i="172"/>
  <c r="E42" i="172"/>
  <c r="AH17" i="172"/>
  <c r="N70" i="171"/>
  <c r="D65" i="171" s="1"/>
  <c r="F32" i="169"/>
  <c r="K32" i="169"/>
  <c r="H32" i="169"/>
  <c r="G32" i="169"/>
  <c r="M32" i="169"/>
  <c r="I32" i="169"/>
  <c r="N32" i="169"/>
  <c r="E32" i="169"/>
  <c r="D32" i="169"/>
  <c r="J32" i="169"/>
  <c r="L32" i="169"/>
  <c r="C32" i="169"/>
  <c r="O59" i="169"/>
  <c r="P38" i="167" l="1"/>
  <c r="O35" i="170"/>
  <c r="E29" i="171"/>
  <c r="AH37" i="173"/>
  <c r="J14" i="171"/>
  <c r="E24" i="171"/>
  <c r="C19" i="171"/>
  <c r="C24" i="171"/>
  <c r="I29" i="171"/>
  <c r="F24" i="171"/>
  <c r="D14" i="171"/>
  <c r="J24" i="171"/>
  <c r="M19" i="171"/>
  <c r="G65" i="171"/>
  <c r="G19" i="171"/>
  <c r="I19" i="171"/>
  <c r="K65" i="171"/>
  <c r="J71" i="171"/>
  <c r="N19" i="171"/>
  <c r="I24" i="171"/>
  <c r="F14" i="171"/>
  <c r="L19" i="171"/>
  <c r="L29" i="171"/>
  <c r="L65" i="171"/>
  <c r="L24" i="171"/>
  <c r="L14" i="171"/>
  <c r="L71" i="171"/>
  <c r="AH42" i="172"/>
  <c r="I71" i="171"/>
  <c r="K24" i="171"/>
  <c r="M14" i="171"/>
  <c r="G24" i="171"/>
  <c r="C71" i="171"/>
  <c r="K19" i="171"/>
  <c r="D24" i="171"/>
  <c r="H71" i="171"/>
  <c r="H24" i="171"/>
  <c r="E65" i="171"/>
  <c r="K29" i="171"/>
  <c r="E14" i="171"/>
  <c r="E71" i="171"/>
  <c r="D71" i="171"/>
  <c r="F29" i="171"/>
  <c r="H19" i="171"/>
  <c r="J29" i="171"/>
  <c r="D29" i="171"/>
  <c r="G29" i="171"/>
  <c r="G14" i="171"/>
  <c r="K14" i="171"/>
  <c r="J19" i="171"/>
  <c r="D19" i="171"/>
  <c r="N14" i="171"/>
  <c r="E19" i="171"/>
  <c r="N29" i="171"/>
  <c r="H65" i="171"/>
  <c r="M71" i="171"/>
  <c r="M24" i="171"/>
  <c r="I14" i="171"/>
  <c r="F71" i="171"/>
  <c r="C65" i="171"/>
  <c r="F19" i="171"/>
  <c r="F65" i="171"/>
  <c r="I65" i="171"/>
  <c r="C14" i="171"/>
  <c r="J65" i="171"/>
  <c r="H14" i="171"/>
  <c r="C29" i="171"/>
  <c r="H29" i="171"/>
  <c r="G71" i="171"/>
  <c r="M65" i="171"/>
  <c r="M29" i="171"/>
  <c r="K71" i="171"/>
  <c r="N65" i="171"/>
  <c r="N24" i="171"/>
  <c r="N71" i="171"/>
  <c r="O32" i="169"/>
  <c r="G50" i="165"/>
  <c r="G48" i="165"/>
  <c r="E47" i="165"/>
  <c r="C47" i="165"/>
  <c r="G45" i="165"/>
  <c r="E44" i="165"/>
  <c r="C44" i="165"/>
  <c r="G42" i="165"/>
  <c r="G41" i="165"/>
  <c r="G39" i="165"/>
  <c r="G38" i="165"/>
  <c r="C37" i="165"/>
  <c r="G35" i="165"/>
  <c r="G34" i="165"/>
  <c r="C30" i="165"/>
  <c r="G32" i="165"/>
  <c r="G31" i="165"/>
  <c r="G26" i="165"/>
  <c r="G25" i="165"/>
  <c r="E24" i="165"/>
  <c r="C24" i="165"/>
  <c r="G22" i="165"/>
  <c r="G21" i="165"/>
  <c r="G20" i="165"/>
  <c r="E19" i="165"/>
  <c r="C19" i="165"/>
  <c r="C71" i="164"/>
  <c r="C66" i="164"/>
  <c r="C58" i="164"/>
  <c r="C54" i="164"/>
  <c r="C48" i="164"/>
  <c r="C41" i="164"/>
  <c r="C36" i="164"/>
  <c r="C28" i="164"/>
  <c r="C46" i="163"/>
  <c r="C40" i="163"/>
  <c r="C35" i="163"/>
  <c r="C18" i="163"/>
  <c r="D78" i="162"/>
  <c r="C78" i="162"/>
  <c r="D73" i="162"/>
  <c r="C73" i="162"/>
  <c r="D68" i="162"/>
  <c r="C68" i="162"/>
  <c r="D61" i="162"/>
  <c r="C61" i="162"/>
  <c r="D33" i="162"/>
  <c r="C33" i="162"/>
  <c r="D23" i="162"/>
  <c r="C23" i="162"/>
  <c r="C64" i="164" l="1"/>
  <c r="G44" i="165"/>
  <c r="G47" i="165"/>
  <c r="D29" i="162"/>
  <c r="C29" i="162"/>
  <c r="E37" i="165"/>
  <c r="E30" i="165"/>
  <c r="C28" i="165"/>
  <c r="G24" i="165"/>
  <c r="G19" i="165"/>
  <c r="D66" i="162"/>
  <c r="C66" i="162"/>
  <c r="C23" i="164"/>
  <c r="C17" i="165"/>
  <c r="G33" i="165"/>
  <c r="C19" i="164"/>
  <c r="E17" i="165"/>
  <c r="C26" i="164"/>
  <c r="C21" i="164"/>
  <c r="C16" i="163"/>
  <c r="C46" i="164"/>
  <c r="G40" i="165"/>
  <c r="H54" i="152"/>
  <c r="D54" i="152"/>
  <c r="C54" i="152"/>
  <c r="H49" i="152"/>
  <c r="D49" i="152"/>
  <c r="C49" i="152"/>
  <c r="H44" i="152"/>
  <c r="D44" i="152"/>
  <c r="C44" i="152"/>
  <c r="H39" i="152"/>
  <c r="D39" i="152"/>
  <c r="C39" i="152"/>
  <c r="H34" i="152"/>
  <c r="D34" i="152"/>
  <c r="C34" i="152"/>
  <c r="H29" i="152"/>
  <c r="D29" i="152"/>
  <c r="C29" i="152"/>
  <c r="H24" i="152"/>
  <c r="D24" i="152"/>
  <c r="C24" i="152"/>
  <c r="H19" i="152"/>
  <c r="D19" i="152"/>
  <c r="C19" i="152"/>
  <c r="H14" i="152"/>
  <c r="D14" i="152"/>
  <c r="C14" i="152"/>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D21" i="165" l="1"/>
  <c r="C13" i="162"/>
  <c r="D13" i="162"/>
  <c r="D52" i="165"/>
  <c r="D48" i="165"/>
  <c r="F21" i="165"/>
  <c r="D22" i="165"/>
  <c r="D26" i="165"/>
  <c r="F45" i="165"/>
  <c r="F25" i="165"/>
  <c r="F39" i="165"/>
  <c r="F41" i="165"/>
  <c r="D42" i="165"/>
  <c r="F42" i="165"/>
  <c r="F51" i="165"/>
  <c r="D25" i="165"/>
  <c r="F20" i="165"/>
  <c r="F31" i="165"/>
  <c r="D51" i="165"/>
  <c r="D39" i="165"/>
  <c r="F34" i="165"/>
  <c r="F48" i="165"/>
  <c r="D32" i="165"/>
  <c r="D41" i="165"/>
  <c r="D34" i="165"/>
  <c r="F32" i="165"/>
  <c r="F26" i="165"/>
  <c r="D45" i="165"/>
  <c r="D31" i="165"/>
  <c r="D20" i="165"/>
  <c r="D38" i="165"/>
  <c r="F38" i="165"/>
  <c r="D35" i="165"/>
  <c r="F22" i="165"/>
  <c r="F35" i="165"/>
  <c r="D47" i="165" l="1"/>
  <c r="D50" i="165"/>
  <c r="F50" i="165"/>
  <c r="H52" i="165"/>
  <c r="H48" i="165"/>
  <c r="D44" i="165"/>
  <c r="F44" i="165"/>
  <c r="H20" i="165"/>
  <c r="H51" i="165"/>
  <c r="H41" i="165"/>
  <c r="H21" i="165"/>
  <c r="H38" i="165"/>
  <c r="H45" i="165"/>
  <c r="D40" i="165"/>
  <c r="F47" i="165"/>
  <c r="H31" i="165"/>
  <c r="H39" i="165"/>
  <c r="F40" i="165"/>
  <c r="F19" i="165"/>
  <c r="H26" i="165"/>
  <c r="H42" i="165"/>
  <c r="H34" i="165"/>
  <c r="D24" i="165"/>
  <c r="H25" i="165"/>
  <c r="H32" i="165"/>
  <c r="H35" i="165"/>
  <c r="H22" i="165"/>
  <c r="D33" i="165"/>
  <c r="F24" i="165"/>
  <c r="D19" i="165"/>
  <c r="F33" i="165"/>
  <c r="H61" i="152"/>
  <c r="D61" i="152"/>
  <c r="C61" i="152"/>
  <c r="H60" i="152"/>
  <c r="D60" i="152"/>
  <c r="C60" i="152"/>
  <c r="H59" i="152" l="1"/>
  <c r="D59" i="152"/>
  <c r="H50" i="165"/>
  <c r="H24" i="165"/>
  <c r="H44" i="165"/>
  <c r="H47" i="165"/>
  <c r="F37" i="165"/>
  <c r="D37" i="165"/>
  <c r="H40" i="165"/>
  <c r="F17" i="165"/>
  <c r="F30" i="165"/>
  <c r="D30" i="165"/>
  <c r="H33" i="165"/>
  <c r="H19" i="165"/>
  <c r="D17" i="165"/>
  <c r="C59" i="152"/>
  <c r="H37" i="165" l="1"/>
  <c r="D28" i="165"/>
  <c r="H17" i="165"/>
  <c r="F28" i="165"/>
  <c r="H30" i="165"/>
  <c r="O61" i="152"/>
  <c r="O60" i="152"/>
  <c r="D15" i="165" l="1"/>
  <c r="H28" i="165"/>
  <c r="F15" i="165"/>
  <c r="O59" i="152"/>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9" i="128"/>
  <c r="C28" i="128"/>
  <c r="C27" i="128"/>
  <c r="C26" i="128"/>
  <c r="C25" i="128"/>
  <c r="C24" i="128"/>
  <c r="C23" i="128"/>
  <c r="C22" i="128"/>
  <c r="C21" i="128"/>
  <c r="C20" i="128"/>
  <c r="C19" i="128"/>
  <c r="C18" i="128"/>
  <c r="C17" i="128"/>
  <c r="C16" i="128"/>
  <c r="C15"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8" i="120" l="1"/>
  <c r="C22" i="120"/>
  <c r="C17" i="120" l="1"/>
  <c r="C15" i="120" l="1"/>
  <c r="C37" i="120" l="1"/>
  <c r="D89" i="162"/>
  <c r="C89" i="162"/>
  <c r="F19" i="42"/>
</calcChain>
</file>

<file path=xl/sharedStrings.xml><?xml version="1.0" encoding="utf-8"?>
<sst xmlns="http://schemas.openxmlformats.org/spreadsheetml/2006/main" count="2040" uniqueCount="945">
  <si>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</si>
  <si>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</si>
  <si>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</si>
  <si>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</si>
  <si>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</si>
  <si>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</si>
  <si>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</si>
  <si>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</si>
  <si>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</si>
  <si>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</si>
  <si>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</si>
  <si>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</si>
  <si>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</si>
  <si>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</si>
  <si>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</si>
  <si>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</si>
  <si>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BONO CUPÓN CERO DE 30 AÑOS DEL TESORO ESTADOUNIDENSE</t>
  </si>
  <si>
    <t>. GARANTÍA POR INTERESES</t>
  </si>
  <si>
    <t>. BONO CUPÓN CERO DEL KREDITANSTALT FUR WIEDERAUFBAU</t>
  </si>
  <si>
    <t>Par/$+CER/T.Fija/2038</t>
  </si>
  <si>
    <t>Par/U$S/T.Fija/2038</t>
  </si>
  <si>
    <t>Par/EUR/T.Fija/2038</t>
  </si>
  <si>
    <t>Par/JPY/T.Fija/2038</t>
  </si>
  <si>
    <t>Discount/$+CER/5,83%/2033</t>
  </si>
  <si>
    <t>Discount/U$S/8,28%/2033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</si>
  <si>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</si>
  <si>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</si>
  <si>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</si>
  <si>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</si>
  <si>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</si>
  <si>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</si>
  <si>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</si>
  <si>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</si>
  <si>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</si>
  <si>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</si>
  <si>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</si>
  <si>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</si>
  <si>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</si>
  <si>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</si>
  <si>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</si>
  <si>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</si>
  <si>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</si>
  <si>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</si>
  <si>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</si>
  <si>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</si>
  <si>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</si>
  <si>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</si>
  <si>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</si>
  <si>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</si>
  <si>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</si>
  <si>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</si>
  <si>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</si>
  <si>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</si>
  <si>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</si>
  <si>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</si>
  <si>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</si>
  <si>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</si>
  <si>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</si>
  <si>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</si>
  <si>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</si>
  <si>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</si>
  <si>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</si>
  <si>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</si>
  <si>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</si>
  <si>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</si>
  <si>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</si>
  <si>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</si>
  <si>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</si>
  <si>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</si>
  <si>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</si>
  <si>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</si>
  <si>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</si>
  <si>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</si>
  <si>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</si>
  <si>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</si>
  <si>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</si>
  <si>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</si>
  <si>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</si>
  <si>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</si>
  <si>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</si>
  <si>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</si>
  <si>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</si>
  <si>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</si>
  <si>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</si>
  <si>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</si>
  <si>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</si>
  <si>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</si>
  <si>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</si>
  <si>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</si>
  <si>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</si>
  <si>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</si>
  <si>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</si>
  <si>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</si>
  <si>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</si>
  <si>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</si>
  <si>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</si>
  <si>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</si>
  <si>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</si>
  <si>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</si>
  <si>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</si>
  <si>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</si>
  <si>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</si>
  <si>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</si>
  <si>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</si>
  <si>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</si>
  <si>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</si>
  <si>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</si>
  <si>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</si>
  <si>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</si>
  <si>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</si>
  <si>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</si>
  <si>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</si>
  <si>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</si>
  <si>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</si>
  <si>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</si>
  <si>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</si>
  <si>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</si>
  <si>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</si>
  <si>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</si>
  <si>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</si>
  <si>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</si>
  <si>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</si>
  <si>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</si>
  <si>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</si>
  <si>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</si>
  <si>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</si>
  <si>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</si>
  <si>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</si>
  <si>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</si>
  <si>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</si>
  <si>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</si>
  <si>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</si>
  <si>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</si>
  <si>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</si>
  <si>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</si>
  <si>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</si>
  <si>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</si>
  <si>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</si>
  <si>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</si>
  <si>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</si>
  <si>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</si>
  <si>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</si>
  <si>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</si>
  <si>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</si>
  <si>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</si>
  <si>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</si>
  <si>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</si>
  <si>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</si>
  <si>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</si>
  <si>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</si>
  <si>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</si>
  <si>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</si>
  <si>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</si>
  <si>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</si>
  <si>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</si>
  <si>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</si>
  <si>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</si>
  <si>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</si>
  <si>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</si>
  <si>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</si>
  <si>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</si>
  <si>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</si>
  <si>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</si>
  <si>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</si>
  <si>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</si>
  <si>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</si>
  <si>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</si>
  <si>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</si>
  <si>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</si>
  <si>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</si>
  <si>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</si>
  <si>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</si>
  <si>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</si>
  <si>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</si>
  <si>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</si>
  <si>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</si>
  <si>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</si>
  <si>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</si>
  <si>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</si>
  <si>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</si>
  <si>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</si>
  <si>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PAR BONDS/DEM/5,87%/2023</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</si>
  <si>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</si>
  <si>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</si>
  <si>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</si>
  <si>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</si>
  <si>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</si>
  <si>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</si>
  <si>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</si>
  <si>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</si>
  <si>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</si>
  <si>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</si>
  <si>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</si>
  <si>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</si>
  <si>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</si>
  <si>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</si>
  <si>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</si>
  <si>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</si>
  <si>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</si>
  <si>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</si>
  <si>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</si>
  <si>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</si>
  <si>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</si>
  <si>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</si>
  <si>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</si>
  <si>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</si>
  <si>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</si>
  <si>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</si>
  <si>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</si>
  <si>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</si>
  <si>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</si>
  <si>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</si>
  <si>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</si>
  <si>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</si>
  <si>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</si>
  <si>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</si>
  <si>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</si>
  <si>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</si>
  <si>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</si>
  <si>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</si>
  <si>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</si>
  <si>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</si>
  <si>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</si>
  <si>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</si>
  <si>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</si>
  <si>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</si>
  <si>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</si>
  <si>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</si>
  <si>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</si>
  <si>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</si>
  <si>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</si>
  <si>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</si>
  <si>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</si>
  <si>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</si>
  <si>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</si>
  <si>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</si>
  <si>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</si>
  <si>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</si>
  <si>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</si>
  <si>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</si>
  <si>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</si>
  <si>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</si>
  <si>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</si>
  <si>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</si>
  <si>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</si>
  <si>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</si>
  <si>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</si>
  <si>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</si>
  <si>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</si>
  <si>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</si>
  <si>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</si>
  <si>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</si>
  <si>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</si>
  <si>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</si>
  <si>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</si>
  <si>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</si>
  <si>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</si>
  <si>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</si>
  <si>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</si>
  <si>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</si>
  <si>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</si>
  <si>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</si>
  <si>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</si>
  <si>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</si>
  <si>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</si>
  <si>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</si>
  <si>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</si>
  <si>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</si>
  <si>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</si>
  <si>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</si>
  <si>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</si>
  <si>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</si>
  <si>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</si>
  <si>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</si>
  <si>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</si>
  <si>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</si>
  <si>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</si>
  <si>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</si>
  <si>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</si>
  <si>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</si>
  <si>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</si>
  <si>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</si>
  <si>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</si>
  <si>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</si>
  <si>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</si>
  <si>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</si>
  <si>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</si>
  <si>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</si>
  <si>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</si>
  <si>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</si>
  <si>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</si>
  <si>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</si>
  <si>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</si>
  <si>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</si>
  <si>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</si>
  <si>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</si>
  <si>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</si>
  <si>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</si>
  <si>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</si>
  <si>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</si>
  <si>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</si>
  <si>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</si>
  <si>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</si>
  <si>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I- TÍTULOS COLOCADOS</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</si>
  <si>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</si>
  <si>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</si>
  <si>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</si>
  <si>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</si>
  <si>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</si>
  <si>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</si>
  <si>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</si>
  <si>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</si>
  <si>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</si>
  <si>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</si>
  <si>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</si>
  <si>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</si>
  <si>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</si>
  <si>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</si>
  <si>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</si>
  <si>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</si>
  <si>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</si>
  <si>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</si>
  <si>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</si>
  <si>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</si>
  <si>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</si>
  <si>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</si>
  <si>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</si>
  <si>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</si>
  <si>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</si>
  <si>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</si>
  <si>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</si>
  <si>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</si>
  <si>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</si>
  <si>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</si>
  <si>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</si>
  <si>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</si>
  <si>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</si>
  <si>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</si>
  <si>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</si>
  <si>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</si>
  <si>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</si>
  <si>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</si>
  <si>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</si>
  <si>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</si>
  <si>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</si>
  <si>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</si>
  <si>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</si>
  <si>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BILATERALES</t>
  </si>
  <si>
    <t xml:space="preserve">    OTROS</t>
  </si>
  <si>
    <t>TÍTULOS PÚBLICOS, LETRAS DEL TESORO, PRÉSTAMOS GARANTIZADOS Y PAGARÉS</t>
  </si>
  <si>
    <t xml:space="preserve">    BANCA COMERCIAL </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</si>
  <si>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</si>
  <si>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</si>
  <si>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</si>
  <si>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</si>
  <si>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</si>
  <si>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</si>
  <si>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</si>
  <si>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</si>
  <si>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</si>
  <si>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</si>
  <si>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</si>
  <si>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PRÉSTAMOS GARANTIZADOS</t>
  </si>
  <si>
    <t xml:space="preserve">     Pagaré 2038 - B.N.A.</t>
  </si>
  <si>
    <t xml:space="preserve">    PAGARÉS DEL TESORO</t>
  </si>
  <si>
    <t xml:space="preserve"> POR LEGISLACIÓN, INSTRUMENTO Y SITUACIÓN</t>
  </si>
  <si>
    <t>I- LEGISLACIÓN ARGENTINA</t>
  </si>
  <si>
    <t>PRÉSTAMOS GARANTIZADOS</t>
  </si>
  <si>
    <t>BONOS DE CONSOLIDACIÓN</t>
  </si>
  <si>
    <t>BONOS DE LA REESTRUCTURACIÓN - DTO. 1735/04 y 563/10</t>
  </si>
  <si>
    <t xml:space="preserve">  Bonos de Consolidación en Moneda Nacional 8va. Serie</t>
  </si>
  <si>
    <t xml:space="preserve">  Bonos de Consolidación en Moneda Nacional ajustable por CER  6ta. Serie</t>
  </si>
  <si>
    <t>. CON CARGO AL MERCADO CENTRAL</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</si>
  <si>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</si>
  <si>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</si>
  <si>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</si>
  <si>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</si>
  <si>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</si>
  <si>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</si>
  <si>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</si>
  <si>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</si>
  <si>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</si>
  <si>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</si>
  <si>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</si>
  <si>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</si>
  <si>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</si>
  <si>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</si>
  <si>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</si>
  <si>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</si>
  <si>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</si>
  <si>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</si>
  <si>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</si>
  <si>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</si>
  <si>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</si>
  <si>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</si>
  <si>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</si>
  <si>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</si>
  <si>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</si>
  <si>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</si>
  <si>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</si>
  <si>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</si>
  <si>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</si>
  <si>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(2)  Intereses compensatorios estimados, devengados e impagos con posterioridad a la fecha de vencimiento de cada título.</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</si>
  <si>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</si>
  <si>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</si>
  <si>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</si>
  <si>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</si>
  <si>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</si>
  <si>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</si>
  <si>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</si>
  <si>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</si>
  <si>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</si>
  <si>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</si>
  <si>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</si>
  <si>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</si>
  <si>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</si>
  <si>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</si>
  <si>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</si>
  <si>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</si>
  <si>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</si>
  <si>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</si>
  <si>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</si>
  <si>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</si>
  <si>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</si>
  <si>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</si>
  <si>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</si>
  <si>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</si>
  <si>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DISCOUNT/DEM/L.+0,8125%/2023</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</si>
  <si>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</si>
  <si>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</si>
  <si>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</si>
  <si>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</si>
  <si>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</si>
  <si>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</si>
  <si>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</si>
  <si>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</si>
  <si>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</si>
  <si>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</si>
  <si>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</si>
  <si>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</si>
  <si>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</si>
  <si>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</si>
  <si>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</si>
  <si>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PAR/U$S/6%/2023</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</si>
  <si>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</si>
  <si>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</si>
  <si>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</si>
  <si>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</si>
  <si>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</si>
  <si>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</si>
  <si>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</si>
  <si>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</si>
  <si>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</si>
  <si>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</si>
  <si>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</si>
  <si>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</si>
  <si>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</si>
  <si>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</si>
  <si>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</si>
  <si>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</si>
  <si>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</si>
  <si>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</si>
  <si>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</si>
  <si>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</si>
  <si>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</si>
  <si>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</si>
  <si>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</si>
  <si>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</si>
  <si>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</si>
  <si>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</si>
  <si>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</si>
  <si>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</si>
  <si>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DISCOUNT/U$S/L.+0,8125%/2023</t>
  </si>
  <si>
    <t>Julio</t>
  </si>
  <si>
    <t>Agosto</t>
  </si>
  <si>
    <t>Septiembre</t>
  </si>
  <si>
    <t>MINISTERIO DE FINANZAS</t>
  </si>
  <si>
    <t>BONTE/$/15,50%/17-10-2026</t>
  </si>
  <si>
    <t>BONTE/$/16,00%/17-10-2023</t>
  </si>
  <si>
    <t xml:space="preserve">  Consolidación en Efectivo</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</si>
  <si>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</si>
  <si>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</si>
  <si>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</si>
  <si>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</si>
  <si>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</si>
  <si>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</si>
  <si>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</si>
  <si>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</si>
  <si>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</si>
  <si>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</si>
  <si>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</si>
  <si>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</si>
  <si>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</si>
  <si>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</si>
  <si>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</si>
  <si>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</si>
  <si>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Badlar Bancos Privados + 2,00%</t>
  </si>
  <si>
    <t>BONAR/U$S/5,75%/18-04-2025</t>
  </si>
  <si>
    <t>BONAR/U$S/7,625%/18-04-2037</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</si>
  <si>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</si>
  <si>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</si>
  <si>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</si>
  <si>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</si>
  <si>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</si>
  <si>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</si>
  <si>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</si>
  <si>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</si>
  <si>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 xml:space="preserve">. CON CARGO AL BANCO CENTRAL DE LA REPÚBLICA ARGENTINA </t>
  </si>
  <si>
    <t>. CON CARGO AL GOBIERNO DE LA CIUDAD AUTÓNOMA DE BUENOS AIRES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</si>
  <si>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</si>
  <si>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</si>
  <si>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</si>
  <si>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</si>
  <si>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</si>
  <si>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</si>
  <si>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</si>
  <si>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</si>
  <si>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</si>
  <si>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</si>
  <si>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</si>
  <si>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</si>
  <si>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</si>
  <si>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</si>
  <si>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</si>
  <si>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</si>
  <si>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(2) Incluye: Corona Danesa, Corona Sueca, Dólar Canadiense, Dólar Australiano, Dinar Kuwaití y Dirham de los Emiratos Árabes Unidos. </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</si>
  <si>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</si>
  <si>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</si>
  <si>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</si>
  <si>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</si>
  <si>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</si>
  <si>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</si>
  <si>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</si>
  <si>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</si>
  <si>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</si>
  <si>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</si>
  <si>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</si>
  <si>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</si>
  <si>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</si>
  <si>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</si>
  <si>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</si>
  <si>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</si>
  <si>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</si>
  <si>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</si>
  <si>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</si>
  <si>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</si>
  <si>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</si>
  <si>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</si>
  <si>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</si>
  <si>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</si>
  <si>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</si>
  <si>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</si>
  <si>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</si>
  <si>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</si>
  <si>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ACTIVOS FINANCIEROS RELACIONADOS CON DEUDA ELEGIBLE PENDIENTE DE REESTRUCTURACIÓN</t>
  </si>
  <si>
    <t>Enero</t>
  </si>
  <si>
    <t xml:space="preserve">       Letras en Garantía</t>
  </si>
  <si>
    <t>BONAR/$/BADLAR+200PB/03-04-2022</t>
  </si>
  <si>
    <t>Tasa Badlar Pública</t>
  </si>
  <si>
    <t>BONAR/U$S/8,75%/07-05-2024</t>
  </si>
  <si>
    <t xml:space="preserve">PAR/$+CER/TASA FIJA/31-12-2038/DTO. 1735-04 </t>
  </si>
  <si>
    <t>PAR/$+CER/TASA FIJA/31-12-2038/DTO. 563-10</t>
  </si>
  <si>
    <t>DISCOUNT/$+CER/5,83%/31-12-2033/DTO. 1735-04</t>
  </si>
  <si>
    <t>DISCOUNT/$+CER/5,83%/31-12-2033/DTO. 563-10</t>
  </si>
  <si>
    <t>CUASIPAR/$+CER/3,31%/31-12-2045/DTO. 1735-04</t>
  </si>
  <si>
    <t>PAR/U$S/TASA FIJA/31-12-2038/DTO. 1735-04/LEY ARG</t>
  </si>
  <si>
    <t>PAR/U$S/TASA FIJA/31-12-2038/DTO. 563-10/LEY NY</t>
  </si>
  <si>
    <t>PAR/U$S/TASA FIJA/31-12-2038/DTO. 563-10/LEY ARG</t>
  </si>
  <si>
    <t>PAR/EUR/TASA FIJA/31-12-2038/DTO. 563-10</t>
  </si>
  <si>
    <t>PAR/JPY/TASA FIJA/31-12-2038/DTO. 1735-04</t>
  </si>
  <si>
    <t>PAR/JPY/TASA FIJA/31-12-2038/DTO. 563-10</t>
  </si>
  <si>
    <t>DISCOUNT/JPY/4,33%/31-12-2033/DTO. 1735-04</t>
  </si>
  <si>
    <t>DISCOUNT/JPY/4,33%/31-12-2033/DTO. 563-10</t>
  </si>
  <si>
    <t>LETRAS EN GARANTIA</t>
  </si>
  <si>
    <t>Libor-1,00%</t>
  </si>
  <si>
    <t xml:space="preserve">   - FMI</t>
  </si>
  <si>
    <t>LETRA/U$S/FOI/28-06-2022</t>
  </si>
  <si>
    <t>LETRA/U$S/FOI/25-08-2024</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</si>
  <si>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</si>
  <si>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</si>
  <si>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</si>
  <si>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</si>
  <si>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</si>
  <si>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</si>
  <si>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</si>
  <si>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BONCER/$+CER/4,00%/06-03-2023</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</si>
  <si>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</si>
  <si>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</si>
  <si>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</si>
  <si>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</si>
  <si>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</si>
  <si>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</si>
  <si>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</si>
  <si>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</si>
  <si>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</si>
  <si>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</si>
  <si>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</si>
  <si>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BONCER/$+CER/8,50%/29-11-2022</t>
  </si>
  <si>
    <t>2018 (1)</t>
  </si>
  <si>
    <t xml:space="preserve">     FUCO</t>
  </si>
  <si>
    <t>PR13/$+CER/2,00%/15-03-2024</t>
  </si>
  <si>
    <t>(2) Incluye: Libras esterlinas, Franco Suizo, Corona Danesa, Corona Sueca, Dólar Canadiense, Dinar Kuwaiti, Dólar Australiano y Dirham de Emiratos Árabes Unidos.</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</si>
  <si>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</si>
  <si>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</si>
  <si>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</si>
  <si>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</si>
  <si>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</si>
  <si>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</si>
  <si>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</si>
  <si>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</si>
  <si>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</si>
  <si>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</si>
  <si>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</si>
  <si>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</si>
  <si>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</si>
  <si>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</si>
  <si>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</si>
  <si>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</si>
  <si>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</si>
  <si>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</si>
  <si>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</si>
  <si>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</si>
  <si>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</si>
  <si>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</si>
  <si>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</si>
  <si>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</si>
  <si>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</si>
  <si>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</si>
  <si>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</si>
  <si>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</si>
  <si>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</si>
  <si>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</si>
  <si>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</si>
  <si>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</si>
  <si>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</si>
  <si>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</si>
  <si>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</si>
  <si>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</si>
  <si>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</si>
  <si>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</si>
  <si>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</si>
  <si>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</si>
  <si>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</si>
  <si>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</si>
  <si>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</si>
  <si>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</si>
  <si>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</si>
  <si>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</si>
  <si>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</si>
  <si>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</si>
  <si>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</si>
  <si>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</si>
  <si>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</si>
  <si>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</si>
  <si>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</si>
  <si>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</si>
  <si>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</si>
  <si>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</si>
  <si>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</si>
  <si>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</si>
  <si>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</si>
  <si>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</si>
  <si>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</si>
  <si>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GARANTÍAS PLAN BRADY  (2)</t>
  </si>
  <si>
    <t>(2) Datos provisorios</t>
  </si>
  <si>
    <t>DISCOUNT/USD/8,28%/31-12-2033/DTO. 1735-04/LEY ARG</t>
  </si>
  <si>
    <t>DISCOUNT/USD/8,28%/31-12-2033/DTO. 563-10/LEY ARG</t>
  </si>
  <si>
    <t xml:space="preserve">          · Bonos de consolidación</t>
  </si>
  <si>
    <t>Capitalización de Bonos del Canje, Préstamos Garantizados, Pagaré Banco Nación, Bonos de consolidación y Otros</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</si>
  <si>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</si>
  <si>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</si>
  <si>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</si>
  <si>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</si>
  <si>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</si>
  <si>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</si>
  <si>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</si>
  <si>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</si>
  <si>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</si>
  <si>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</si>
  <si>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</si>
  <si>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6. AVALES</t>
  </si>
  <si>
    <t>7. DEUDA EN SITUACIÓN DE PAGO DIFERIDO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</si>
  <si>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</si>
  <si>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</si>
  <si>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</si>
  <si>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</si>
  <si>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</si>
  <si>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</si>
  <si>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</si>
  <si>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</si>
  <si>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</si>
  <si>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</si>
  <si>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</si>
  <si>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</si>
  <si>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</si>
  <si>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</si>
  <si>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</si>
  <si>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BONCER/$/1,20%+CER/18-03-2022</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</si>
  <si>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</si>
  <si>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</si>
  <si>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</si>
  <si>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</si>
  <si>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</si>
  <si>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</si>
  <si>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</si>
  <si>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</si>
  <si>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</si>
  <si>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</si>
  <si>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</si>
  <si>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</si>
  <si>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</si>
  <si>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</si>
  <si>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</si>
  <si>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</si>
  <si>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</si>
  <si>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</si>
  <si>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</si>
  <si>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</si>
  <si>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</si>
  <si>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</si>
  <si>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</si>
  <si>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</si>
  <si>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</si>
  <si>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</si>
  <si>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</si>
  <si>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</si>
  <si>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</si>
  <si>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</si>
  <si>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</si>
  <si>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</si>
  <si>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</si>
  <si>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</si>
  <si>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</si>
  <si>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</si>
  <si>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</si>
  <si>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</si>
  <si>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Se trata de la deuda elegible y no presentada al canje (Dtos. 1735/04 y 563/10) y no cancelada a la fecha en el marco de los acuerdos contemplados en la Ley n° 27.249.</t>
  </si>
  <si>
    <t>PR15/$/BADLAR/04-10-2022</t>
  </si>
  <si>
    <t>BONAR/DLK/4,50%U$S-2,35%$/13-02-2020 (3)</t>
  </si>
  <si>
    <t>4,50% U$S</t>
  </si>
  <si>
    <t>BONO CONSOLIDADO/$/02-01-2089</t>
  </si>
  <si>
    <t>BONTE 2022/$/22%/21-05-22</t>
  </si>
  <si>
    <t>BONAR/U$S/8,00%/08-10-2020</t>
  </si>
  <si>
    <t>BONAR/U$S/1,00%/05-08-2023</t>
  </si>
  <si>
    <t>LETES/U$S/17-01-2020 (R)</t>
  </si>
  <si>
    <t>LETES/U$S/31-01-2020 (R)</t>
  </si>
  <si>
    <t>LETES/U$S/14-02-2020 (R)</t>
  </si>
  <si>
    <t>LETES/U$S/28-02-2020 (R)</t>
  </si>
  <si>
    <t>LETRA/U$S/MENDOZA/28-10-2024</t>
  </si>
  <si>
    <t>LETES/U$S/30-08-2019 (R)</t>
  </si>
  <si>
    <t>LETES/U$S/13-09-2019 (R)</t>
  </si>
  <si>
    <t>LETES/U$S/27-09-2019 (R)</t>
  </si>
  <si>
    <t>LETES/U$S/11-10-2019 (R)</t>
  </si>
  <si>
    <t>LETES/U$S/25-10-2019 (R)</t>
  </si>
  <si>
    <t>LETES/U$S/15-11-2019 (R)</t>
  </si>
  <si>
    <t>LETES/U$S/29-11-2019 (R)</t>
  </si>
  <si>
    <t>LETES/U$S/20-12-2019 (R)</t>
  </si>
  <si>
    <t>LETRA/U$S/FDA/TITULOS/20-04-2022</t>
  </si>
  <si>
    <t>LETRA/U$S/FDA/TITULOS/16-01-2023</t>
  </si>
  <si>
    <t>LETRA/U$S/FDA/TITULOS/30-01-2024</t>
  </si>
  <si>
    <t>LETRA/U$S/FDA/TITULOS/01-06-2025</t>
  </si>
  <si>
    <t>LETRA/U$S/BCRA/29-04-2026</t>
  </si>
  <si>
    <t xml:space="preserve"> · Otros</t>
  </si>
  <si>
    <t>· Otros</t>
  </si>
  <si>
    <t>LETRA/U$S/BCRA/30-12-2029</t>
  </si>
  <si>
    <t>LETRA/U$S/BCRA/20-04-2030</t>
  </si>
  <si>
    <t>BONTE/$/22,00%/21-05-2022</t>
  </si>
  <si>
    <t>BONTE/DLK/4,00%/05-08-2021 (3)</t>
  </si>
  <si>
    <t>LELINKS/DLK/4,25%/04-12-2019 (3)</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</si>
  <si>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</si>
  <si>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</si>
  <si>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</si>
  <si>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</si>
  <si>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</si>
  <si>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</si>
  <si>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</si>
  <si>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</si>
  <si>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</si>
  <si>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</si>
  <si>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</si>
  <si>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</si>
  <si>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</si>
  <si>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</si>
  <si>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</si>
  <si>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</si>
  <si>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</si>
  <si>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(2) A partir del año 2052 el total de servicios corresponde a los vencimientos del Bono del Tesoro Consolidado $ 2089.</t>
  </si>
  <si>
    <t xml:space="preserve"> 1 - Financiamiento, canjes y emisiones</t>
  </si>
  <si>
    <t xml:space="preserve"> 2 - Amortizaciones, canjes y cancelaciones</t>
  </si>
  <si>
    <t xml:space="preserve"> a) Operaciones netas del período ( 1 - 2 )</t>
  </si>
  <si>
    <t>LETRA/DLK/CMEA/21-09-2022 (3)</t>
  </si>
  <si>
    <t>BONCER/$+CER/1,20%/18-03-2022</t>
  </si>
  <si>
    <t>BONCER/$+CER/1,40%/25-03-2023</t>
  </si>
  <si>
    <t>BONCER/$+CER/1,50%/25-03-2024</t>
  </si>
  <si>
    <t>BONCER/$+CER/1,30%/20-09-2022</t>
  </si>
  <si>
    <t>BONCER/$+CER//1,45%/13-08-2023</t>
  </si>
  <si>
    <t>BONCER/$+CER/2%/09-11-2026</t>
  </si>
  <si>
    <t>BONCER/$+CER/2,25%/09-11-2028</t>
  </si>
  <si>
    <t>Perfil mensual de vencimientos de capital de la Deuda Bruta de la Administración Central, desagregado por instrumento - 2022</t>
  </si>
  <si>
    <t>Perfil mensual de vencimientos de interés de la Deuda Bruta de la Administración Central, desagregado por instrumento - 2022</t>
  </si>
  <si>
    <t xml:space="preserve">           Tasa Cero</t>
  </si>
  <si>
    <t>Saldo al 31/12/2020</t>
  </si>
  <si>
    <t>BONAR/DLK/4,50%U$S-2,35%$/13-02-2020</t>
  </si>
  <si>
    <t>BONTE/DLK/4,00%/05-08-2021</t>
  </si>
  <si>
    <t>BONTE 2022/DLK/0,10%/29-04-2022</t>
  </si>
  <si>
    <t xml:space="preserve"> Par/U$S/T.Fija/2038</t>
  </si>
  <si>
    <t>2020 (1)</t>
  </si>
  <si>
    <t xml:space="preserve">  PAGARÉS DEL TESORO</t>
  </si>
  <si>
    <t>I - DEUDA BRUTA (EXCLUIDA LA ELEGIBLE PENDIENTE DE REESTRUCTURACIÓN), AL 31/12/2020</t>
  </si>
  <si>
    <t>II - DEUDA ELEGIBLE PENDIENTE DE REESTRUCTURACIÓN, AL 31/12/2020 (*)</t>
  </si>
  <si>
    <t>III - DEUDA BRUTA, AL 31/12/2020 (I + II)</t>
  </si>
  <si>
    <t>ORGANISMOS INTERNACIONALES - FLUJOS NETOS 1993 - 2021</t>
  </si>
  <si>
    <t>(3) A partir del año 2053 el total de servicios corresponde al Bono del Tesoro Consolidado 2089.</t>
  </si>
  <si>
    <t>BONTE/$/BADLAR+525PB/06-02-23</t>
  </si>
  <si>
    <t>Badlar Bancos Privados + 5,25%</t>
  </si>
  <si>
    <t>BONCER/$/1,55%+CER/26-07-2024</t>
  </si>
  <si>
    <t>LETES/$+CER/28-02-2022</t>
  </si>
  <si>
    <t>LETES/$+CER/31-03-2022</t>
  </si>
  <si>
    <t>LETRA/U$S/BCRA/07-01-2031</t>
  </si>
  <si>
    <t xml:space="preserve"> Par/$+CER/T.Fija/2038</t>
  </si>
  <si>
    <t xml:space="preserve">  Emisión Canje 2005</t>
  </si>
  <si>
    <t xml:space="preserve">  Emisión Canje 2010</t>
  </si>
  <si>
    <t xml:space="preserve">    Leg. Nueva York</t>
  </si>
  <si>
    <t xml:space="preserve">    Leg. Argentina</t>
  </si>
  <si>
    <t xml:space="preserve"> Leg. Nueva York</t>
  </si>
  <si>
    <t xml:space="preserve"> Leg. Argentina</t>
  </si>
  <si>
    <t>Saldo al 31/03/2021</t>
  </si>
  <si>
    <t>Fuente: Elaboración propia en base a datos de la Dirección Nacional de Cuentas Nacionales (INDEC) y el Ministerio de Economía.</t>
  </si>
  <si>
    <t>A.2.4</t>
  </si>
  <si>
    <t>Deuda Bruta de la Administración Central - Flujos y variaciones acumulados 2021</t>
  </si>
  <si>
    <t>TÍtulos del Tesoro</t>
  </si>
  <si>
    <t>Títulos del Tesoro</t>
  </si>
  <si>
    <t>BONTE/DLK/0,20%/30-11-2022 (3)</t>
  </si>
  <si>
    <t>LETES/$/31-12-2021</t>
  </si>
  <si>
    <t>LETES/$+CER/18-04-2022</t>
  </si>
  <si>
    <t>LETES/$+CER/23-05-2022</t>
  </si>
  <si>
    <t>LETES/$+CER/30-06-2022</t>
  </si>
  <si>
    <t>LETES/$+CER/31-12-2021</t>
  </si>
  <si>
    <t>BONTE/DLK/0,20%/30-11-2022</t>
  </si>
  <si>
    <t>Saldo al 30/06/2021</t>
  </si>
  <si>
    <t>BONTE/$/BADLAR/05-07-2030</t>
  </si>
  <si>
    <t>BONTE/$/BADLAR+400PB/17-08-31</t>
  </si>
  <si>
    <t>Badlar Bancos Privados + 4,00%</t>
  </si>
  <si>
    <t>BONTE/DLK/0,30%/28-04-2023 (3)</t>
  </si>
  <si>
    <t>LETES/$/31-01-2022</t>
  </si>
  <si>
    <t>LETES/$/28-02-2022</t>
  </si>
  <si>
    <t>LETRA/$/INTRA SP/03-01-2022</t>
  </si>
  <si>
    <t>LETES/$+CER/29-07-2022</t>
  </si>
  <si>
    <t>LETRA/U$S/INTRA SP/07-03-2022</t>
  </si>
  <si>
    <t>LETRA/U$S/BCRA/21-09-2031</t>
  </si>
  <si>
    <t>BONTE/DLK/0,30%/28-04-2023</t>
  </si>
  <si>
    <t xml:space="preserve"> · Bonos de Consolidación</t>
  </si>
  <si>
    <t>· Bonos de Consolidación</t>
  </si>
  <si>
    <t>Saldo al 30/09/2021</t>
  </si>
  <si>
    <r>
      <t>CORTO PLAZO</t>
    </r>
    <r>
      <rPr>
        <b/>
        <i/>
        <sz val="11"/>
        <rFont val="Encode Sans"/>
      </rPr>
      <t xml:space="preserve"> (1)</t>
    </r>
  </si>
  <si>
    <r>
      <t>VII- VALORES NEGOCIABLES VINCULADOS AL PBI</t>
    </r>
    <r>
      <rPr>
        <b/>
        <i/>
        <sz val="12"/>
        <color indexed="9"/>
        <rFont val="Encode Sans"/>
      </rPr>
      <t xml:space="preserve"> (6)</t>
    </r>
  </si>
  <si>
    <t>Otras Operaciones (Registro CCF, amparos y excepciones y otros ajustes)</t>
  </si>
  <si>
    <t>Deuda al 31/12/2021: nivel y composición</t>
  </si>
  <si>
    <t>Datos al 31/12/2021</t>
  </si>
  <si>
    <t xml:space="preserve">    PAGARES</t>
  </si>
  <si>
    <t>A.2.5</t>
  </si>
  <si>
    <t>Serie de la Deuda del Sector Público Nacional por año - 1992/2021</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</si>
  <si>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</si>
  <si>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</si>
  <si>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</si>
  <si>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</si>
  <si>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</si>
  <si>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</si>
  <si>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</si>
  <si>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</si>
  <si>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</si>
  <si>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</si>
  <si>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</si>
  <si>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</si>
  <si>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</si>
  <si>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</si>
  <si>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</si>
  <si>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</si>
  <si>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</si>
  <si>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Deuda Bruta de la Administración Central - Serie de saldos trimestrales - 4to. Trimestre 2020/4to. Trimestre 2021</t>
  </si>
  <si>
    <t xml:space="preserve">Deuda Bruta de la Administración Central - Flujos y variaciones 4to. Trimestre 2021  </t>
  </si>
  <si>
    <t>Vencimientos de capital e interés de la deuda al 31-12-2021 proyectados</t>
  </si>
  <si>
    <t>Perfil mensual de vencimientos de capital e interés de la Deuda Bruta de la Administración Central - 01/2022 a 12/2022</t>
  </si>
  <si>
    <t>Perfil mensual de vencimientos de capital de la Deuda Bruta de la Administración Central, desagregado por instrumento - 2023</t>
  </si>
  <si>
    <t>Perfil mensual de vencimientos de interés de la Deuda Bruta de la Administración Central, desagregado por instrumento - 2023</t>
  </si>
  <si>
    <t>Datos al  31/12/2021</t>
  </si>
  <si>
    <t>AL 31/12/2021</t>
  </si>
  <si>
    <t>Saldo al 31/12/2021</t>
  </si>
  <si>
    <t>DATOS AL 31/12/2021</t>
  </si>
  <si>
    <t>BONTE /$/ BADLAR/22-12-2026</t>
  </si>
  <si>
    <t>(1) Valor nominal original (VNO) menos amortizaciones vencidas. Surge de multiplicar el VNO por el valor residual al 31-12-2021.</t>
  </si>
  <si>
    <t>(2) Surge de multiplicar el valor nominal residual por el coeficiente de capitalización al 31-12-2021.</t>
  </si>
  <si>
    <t>LETES/$/31-03-2022</t>
  </si>
  <si>
    <t>LETES/$/29-04-2022</t>
  </si>
  <si>
    <t>LELITE/30 DIAS/$/14-01-2022</t>
  </si>
  <si>
    <t>LETES/$/31-05-2022</t>
  </si>
  <si>
    <t>LETRA/$/INTRA SP/01-04-2022</t>
  </si>
  <si>
    <t>LELITE/16 DIAS/$/31-12-2021</t>
  </si>
  <si>
    <t>LETES/$+CER/16-08-2022</t>
  </si>
  <si>
    <t>(2) Valor nominal original (VNO) menos amortizaciones vencidas.  Surge de multiplicar el VNO por el valor residual al 31-12-2021.</t>
  </si>
  <si>
    <t>(3) Surge de multiplicar el valor nominal residual por el coeficiente de capitalización y el coeficiente de estabilización de referencia al 31-12-2021.</t>
  </si>
  <si>
    <t>(1) Valor nominal original (VNO) menos amortizaciones vencidas.  Surge de multiplicar el VNO por el valor residual al 31-12-2021.</t>
  </si>
  <si>
    <t>PAG.CUT 2021-M. INT.</t>
  </si>
  <si>
    <t>PAG.CUT 2021-S.SEGUR</t>
  </si>
  <si>
    <t>PAG.CUT 2021-INTA</t>
  </si>
  <si>
    <t>PAG.CUT 2021-ENACOM</t>
  </si>
  <si>
    <t>(En miles de U$S - Tipo de cambio 31/12/2021)</t>
  </si>
  <si>
    <t>PERIODO PROYECTADO ENERO 2022 A DICIEMBRE 2022</t>
  </si>
  <si>
    <t>(En millones de U$S - Stock de deuda y tipo de cambio 31/12/2021)</t>
  </si>
  <si>
    <t>Pagarés</t>
  </si>
  <si>
    <t>. En moneda nacional no ajustable por CER</t>
  </si>
  <si>
    <t>Pagaré CUT</t>
  </si>
  <si>
    <t>2032/2089 (3)</t>
  </si>
  <si>
    <t>(2) Como porcentaje del total de los servicios proyectados (capital mas interés) para el período 01/01/2022 - 31/12/2089.</t>
  </si>
  <si>
    <t>2052-2089 (2)</t>
  </si>
  <si>
    <t xml:space="preserve"> . En moneda nacional no ajustable por CER</t>
  </si>
  <si>
    <t xml:space="preserve"> Pagaré CUT</t>
  </si>
  <si>
    <t>2052-2089</t>
  </si>
  <si>
    <r>
      <t>(1) Nota Metodológica:</t>
    </r>
    <r>
      <rPr>
        <sz val="10"/>
        <rFont val="Encode Sans"/>
      </rPr>
      <t xml:space="preserve"> Cálculo realizado sobre la deuda en situación de pago normal. Se aplican las tasas de referencia vigentes al 31/12/2021, incluyendo la tasa "plena" en aquellos instrumentos que capitalizan parte de los intereses que devengan.</t>
    </r>
  </si>
  <si>
    <t>ACUMULADO AL 31/12/2021</t>
  </si>
  <si>
    <t>Valor actualizado en miles de u$s al 31/12/2021</t>
  </si>
  <si>
    <t>III- DEUDA EN SITUACIÓN DE PAGO DIFERIDO</t>
  </si>
  <si>
    <t>IV- DEUDA ELEGIBLE PENDIENTE DE REESTRUCTURACIÓN</t>
  </si>
  <si>
    <t>2021 (1)</t>
  </si>
  <si>
    <t>BONTE/DLK/0,10%/29-04-2022 (3)</t>
  </si>
  <si>
    <t>BONTE/$/BADLAR+525PB/06-02-2023</t>
  </si>
  <si>
    <t>BONTE/$/BADLAR+400PB/17-08-2031</t>
  </si>
  <si>
    <t>BONCER/$+CER/1,55%/26-07-2024</t>
  </si>
  <si>
    <t>LETRA/U$S/FOI/16-08-2023</t>
  </si>
  <si>
    <t>4to. TRIMESTRE DE 2021</t>
  </si>
  <si>
    <t>I - DEUDA BRUTA (EXCLUIDA LA ELEGIBLE PENDIENTE DE REESTRUCTURACIÓN), AL 30/09/2021</t>
  </si>
  <si>
    <t>II - DEUDA ELEGIBLE PENDIENTE DE REESTRUCTURACIÓN, AL 30/09/2021 (*)</t>
  </si>
  <si>
    <t>III - DEUDA BRUTA, AL 30/09/2021 (I + II)</t>
  </si>
  <si>
    <t>V - DEUDA BRUTA, AL 31/12/2021 (III + IV)</t>
  </si>
  <si>
    <t>VI - DEUDA ELEGIBLE PENDIENTE DE REESTRUCTURACIÓN, AL 31/12/2021 (*)</t>
  </si>
  <si>
    <t>VII - DEUDA BRUTA (EXCLUIDA LA ELEGIBLE PENDIENTE DE REESTRUCTURACIÓN), AL 31/12/2021 (V - VI)</t>
  </si>
  <si>
    <t>TItulos del Tesoro</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</si>
  <si>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</si>
  <si>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</si>
  <si>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</si>
  <si>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</si>
  <si>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ACUMULADO ENERO 2021 - DICIEMBRE 2021</t>
  </si>
  <si>
    <t>2027 y +</t>
  </si>
  <si>
    <t>En millones de u$s - Stock y tipo de cambio al 31/12/2021</t>
  </si>
  <si>
    <t>Stock al 31/12/2021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</si>
</sst>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9">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_-* #,##0.000\ _P_t_s_-;\-* #,##0.000\ _P_t_s_-;_-* &quot;-&quot;\ _P_t_s_-;_-@_-"/>
    <numFmt numFmtId="189" formatCode="#,"/>
    <numFmt numFmtId="190" formatCode="#,##0.000"/>
    <numFmt numFmtId="191" formatCode="_-* #,##0\ _$_-;\-* #,##0\ _$_-;_-* &quot;-&quot;\ _$_-;_-@_-"/>
    <numFmt numFmtId="192" formatCode="_-* #,##0\ _D_l_s_-;\-* #,##0\ _D_l_s_-;_-* &quot;-&quot;\ _D_l_s_-;_-@_-"/>
    <numFmt numFmtId="193" formatCode="_-* #,##0.00000\ _€_-;\-* #,##0.00000\ _€_-;_-* &quot;-&quot;??\ _€_-;_-@_-"/>
    <numFmt numFmtId="194" formatCode="_-* #,##0.00\ _P_t_a_-;\-* #,##0.00\ _P_t_a_-;_-* &quot;-&quot;??\ _P_t_a_-;_-@_-"/>
    <numFmt numFmtId="195" formatCode="_ * #,##0.0000_ ;_ * \-#,##0.0000_ ;_ * &quot;-&quot;????_ ;_ @_ "/>
    <numFmt numFmtId="196" formatCode="_-* #,##0\ _P_t_s_-;\-* #,##0\ _P_t_s_-;_-* &quot;-&quot;??\ _P_t_s_-;_-@_-"/>
    <numFmt numFmtId="197" formatCode="_(* #,##0.000_);_(* \(#,##0.000\);_(* &quot;-&quot;_);_(@_)"/>
    <numFmt numFmtId="198" formatCode="0.00000"/>
    <numFmt numFmtId="199" formatCode="_-* #,##0.00\ [$€]_-;\-* #,##0.00\ [$€]_-;_-* &quot;-&quot;??\ [$€]_-;_-@_-"/>
    <numFmt numFmtId="200" formatCode="_ * #,##0.00_ ;_ * \-#,##0.00_ ;_ * &quot;-&quot;????_ ;_ @_ "/>
    <numFmt numFmtId="201" formatCode="_ * #,##0_ ;_ * \-#,##0_ ;_ * &quot;-&quot;??_ ;_ @_ "/>
    <numFmt numFmtId="202" formatCode="_-* #,##0.0\ _P_t_a_-;\-* #,##0.0\ _P_t_a_-;_-* &quot;-&quot;??\ _P_t_a_-;_-@_-"/>
    <numFmt numFmtId="203" formatCode="_-* #,##0.000000\ _P_t_s_-;\-* #,##0.000000\ _P_t_s_-;_-* &quot;-&quot;??\ _P_t_s_-;_-@_-"/>
    <numFmt numFmtId="204" formatCode="0.000%"/>
    <numFmt numFmtId="205" formatCode="_-* #,##0.0000\ _P_t_s_-;\-* #,##0.0000\ _P_t_s_-;_-* &quot;-&quot;??\ _P_t_s_-;_-@_-"/>
    <numFmt numFmtId="206" formatCode="_ * #,##0.00000_ ;_ * \-#,##0.00000_ ;_ * &quot;-&quot;_ ;_ @_ "/>
    <numFmt numFmtId="207" formatCode="_-* #,##0.000\ _P_t_s_-;\-* #,##0.000\ _P_t_s_-;_-* &quot;-&quot;??\ _P_t_s_-;_-@_-"/>
    <numFmt numFmtId="208" formatCode="_-* #,##0.0000000\ _P_t_s_-;\-* #,##0.0000000\ _P_t_s_-;_-* &quot;-&quot;??\ _P_t_s_-;_-@_-"/>
    <numFmt numFmtId="209" formatCode="_-* #,##0.00\ _P_t_a_-;\-* #,##0.00\ _P_t_a_-;_-* &quot;-&quot;\ _P_t_a_-;_-@_-"/>
    <numFmt numFmtId="210" formatCode="#,##0_ ;\-#,##0\ "/>
    <numFmt numFmtId="211" formatCode="0.0000%"/>
    <numFmt numFmtId="212" formatCode="0.00000000000000%"/>
    <numFmt numFmtId="213" formatCode="_-* #,##0.000000000000\ _P_t_s_-;\-* #,##0.000000000000\ _P_t_s_-;_-* &quot;-&quot;??\ _P_t_s_-;_-@_-"/>
    <numFmt numFmtId="214" formatCode="_-* #,##0.000\ _P_t_a_-;\-* #,##0.000\ _P_t_a_-;_-* &quot;-&quot;\ _P_t_a_-;_-@_-"/>
    <numFmt numFmtId="215" formatCode="_-* #,##0.0000000000\ _P_t_s_-;\-* #,##0.0000000000\ _P_t_s_-;_-* &quot;-&quot;??\ _P_t_s_-;_-@_-"/>
    <numFmt numFmtId="216" formatCode="_-* #,##0.00000\ _P_t_s_-;\-* #,##0.00000\ _P_t_s_-;_-* &quot;-&quot;??\ _P_t_s_-;_-@_-"/>
    <numFmt numFmtId="217" formatCode="_-* #,##0.00000000\ _P_t_s_-;\-* #,##0.00000000\ _P_t_s_-;_-* &quot;-&quot;??\ _P_t_s_-;_-@_-"/>
    <numFmt numFmtId="218" formatCode="_-* #,##0.000000000\ _P_t_s_-;\-* #,##0.000000000\ _P_t_s_-;_-* &quot;-&quot;??\ _P_t_s_-;_-@_-"/>
    <numFmt numFmtId="219" formatCode="_-* #,##0.00000000000000\ _P_t_s_-;\-* #,##0.00000000000000\ _P_t_s_-;_-* &quot;-&quot;??\ _P_t_s_-;_-@_-"/>
    <numFmt numFmtId="220" formatCode="_-* #,##0.0000_-;\-* #,##0.0000_-;_-* &quot;-&quot;??_-;_-@_-"/>
  </numFmts>
  <fonts count="14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10"/>
      <color indexed="8"/>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b/>
      <u/>
      <sz val="11"/>
      <color indexed="9"/>
      <name val="Encode Sans"/>
    </font>
    <font>
      <i/>
      <sz val="12"/>
      <name val="Encode Sans"/>
    </font>
    <font>
      <b/>
      <sz val="10"/>
      <color indexed="9"/>
      <name val="Encode Sans"/>
    </font>
    <font>
      <u/>
      <sz val="10"/>
      <color indexed="12"/>
      <name val="Encode Sans"/>
    </font>
    <font>
      <b/>
      <i/>
      <sz val="12"/>
      <color theme="0"/>
      <name val="Encode Sans"/>
    </font>
    <font>
      <b/>
      <sz val="14"/>
      <name val="Encode Sans"/>
    </font>
    <font>
      <b/>
      <i/>
      <sz val="16"/>
      <color indexed="9"/>
      <name val="Encode Sans"/>
    </font>
    <font>
      <sz val="16"/>
      <name val="Encode Sans"/>
    </font>
    <font>
      <b/>
      <sz val="16"/>
      <color indexed="9"/>
      <name val="Encode Sans"/>
    </font>
    <font>
      <b/>
      <sz val="16"/>
      <name val="Encode Sans"/>
    </font>
    <font>
      <b/>
      <sz val="16"/>
      <color theme="0"/>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top style="dashed">
        <color auto="1"/>
      </top>
      <bottom/>
      <diagonal/>
    </border>
  </borders>
  <cellStyleXfs count="570">
    <xf numFmtId="0" fontId="0" fillId="0" borderId="0" applyNumberFormat="0" applyFill="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6" borderId="0" applyNumberFormat="0" applyBorder="0" applyAlignment="0" applyProtection="0"/>
    <xf numFmtId="0" fontId="24" fillId="5" borderId="0" applyNumberFormat="0" applyBorder="0" applyAlignment="0" applyProtection="0"/>
    <xf numFmtId="0" fontId="10" fillId="6" borderId="0" applyNumberFormat="0" applyBorder="0" applyAlignment="0" applyProtection="0"/>
    <xf numFmtId="0" fontId="10" fillId="3" borderId="0" applyNumberFormat="0" applyBorder="0" applyAlignment="0" applyProtection="0"/>
    <xf numFmtId="0" fontId="10" fillId="11" borderId="0" applyNumberFormat="0" applyBorder="0" applyAlignment="0" applyProtection="0"/>
    <xf numFmtId="0" fontId="10" fillId="8"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24" fillId="2" borderId="0" applyNumberFormat="0" applyBorder="0" applyAlignment="0" applyProtection="0"/>
    <xf numFmtId="0" fontId="24" fillId="3" borderId="0" applyNumberFormat="0" applyBorder="0" applyAlignment="0" applyProtection="0"/>
    <xf numFmtId="0" fontId="24" fillId="12" borderId="0" applyNumberFormat="0" applyBorder="0" applyAlignment="0" applyProtection="0"/>
    <xf numFmtId="0" fontId="24" fillId="10" borderId="0" applyNumberFormat="0" applyBorder="0" applyAlignment="0" applyProtection="0"/>
    <xf numFmtId="0" fontId="24" fillId="2" borderId="0" applyNumberFormat="0" applyBorder="0" applyAlignment="0" applyProtection="0"/>
    <xf numFmtId="0" fontId="24" fillId="13" borderId="0" applyNumberFormat="0" applyBorder="0" applyAlignment="0" applyProtection="0"/>
    <xf numFmtId="0" fontId="54" fillId="6" borderId="0" applyNumberFormat="0" applyBorder="0" applyAlignment="0" applyProtection="0"/>
    <xf numFmtId="0" fontId="54" fillId="14" borderId="0" applyNumberFormat="0" applyBorder="0" applyAlignment="0" applyProtection="0"/>
    <xf numFmtId="0" fontId="54" fillId="13" borderId="0" applyNumberFormat="0" applyBorder="0" applyAlignment="0" applyProtection="0"/>
    <xf numFmtId="0" fontId="54" fillId="8" borderId="0" applyNumberFormat="0" applyBorder="0" applyAlignment="0" applyProtection="0"/>
    <xf numFmtId="0" fontId="54" fillId="6" borderId="0" applyNumberFormat="0" applyBorder="0" applyAlignment="0" applyProtection="0"/>
    <xf numFmtId="0" fontId="54" fillId="3" borderId="0" applyNumberFormat="0" applyBorder="0" applyAlignment="0" applyProtection="0"/>
    <xf numFmtId="0" fontId="25" fillId="15"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54" fillId="19" borderId="0" applyNumberFormat="0" applyBorder="0" applyAlignment="0" applyProtection="0"/>
    <xf numFmtId="0" fontId="54" fillId="14" borderId="0" applyNumberFormat="0" applyBorder="0" applyAlignment="0" applyProtection="0"/>
    <xf numFmtId="0" fontId="54" fillId="13" borderId="0" applyNumberFormat="0" applyBorder="0" applyAlignment="0" applyProtection="0"/>
    <xf numFmtId="0" fontId="54" fillId="20" borderId="0" applyNumberFormat="0" applyBorder="0" applyAlignment="0" applyProtection="0"/>
    <xf numFmtId="0" fontId="54" fillId="17" borderId="0" applyNumberFormat="0" applyBorder="0" applyAlignment="0" applyProtection="0"/>
    <xf numFmtId="0" fontId="54" fillId="21" borderId="0" applyNumberFormat="0" applyBorder="0" applyAlignment="0" applyProtection="0"/>
    <xf numFmtId="0" fontId="12" fillId="0" borderId="0" applyNumberFormat="0" applyFill="0" applyBorder="0" applyAlignment="0" applyProtection="0"/>
    <xf numFmtId="0" fontId="46" fillId="10" borderId="0" applyNumberFormat="0" applyBorder="0" applyAlignment="0" applyProtection="0"/>
    <xf numFmtId="0" fontId="26" fillId="9" borderId="0" applyNumberFormat="0" applyBorder="0" applyAlignment="0" applyProtection="0"/>
    <xf numFmtId="0" fontId="49" fillId="22" borderId="1" applyNumberFormat="0" applyAlignment="0" applyProtection="0"/>
    <xf numFmtId="0" fontId="27" fillId="23" borderId="1" applyNumberFormat="0" applyAlignment="0" applyProtection="0"/>
    <xf numFmtId="0" fontId="28" fillId="24" borderId="2" applyNumberFormat="0" applyAlignment="0" applyProtection="0"/>
    <xf numFmtId="0" fontId="29" fillId="0" borderId="3" applyNumberFormat="0" applyFill="0" applyAlignment="0" applyProtection="0"/>
    <xf numFmtId="0" fontId="51" fillId="24" borderId="2" applyNumberFormat="0" applyAlignment="0" applyProtection="0"/>
    <xf numFmtId="170" fontId="12" fillId="0" borderId="0" applyFont="0" applyFill="0" applyBorder="0" applyAlignment="0" applyProtection="0"/>
    <xf numFmtId="3" fontId="15" fillId="0" borderId="0" applyFont="0" applyFill="0" applyBorder="0" applyAlignment="0" applyProtection="0"/>
    <xf numFmtId="184" fontId="12" fillId="0" borderId="0" applyFont="0" applyFill="0" applyBorder="0" applyAlignment="0" applyProtection="0"/>
    <xf numFmtId="181" fontId="19" fillId="0" borderId="0" applyFont="0" applyFill="0" applyBorder="0" applyAlignment="0" applyProtection="0"/>
    <xf numFmtId="182" fontId="19" fillId="0" borderId="0" applyFont="0" applyFill="0" applyBorder="0" applyAlignment="0" applyProtection="0"/>
    <xf numFmtId="0" fontId="30" fillId="0" borderId="0" applyNumberFormat="0" applyFill="0" applyBorder="0" applyAlignment="0" applyProtection="0"/>
    <xf numFmtId="0" fontId="25" fillId="25"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31" fillId="5" borderId="1" applyNumberFormat="0" applyAlignment="0" applyProtection="0"/>
    <xf numFmtId="0" fontId="12" fillId="0" borderId="0" applyFont="0" applyFill="0" applyBorder="0" applyAlignment="0" applyProtection="0"/>
    <xf numFmtId="0" fontId="53" fillId="0" borderId="0" applyNumberFormat="0" applyFill="0" applyBorder="0" applyAlignment="0" applyProtection="0"/>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16" fillId="0" borderId="0"/>
    <xf numFmtId="0" fontId="45" fillId="6" borderId="0" applyNumberFormat="0" applyBorder="0" applyAlignment="0" applyProtection="0"/>
    <xf numFmtId="0" fontId="42" fillId="0" borderId="4" applyNumberFormat="0" applyFill="0" applyAlignment="0" applyProtection="0"/>
    <xf numFmtId="0" fontId="43" fillId="0" borderId="5" applyNumberFormat="0" applyFill="0" applyAlignment="0" applyProtection="0"/>
    <xf numFmtId="0" fontId="44" fillId="0" borderId="6" applyNumberFormat="0" applyFill="0" applyAlignment="0" applyProtection="0"/>
    <xf numFmtId="0" fontId="44" fillId="0" borderId="0" applyNumberFormat="0" applyFill="0" applyBorder="0" applyAlignment="0" applyProtection="0"/>
    <xf numFmtId="0" fontId="1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2" fillId="8" borderId="0" applyNumberFormat="0" applyBorder="0" applyAlignment="0" applyProtection="0"/>
    <xf numFmtId="0" fontId="47" fillId="11" borderId="1" applyNumberFormat="0" applyAlignment="0" applyProtection="0"/>
    <xf numFmtId="15" fontId="12" fillId="0" borderId="0"/>
    <xf numFmtId="0" fontId="50" fillId="0" borderId="7" applyNumberFormat="0" applyFill="0" applyAlignment="0" applyProtection="0"/>
    <xf numFmtId="174" fontId="12" fillId="0" borderId="0" applyFont="0" applyFill="0" applyBorder="0" applyAlignment="0" applyProtection="0"/>
    <xf numFmtId="173" fontId="12" fillId="0" borderId="0" applyFont="0" applyFill="0" applyBorder="0" applyAlignment="0" applyProtection="0"/>
    <xf numFmtId="4" fontId="21" fillId="0" borderId="0" applyFont="0" applyFill="0" applyBorder="0" applyAlignment="0" applyProtection="0"/>
    <xf numFmtId="0" fontId="33" fillId="11" borderId="0" applyNumberFormat="0" applyBorder="0" applyAlignment="0" applyProtection="0"/>
    <xf numFmtId="0" fontId="13" fillId="0" borderId="0"/>
    <xf numFmtId="0" fontId="12" fillId="0" borderId="0"/>
    <xf numFmtId="0" fontId="12" fillId="0" borderId="0"/>
    <xf numFmtId="0" fontId="24" fillId="4" borderId="8" applyNumberFormat="0" applyFont="0" applyAlignment="0" applyProtection="0"/>
    <xf numFmtId="0" fontId="12" fillId="4" borderId="8" applyNumberFormat="0" applyFont="0" applyAlignment="0" applyProtection="0"/>
    <xf numFmtId="183" fontId="11" fillId="0" borderId="0" applyFont="0" applyFill="0" applyBorder="0" applyAlignment="0" applyProtection="0"/>
    <xf numFmtId="189" fontId="23" fillId="0" borderId="0">
      <protection locked="0"/>
    </xf>
    <xf numFmtId="0" fontId="48" fillId="22" borderId="9" applyNumberFormat="0" applyAlignment="0" applyProtection="0"/>
    <xf numFmtId="9" fontId="12" fillId="0" borderId="0" applyFont="0" applyFill="0" applyBorder="0" applyAlignment="0" applyProtection="0"/>
    <xf numFmtId="0" fontId="34" fillId="23"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41" fillId="0" borderId="0" applyNumberFormat="0" applyFill="0" applyBorder="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11" applyNumberFormat="0" applyFill="0" applyAlignment="0" applyProtection="0"/>
    <xf numFmtId="0" fontId="30" fillId="0" borderId="12" applyNumberFormat="0" applyFill="0" applyAlignment="0" applyProtection="0"/>
    <xf numFmtId="0" fontId="40" fillId="0" borderId="13" applyNumberFormat="0" applyFill="0" applyAlignment="0" applyProtection="0"/>
    <xf numFmtId="0" fontId="16" fillId="0" borderId="0"/>
    <xf numFmtId="0" fontId="52" fillId="0" borderId="0" applyNumberFormat="0" applyFill="0" applyBorder="0" applyAlignment="0" applyProtection="0"/>
    <xf numFmtId="0" fontId="25" fillId="14" borderId="0" applyNumberFormat="0" applyBorder="0" applyAlignment="0" applyProtection="0"/>
    <xf numFmtId="0" fontId="25" fillId="19"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25" fillId="3" borderId="0" applyNumberFormat="0" applyBorder="0" applyAlignment="0" applyProtection="0"/>
    <xf numFmtId="0" fontId="25" fillId="6" borderId="0" applyNumberFormat="0" applyBorder="0" applyAlignment="0" applyProtection="0"/>
    <xf numFmtId="0" fontId="25" fillId="8" borderId="0" applyNumberFormat="0" applyBorder="0" applyAlignment="0" applyProtection="0"/>
    <xf numFmtId="0" fontId="25" fillId="13"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2" borderId="0" applyNumberFormat="0" applyBorder="0" applyAlignment="0" applyProtection="0"/>
    <xf numFmtId="0" fontId="10" fillId="13" borderId="0" applyNumberFormat="0" applyBorder="0" applyAlignment="0" applyProtection="0"/>
    <xf numFmtId="0" fontId="25" fillId="6" borderId="0" applyNumberFormat="0" applyBorder="0" applyAlignment="0" applyProtection="0"/>
    <xf numFmtId="0" fontId="25" fillId="14" borderId="0" applyNumberFormat="0" applyBorder="0" applyAlignment="0" applyProtection="0"/>
    <xf numFmtId="0" fontId="25" fillId="13" borderId="0" applyNumberFormat="0" applyBorder="0" applyAlignment="0" applyProtection="0"/>
    <xf numFmtId="0" fontId="25" fillId="8" borderId="0" applyNumberFormat="0" applyBorder="0" applyAlignment="0" applyProtection="0"/>
    <xf numFmtId="0" fontId="25" fillId="6" borderId="0" applyNumberFormat="0" applyBorder="0" applyAlignment="0" applyProtection="0"/>
    <xf numFmtId="0" fontId="25" fillId="3" borderId="0" applyNumberFormat="0" applyBorder="0" applyAlignment="0" applyProtection="0"/>
    <xf numFmtId="0" fontId="25" fillId="15"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4" borderId="0" applyNumberFormat="0" applyBorder="0" applyAlignment="0" applyProtection="0"/>
    <xf numFmtId="0" fontId="25" fillId="13" borderId="0" applyNumberFormat="0" applyBorder="0" applyAlignment="0" applyProtection="0"/>
    <xf numFmtId="0" fontId="25" fillId="20"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25" fillId="14" borderId="0" applyNumberFormat="0" applyBorder="0" applyAlignment="0" applyProtection="0"/>
    <xf numFmtId="0" fontId="32" fillId="10" borderId="0" applyNumberFormat="0" applyBorder="0" applyAlignment="0" applyProtection="0"/>
    <xf numFmtId="0" fontId="26" fillId="9" borderId="0" applyNumberFormat="0" applyBorder="0" applyAlignment="0" applyProtection="0"/>
    <xf numFmtId="0" fontId="25" fillId="6" borderId="0" applyNumberFormat="0" applyBorder="0" applyAlignment="0" applyProtection="0"/>
    <xf numFmtId="0" fontId="27" fillId="23" borderId="1" applyNumberFormat="0" applyAlignment="0" applyProtection="0"/>
    <xf numFmtId="0" fontId="28" fillId="24" borderId="2" applyNumberFormat="0" applyAlignment="0" applyProtection="0"/>
    <xf numFmtId="0" fontId="29" fillId="0" borderId="3" applyNumberFormat="0" applyFill="0" applyAlignment="0" applyProtection="0"/>
    <xf numFmtId="0" fontId="28" fillId="24" borderId="2" applyNumberFormat="0" applyAlignment="0" applyProtection="0"/>
    <xf numFmtId="0" fontId="30" fillId="0" borderId="0" applyNumberFormat="0" applyFill="0" applyBorder="0" applyAlignment="0" applyProtection="0"/>
    <xf numFmtId="0" fontId="25" fillId="25"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31" fillId="5" borderId="1" applyNumberFormat="0" applyAlignment="0" applyProtection="0"/>
    <xf numFmtId="0" fontId="36" fillId="0" borderId="0" applyNumberFormat="0" applyFill="0" applyBorder="0" applyAlignment="0" applyProtection="0"/>
    <xf numFmtId="0" fontId="34" fillId="22" borderId="9" applyNumberFormat="0" applyAlignment="0" applyProtection="0"/>
    <xf numFmtId="0" fontId="26" fillId="6" borderId="0" applyNumberFormat="0" applyBorder="0" applyAlignment="0" applyProtection="0"/>
    <xf numFmtId="0" fontId="25" fillId="17" borderId="0" applyNumberFormat="0" applyBorder="0" applyAlignment="0" applyProtection="0"/>
    <xf numFmtId="0" fontId="32" fillId="8" borderId="0" applyNumberFormat="0" applyBorder="0" applyAlignment="0" applyProtection="0"/>
    <xf numFmtId="0" fontId="31" fillId="11" borderId="1" applyNumberFormat="0" applyAlignment="0" applyProtection="0"/>
    <xf numFmtId="0" fontId="25" fillId="14" borderId="0" applyNumberFormat="0" applyBorder="0" applyAlignment="0" applyProtection="0"/>
    <xf numFmtId="0" fontId="35" fillId="0" borderId="7" applyNumberFormat="0" applyFill="0" applyAlignment="0" applyProtection="0"/>
    <xf numFmtId="4" fontId="14" fillId="0" borderId="0" applyFont="0" applyFill="0" applyBorder="0" applyAlignment="0" applyProtection="0"/>
    <xf numFmtId="0" fontId="33" fillId="11" borderId="0" applyNumberFormat="0" applyBorder="0" applyAlignment="0" applyProtection="0"/>
    <xf numFmtId="0" fontId="25" fillId="19" borderId="0" applyNumberFormat="0" applyBorder="0" applyAlignment="0" applyProtection="0"/>
    <xf numFmtId="0" fontId="10" fillId="4" borderId="8" applyNumberFormat="0" applyFont="0" applyAlignment="0" applyProtection="0"/>
    <xf numFmtId="0" fontId="34" fillId="22" borderId="9" applyNumberFormat="0" applyAlignment="0" applyProtection="0"/>
    <xf numFmtId="0" fontId="34" fillId="23"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11" applyNumberFormat="0" applyFill="0" applyAlignment="0" applyProtection="0"/>
    <xf numFmtId="0" fontId="30" fillId="0" borderId="12" applyNumberFormat="0" applyFill="0" applyAlignment="0" applyProtection="0"/>
    <xf numFmtId="0" fontId="40" fillId="0" borderId="13" applyNumberFormat="0" applyFill="0" applyAlignment="0" applyProtection="0"/>
    <xf numFmtId="0" fontId="35" fillId="0" borderId="0" applyNumberFormat="0" applyFill="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7" fillId="23" borderId="1" applyNumberFormat="0" applyAlignment="0" applyProtection="0"/>
    <xf numFmtId="0" fontId="27" fillId="23" borderId="1" applyNumberFormat="0" applyAlignment="0" applyProtection="0"/>
    <xf numFmtId="0" fontId="27" fillId="23" borderId="1" applyNumberFormat="0" applyAlignment="0" applyProtection="0"/>
    <xf numFmtId="0" fontId="28" fillId="24" borderId="2" applyNumberFormat="0" applyAlignment="0" applyProtection="0"/>
    <xf numFmtId="0" fontId="28" fillId="24" borderId="2" applyNumberFormat="0" applyAlignment="0" applyProtection="0"/>
    <xf numFmtId="0" fontId="28" fillId="24" borderId="2" applyNumberFormat="0" applyAlignment="0" applyProtection="0"/>
    <xf numFmtId="0" fontId="29" fillId="0" borderId="3" applyNumberFormat="0" applyFill="0" applyAlignment="0" applyProtection="0"/>
    <xf numFmtId="0" fontId="29" fillId="0" borderId="3" applyNumberFormat="0" applyFill="0" applyAlignment="0" applyProtection="0"/>
    <xf numFmtId="0" fontId="29" fillId="0" borderId="3"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31" fillId="5" borderId="1" applyNumberFormat="0" applyAlignment="0" applyProtection="0"/>
    <xf numFmtId="0" fontId="31" fillId="5" borderId="1" applyNumberFormat="0" applyAlignment="0" applyProtection="0"/>
    <xf numFmtId="0" fontId="31" fillId="5" borderId="1" applyNumberFormat="0" applyAlignment="0" applyProtection="0"/>
    <xf numFmtId="0" fontId="12" fillId="0" borderId="0" applyNumberFormat="0" applyFill="0" applyBorder="0" applyAlignment="0" applyProtection="0">
      <alignment vertical="top"/>
      <protection locked="0"/>
    </xf>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9" fillId="0" borderId="0"/>
    <xf numFmtId="0" fontId="9" fillId="0" borderId="0"/>
    <xf numFmtId="0" fontId="10" fillId="4" borderId="8" applyNumberFormat="0" applyFont="0" applyAlignment="0" applyProtection="0"/>
    <xf numFmtId="0" fontId="10" fillId="4" borderId="8" applyNumberFormat="0" applyFont="0" applyAlignment="0" applyProtection="0"/>
    <xf numFmtId="0" fontId="10" fillId="4" borderId="8" applyNumberFormat="0" applyFont="0" applyAlignment="0" applyProtection="0"/>
    <xf numFmtId="183" fontId="55" fillId="0" borderId="0" applyFont="0" applyFill="0" applyBorder="0" applyAlignment="0" applyProtection="0"/>
    <xf numFmtId="183" fontId="11" fillId="0" borderId="0" applyFont="0" applyFill="0" applyBorder="0" applyAlignment="0" applyProtection="0"/>
    <xf numFmtId="183" fontId="11" fillId="0" borderId="0" applyFont="0" applyFill="0" applyBorder="0" applyAlignment="0" applyProtection="0"/>
    <xf numFmtId="183" fontId="11" fillId="0" borderId="0" applyFont="0" applyFill="0" applyBorder="0" applyAlignment="0" applyProtection="0"/>
    <xf numFmtId="0" fontId="34" fillId="23" borderId="9" applyNumberFormat="0" applyAlignment="0" applyProtection="0"/>
    <xf numFmtId="0" fontId="34" fillId="23" borderId="9" applyNumberFormat="0" applyAlignment="0" applyProtection="0"/>
    <xf numFmtId="0" fontId="34" fillId="23" borderId="9" applyNumberFormat="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10" applyNumberFormat="0" applyFill="0" applyAlignment="0" applyProtection="0"/>
    <xf numFmtId="0" fontId="38" fillId="0" borderId="10" applyNumberFormat="0" applyFill="0" applyAlignment="0" applyProtection="0"/>
    <xf numFmtId="0" fontId="38" fillId="0" borderId="10"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25" fillId="13" borderId="0" applyNumberFormat="0" applyBorder="0" applyAlignment="0" applyProtection="0"/>
    <xf numFmtId="0" fontId="25" fillId="20"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32" fillId="10" borderId="0" applyNumberFormat="0" applyBorder="0" applyAlignment="0" applyProtection="0"/>
    <xf numFmtId="0" fontId="28" fillId="24" borderId="2" applyNumberFormat="0" applyAlignment="0" applyProtection="0"/>
    <xf numFmtId="0" fontId="25" fillId="20" borderId="0" applyNumberFormat="0" applyBorder="0" applyAlignment="0" applyProtection="0"/>
    <xf numFmtId="4" fontId="14" fillId="0" borderId="0" applyFon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26" fillId="6" borderId="0" applyNumberFormat="0" applyBorder="0" applyAlignment="0" applyProtection="0"/>
    <xf numFmtId="4" fontId="14" fillId="0" borderId="0" applyFont="0" applyFill="0" applyBorder="0" applyAlignment="0" applyProtection="0"/>
    <xf numFmtId="0" fontId="31" fillId="11" borderId="1" applyNumberFormat="0" applyAlignment="0" applyProtection="0"/>
    <xf numFmtId="0" fontId="35" fillId="0" borderId="7" applyNumberFormat="0" applyFill="0" applyAlignment="0" applyProtection="0"/>
    <xf numFmtId="4" fontId="14" fillId="0" borderId="0" applyFont="0" applyFill="0" applyBorder="0" applyAlignment="0" applyProtection="0"/>
    <xf numFmtId="0" fontId="32" fillId="10" borderId="0" applyNumberFormat="0" applyBorder="0" applyAlignment="0" applyProtection="0"/>
    <xf numFmtId="0" fontId="25" fillId="20" borderId="0" applyNumberFormat="0" applyBorder="0" applyAlignment="0" applyProtection="0"/>
    <xf numFmtId="0" fontId="25" fillId="13" borderId="0" applyNumberFormat="0" applyBorder="0" applyAlignment="0" applyProtection="0"/>
    <xf numFmtId="0" fontId="34" fillId="22" borderId="9" applyNumberFormat="0" applyAlignment="0" applyProtection="0"/>
    <xf numFmtId="0" fontId="25" fillId="6" borderId="0" applyNumberFormat="0" applyBorder="0" applyAlignment="0" applyProtection="0"/>
    <xf numFmtId="0" fontId="25" fillId="6" borderId="0" applyNumberFormat="0" applyBorder="0" applyAlignment="0" applyProtection="0"/>
    <xf numFmtId="0" fontId="35" fillId="0" borderId="0" applyNumberFormat="0" applyFill="0" applyBorder="0" applyAlignment="0" applyProtection="0"/>
    <xf numFmtId="0" fontId="25" fillId="21" borderId="0" applyNumberFormat="0" applyBorder="0" applyAlignment="0" applyProtection="0"/>
    <xf numFmtId="0" fontId="28" fillId="24" borderId="2" applyNumberFormat="0" applyAlignment="0" applyProtection="0"/>
    <xf numFmtId="0" fontId="26" fillId="6" borderId="0" applyNumberFormat="0" applyBorder="0" applyAlignment="0" applyProtection="0"/>
    <xf numFmtId="0" fontId="31" fillId="11" borderId="1" applyNumberFormat="0" applyAlignment="0" applyProtection="0"/>
    <xf numFmtId="0" fontId="35" fillId="0" borderId="7"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25" fillId="6" borderId="0" applyNumberFormat="0" applyBorder="0" applyAlignment="0" applyProtection="0"/>
    <xf numFmtId="0" fontId="25" fillId="6" borderId="0" applyNumberFormat="0" applyBorder="0" applyAlignment="0" applyProtection="0"/>
    <xf numFmtId="0" fontId="34" fillId="22" borderId="9" applyNumberFormat="0" applyAlignment="0" applyProtection="0"/>
    <xf numFmtId="0" fontId="25" fillId="13" borderId="0" applyNumberFormat="0" applyBorder="0" applyAlignment="0" applyProtection="0"/>
    <xf numFmtId="0" fontId="32" fillId="10" borderId="0" applyNumberFormat="0" applyBorder="0" applyAlignment="0" applyProtection="0"/>
    <xf numFmtId="0" fontId="35" fillId="0" borderId="7" applyNumberFormat="0" applyFill="0" applyAlignment="0" applyProtection="0"/>
    <xf numFmtId="0" fontId="31" fillId="11" borderId="1" applyNumberFormat="0" applyAlignment="0" applyProtection="0"/>
    <xf numFmtId="0" fontId="26" fillId="6" borderId="0" applyNumberFormat="0" applyBorder="0" applyAlignment="0" applyProtection="0"/>
    <xf numFmtId="0" fontId="28" fillId="24" borderId="2" applyNumberFormat="0" applyAlignment="0" applyProtection="0"/>
    <xf numFmtId="0" fontId="25" fillId="21"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25" fillId="19" borderId="0" applyNumberFormat="0" applyBorder="0" applyAlignment="0" applyProtection="0"/>
    <xf numFmtId="0" fontId="25" fillId="3" borderId="0" applyNumberFormat="0" applyBorder="0" applyAlignment="0" applyProtection="0"/>
    <xf numFmtId="0" fontId="25" fillId="13" borderId="0" applyNumberFormat="0" applyBorder="0" applyAlignment="0" applyProtection="0"/>
    <xf numFmtId="0" fontId="25" fillId="8" borderId="0" applyNumberFormat="0" applyBorder="0" applyAlignment="0" applyProtection="0"/>
    <xf numFmtId="0" fontId="25" fillId="14" borderId="0" applyNumberFormat="0" applyBorder="0" applyAlignment="0" applyProtection="0"/>
    <xf numFmtId="0" fontId="25" fillId="3" borderId="0" applyNumberFormat="0" applyBorder="0" applyAlignment="0" applyProtection="0"/>
    <xf numFmtId="0" fontId="25" fillId="13" borderId="0" applyNumberFormat="0" applyBorder="0" applyAlignment="0" applyProtection="0"/>
    <xf numFmtId="0" fontId="25" fillId="8" borderId="0" applyNumberFormat="0" applyBorder="0" applyAlignment="0" applyProtection="0"/>
    <xf numFmtId="0" fontId="25" fillId="14" borderId="0" applyNumberFormat="0" applyBorder="0" applyAlignment="0" applyProtection="0"/>
    <xf numFmtId="0" fontId="12" fillId="0" borderId="0" applyNumberFormat="0" applyFill="0" applyBorder="0" applyAlignment="0" applyProtection="0"/>
    <xf numFmtId="173" fontId="12" fillId="0" borderId="0" applyFont="0" applyFill="0" applyBorder="0" applyAlignment="0" applyProtection="0"/>
    <xf numFmtId="174" fontId="12" fillId="0" borderId="0" applyFont="0" applyFill="0" applyBorder="0" applyAlignment="0" applyProtection="0"/>
    <xf numFmtId="0" fontId="12" fillId="0" borderId="0" applyNumberFormat="0" applyFill="0" applyBorder="0" applyAlignment="0" applyProtection="0"/>
    <xf numFmtId="9" fontId="12" fillId="0" borderId="0" applyFont="0" applyFill="0" applyBorder="0" applyAlignment="0" applyProtection="0"/>
    <xf numFmtId="169" fontId="8" fillId="0" borderId="0" applyFont="0" applyFill="0" applyBorder="0" applyAlignment="0" applyProtection="0"/>
    <xf numFmtId="0" fontId="12" fillId="0" borderId="0" applyNumberFormat="0" applyFill="0" applyBorder="0" applyAlignment="0" applyProtection="0"/>
    <xf numFmtId="194" fontId="12" fillId="0" borderId="0" applyFont="0" applyFill="0" applyBorder="0" applyAlignment="0" applyProtection="0"/>
    <xf numFmtId="195" fontId="12" fillId="0" borderId="0" applyFont="0" applyFill="0" applyBorder="0" applyAlignment="0" applyProtection="0"/>
    <xf numFmtId="0" fontId="12" fillId="0" borderId="0"/>
    <xf numFmtId="0" fontId="12" fillId="0" borderId="0"/>
    <xf numFmtId="199" fontId="12" fillId="0" borderId="0" applyFont="0" applyFill="0" applyBorder="0" applyAlignment="0" applyProtection="0"/>
    <xf numFmtId="199" fontId="12" fillId="0" borderId="0" applyFont="0" applyFill="0" applyBorder="0" applyAlignment="0" applyProtection="0"/>
    <xf numFmtId="199" fontId="12" fillId="0" borderId="0" applyFont="0" applyFill="0" applyBorder="0" applyAlignment="0" applyProtection="0"/>
    <xf numFmtId="199"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72" fontId="12" fillId="0" borderId="0" applyFont="0" applyFill="0" applyBorder="0" applyAlignment="0" applyProtection="0"/>
    <xf numFmtId="191" fontId="12" fillId="0" borderId="0" applyFont="0" applyFill="0" applyBorder="0" applyAlignment="0" applyProtection="0"/>
    <xf numFmtId="169" fontId="10" fillId="0" borderId="0" applyFont="0" applyFill="0" applyBorder="0" applyAlignment="0" applyProtection="0"/>
    <xf numFmtId="194" fontId="12" fillId="0" borderId="0" applyFont="0" applyFill="0" applyBorder="0" applyAlignment="0" applyProtection="0"/>
    <xf numFmtId="169" fontId="10"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94"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7"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94" fontId="12" fillId="0" borderId="0" applyFont="0" applyFill="0" applyBorder="0" applyAlignment="0" applyProtection="0"/>
    <xf numFmtId="169" fontId="10" fillId="0" borderId="0" applyFont="0" applyFill="0" applyBorder="0" applyAlignment="0" applyProtection="0"/>
    <xf numFmtId="194" fontId="12" fillId="0" borderId="0" applyFont="0" applyFill="0" applyBorder="0" applyAlignment="0" applyProtection="0"/>
    <xf numFmtId="169" fontId="10" fillId="0" borderId="0" applyFont="0" applyFill="0" applyBorder="0" applyAlignment="0" applyProtection="0"/>
    <xf numFmtId="171" fontId="7" fillId="0" borderId="0" applyFont="0" applyFill="0" applyBorder="0" applyAlignment="0" applyProtection="0"/>
    <xf numFmtId="194" fontId="12" fillId="0" borderId="0" applyFont="0" applyFill="0" applyBorder="0" applyAlignment="0" applyProtection="0"/>
    <xf numFmtId="171" fontId="12" fillId="0" borderId="0" applyFont="0" applyFill="0" applyBorder="0" applyAlignment="0" applyProtection="0"/>
    <xf numFmtId="0" fontId="12" fillId="0" borderId="0"/>
    <xf numFmtId="0" fontId="7"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200" fontId="12" fillId="0" borderId="0" applyFont="0" applyFill="0" applyBorder="0" applyAlignment="0" applyProtection="0"/>
    <xf numFmtId="195" fontId="12" fillId="0" borderId="0" applyFont="0" applyFill="0" applyBorder="0" applyAlignment="0" applyProtection="0"/>
    <xf numFmtId="0" fontId="6" fillId="0" borderId="0"/>
    <xf numFmtId="171" fontId="6" fillId="0" borderId="0" applyFont="0" applyFill="0" applyBorder="0" applyAlignment="0" applyProtection="0"/>
    <xf numFmtId="170" fontId="6" fillId="0" borderId="0" applyFont="0" applyFill="0" applyBorder="0" applyAlignment="0" applyProtection="0"/>
    <xf numFmtId="16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74" fontId="12" fillId="0" borderId="0" applyFont="0" applyFill="0" applyBorder="0" applyAlignment="0" applyProtection="0"/>
    <xf numFmtId="173" fontId="12"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0" fontId="12" fillId="0" borderId="0"/>
    <xf numFmtId="170" fontId="12" fillId="0" borderId="0" applyFont="0" applyFill="0" applyBorder="0" applyAlignment="0" applyProtection="0"/>
    <xf numFmtId="0" fontId="12" fillId="0" borderId="0"/>
    <xf numFmtId="0" fontId="12" fillId="0" borderId="0" applyFont="0" applyFill="0" applyBorder="0" applyAlignment="0" applyProtection="0"/>
    <xf numFmtId="43" fontId="12" fillId="0" borderId="0" applyFont="0" applyFill="0" applyBorder="0" applyAlignment="0" applyProtection="0"/>
    <xf numFmtId="171" fontId="5"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0" fontId="12" fillId="0" borderId="0" applyNumberForma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12" fillId="0" borderId="0" applyNumberFormat="0" applyFill="0" applyBorder="0" applyAlignment="0" applyProtection="0"/>
    <xf numFmtId="0" fontId="12" fillId="0" borderId="0" applyNumberFormat="0" applyFill="0" applyBorder="0" applyAlignment="0" applyProtection="0"/>
    <xf numFmtId="0" fontId="3" fillId="0" borderId="0"/>
    <xf numFmtId="0" fontId="3" fillId="0" borderId="0"/>
    <xf numFmtId="169"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0" fontId="3"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171" fontId="3"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171"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0" fontId="3" fillId="0" borderId="0"/>
    <xf numFmtId="0" fontId="3" fillId="0" borderId="0"/>
    <xf numFmtId="167" fontId="2" fillId="0" borderId="0" applyFont="0" applyFill="0" applyBorder="0" applyAlignment="0" applyProtection="0"/>
    <xf numFmtId="0" fontId="2" fillId="0" borderId="0"/>
    <xf numFmtId="171" fontId="56" fillId="0" borderId="0" applyFont="0" applyFill="0" applyBorder="0" applyAlignment="0" applyProtection="0"/>
    <xf numFmtId="170" fontId="56" fillId="0" borderId="0" applyFont="0" applyFill="0" applyBorder="0" applyAlignment="0" applyProtection="0"/>
    <xf numFmtId="200" fontId="12" fillId="0" borderId="0" applyFont="0" applyFill="0" applyBorder="0" applyAlignment="0" applyProtection="0"/>
    <xf numFmtId="200"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9" fontId="12" fillId="0" borderId="0" applyFont="0" applyFill="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2" borderId="0" applyNumberFormat="0" applyBorder="0" applyAlignment="0" applyProtection="0"/>
    <xf numFmtId="0" fontId="10" fillId="13" borderId="0" applyNumberFormat="0" applyBorder="0" applyAlignment="0" applyProtection="0"/>
    <xf numFmtId="0" fontId="25" fillId="15" borderId="0" applyNumberFormat="0" applyBorder="0" applyAlignment="0" applyProtection="0"/>
    <xf numFmtId="0" fontId="25" fillId="3"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6" fillId="9" borderId="0" applyNumberFormat="0" applyBorder="0" applyAlignment="0" applyProtection="0"/>
    <xf numFmtId="0" fontId="27" fillId="23" borderId="1" applyNumberFormat="0" applyAlignment="0" applyProtection="0"/>
    <xf numFmtId="0" fontId="28" fillId="24" borderId="2" applyNumberFormat="0" applyAlignment="0" applyProtection="0"/>
    <xf numFmtId="0" fontId="29" fillId="0" borderId="3" applyNumberFormat="0" applyFill="0" applyAlignment="0" applyProtection="0"/>
    <xf numFmtId="165" fontId="12" fillId="0" borderId="0" applyFont="0" applyFill="0" applyBorder="0" applyAlignment="0" applyProtection="0"/>
    <xf numFmtId="167" fontId="12" fillId="0" borderId="0" applyFont="0" applyFill="0" applyBorder="0" applyAlignment="0" applyProtection="0"/>
    <xf numFmtId="164" fontId="12" fillId="0" borderId="0" applyFont="0" applyFill="0" applyBorder="0" applyAlignment="0" applyProtection="0"/>
    <xf numFmtId="166" fontId="12" fillId="0" borderId="0" applyFont="0" applyFill="0" applyBorder="0" applyAlignment="0" applyProtection="0"/>
    <xf numFmtId="0" fontId="30" fillId="0" borderId="0" applyNumberFormat="0" applyFill="0" applyBorder="0" applyAlignment="0" applyProtection="0"/>
    <xf numFmtId="0" fontId="25" fillId="25"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4" borderId="0" applyNumberFormat="0" applyBorder="0" applyAlignment="0" applyProtection="0"/>
    <xf numFmtId="0" fontId="31" fillId="5" borderId="1" applyNumberFormat="0" applyAlignment="0" applyProtection="0"/>
    <xf numFmtId="0" fontId="32" fillId="8" borderId="0" applyNumberFormat="0" applyBorder="0" applyAlignment="0" applyProtection="0"/>
    <xf numFmtId="41" fontId="12" fillId="0" borderId="0" applyFont="0" applyFill="0" applyBorder="0" applyAlignment="0" applyProtection="0"/>
    <xf numFmtId="173" fontId="12" fillId="0" borderId="0" applyFont="0" applyFill="0" applyBorder="0" applyAlignment="0" applyProtection="0"/>
    <xf numFmtId="186" fontId="1" fillId="0" borderId="0" applyFont="0" applyFill="0" applyBorder="0" applyAlignment="0" applyProtection="0"/>
    <xf numFmtId="167" fontId="1" fillId="0" borderId="0" applyFont="0" applyFill="0" applyBorder="0" applyAlignment="0" applyProtection="0"/>
    <xf numFmtId="174" fontId="1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33" fillId="11" borderId="0" applyNumberFormat="0" applyBorder="0" applyAlignment="0" applyProtection="0"/>
    <xf numFmtId="0" fontId="12" fillId="0" borderId="0" applyNumberFormat="0" applyFill="0" applyBorder="0" applyAlignment="0" applyProtection="0"/>
    <xf numFmtId="0" fontId="10" fillId="4" borderId="8" applyNumberFormat="0" applyFont="0" applyAlignment="0" applyProtection="0"/>
    <xf numFmtId="0" fontId="34" fillId="23"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8" fillId="0" borderId="10" applyNumberFormat="0" applyFill="0" applyAlignment="0" applyProtection="0"/>
    <xf numFmtId="0" fontId="39" fillId="0" borderId="11" applyNumberFormat="0" applyFill="0" applyAlignment="0" applyProtection="0"/>
    <xf numFmtId="0" fontId="30" fillId="0" borderId="12" applyNumberFormat="0" applyFill="0" applyAlignment="0" applyProtection="0"/>
    <xf numFmtId="0" fontId="37" fillId="0" borderId="0" applyNumberFormat="0" applyFill="0" applyBorder="0" applyAlignment="0" applyProtection="0"/>
    <xf numFmtId="0" fontId="40" fillId="0" borderId="13" applyNumberFormat="0" applyFill="0" applyAlignment="0" applyProtection="0"/>
    <xf numFmtId="169" fontId="1" fillId="0" borderId="0" applyFon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13" fillId="0" borderId="0"/>
  </cellStyleXfs>
  <cellXfs count="1486">
    <xf numFmtId="0" fontId="0" fillId="0" borderId="0" xfId="0"/>
    <xf numFmtId="0" fontId="58" fillId="0" borderId="0" xfId="79" applyFont="1" applyFill="1" applyAlignment="1" applyProtection="1">
      <alignment horizontal="center"/>
    </xf>
    <xf numFmtId="0" fontId="59" fillId="0" borderId="0" xfId="364" applyFont="1"/>
    <xf numFmtId="0" fontId="60" fillId="0" borderId="0" xfId="364" applyFont="1"/>
    <xf numFmtId="0" fontId="61" fillId="0" borderId="0" xfId="43" applyFont="1" applyFill="1" applyAlignment="1">
      <alignment vertical="center"/>
    </xf>
    <xf numFmtId="0" fontId="61" fillId="28" borderId="0" xfId="43" applyFont="1" applyFill="1" applyAlignment="1">
      <alignment horizontal="right"/>
    </xf>
    <xf numFmtId="0" fontId="61" fillId="28" borderId="0" xfId="43" applyFont="1" applyFill="1" applyAlignment="1"/>
    <xf numFmtId="0" fontId="62" fillId="28" borderId="0" xfId="43" applyFont="1" applyFill="1" applyAlignment="1">
      <alignment horizontal="center"/>
    </xf>
    <xf numFmtId="0" fontId="61" fillId="28" borderId="0" xfId="43" applyFont="1" applyFill="1" applyAlignment="1">
      <alignment horizontal="center"/>
    </xf>
    <xf numFmtId="0" fontId="60" fillId="27" borderId="0" xfId="43" applyFont="1" applyFill="1"/>
    <xf numFmtId="3" fontId="60" fillId="27" borderId="0" xfId="43" applyNumberFormat="1" applyFont="1" applyFill="1"/>
    <xf numFmtId="0" fontId="60" fillId="27" borderId="60" xfId="43" applyFont="1" applyFill="1" applyBorder="1"/>
    <xf numFmtId="0" fontId="64" fillId="27" borderId="60" xfId="43" applyFont="1" applyFill="1" applyBorder="1"/>
    <xf numFmtId="0" fontId="65" fillId="29" borderId="14" xfId="43" applyFont="1" applyFill="1" applyBorder="1" applyAlignment="1">
      <alignment vertical="center"/>
    </xf>
    <xf numFmtId="10" fontId="65" fillId="29" borderId="23" xfId="43" applyNumberFormat="1" applyFont="1" applyFill="1" applyBorder="1" applyAlignment="1">
      <alignment horizontal="center" vertical="center"/>
    </xf>
    <xf numFmtId="174" fontId="60" fillId="0" borderId="0" xfId="85" applyFont="1"/>
    <xf numFmtId="0" fontId="60" fillId="27" borderId="26" xfId="43" applyFont="1" applyFill="1" applyBorder="1"/>
    <xf numFmtId="0" fontId="60" fillId="27" borderId="32" xfId="43" applyFont="1" applyFill="1" applyBorder="1" applyAlignment="1">
      <alignment horizontal="center"/>
    </xf>
    <xf numFmtId="0" fontId="61" fillId="27" borderId="14" xfId="43" applyFont="1" applyFill="1" applyBorder="1" applyAlignment="1">
      <alignment vertical="center"/>
    </xf>
    <xf numFmtId="10" fontId="61" fillId="27" borderId="15" xfId="368" applyNumberFormat="1" applyFont="1" applyFill="1" applyBorder="1" applyAlignment="1">
      <alignment horizontal="center" vertical="center"/>
    </xf>
    <xf numFmtId="0" fontId="66" fillId="27" borderId="14" xfId="43" applyFont="1" applyFill="1" applyBorder="1"/>
    <xf numFmtId="10" fontId="66" fillId="0" borderId="15" xfId="368" applyNumberFormat="1" applyFont="1" applyFill="1" applyBorder="1" applyAlignment="1">
      <alignment horizontal="center"/>
    </xf>
    <xf numFmtId="0" fontId="60" fillId="27" borderId="14" xfId="43" applyFont="1" applyFill="1" applyBorder="1" applyAlignment="1">
      <alignment vertical="center"/>
    </xf>
    <xf numFmtId="10" fontId="60" fillId="0" borderId="15" xfId="368" applyNumberFormat="1" applyFont="1" applyFill="1" applyBorder="1" applyAlignment="1">
      <alignment horizontal="center" vertical="center"/>
    </xf>
    <xf numFmtId="10" fontId="60" fillId="28" borderId="15" xfId="368" applyNumberFormat="1" applyFont="1" applyFill="1" applyBorder="1" applyAlignment="1">
      <alignment horizontal="center" vertical="center"/>
    </xf>
    <xf numFmtId="0" fontId="60" fillId="0" borderId="14" xfId="43" applyFont="1" applyFill="1" applyBorder="1" applyAlignment="1">
      <alignment vertical="center"/>
    </xf>
    <xf numFmtId="0" fontId="60" fillId="27" borderId="14" xfId="43" applyFont="1" applyFill="1" applyBorder="1"/>
    <xf numFmtId="10" fontId="60" fillId="28" borderId="15" xfId="368" applyNumberFormat="1" applyFont="1" applyFill="1" applyBorder="1" applyAlignment="1">
      <alignment horizontal="center"/>
    </xf>
    <xf numFmtId="10" fontId="61" fillId="28" borderId="15" xfId="368" applyNumberFormat="1" applyFont="1" applyFill="1" applyBorder="1" applyAlignment="1">
      <alignment horizontal="center" vertical="center"/>
    </xf>
    <xf numFmtId="10" fontId="66" fillId="28" borderId="15" xfId="368" applyNumberFormat="1" applyFont="1" applyFill="1" applyBorder="1" applyAlignment="1">
      <alignment horizontal="center"/>
    </xf>
    <xf numFmtId="0" fontId="60" fillId="28" borderId="14" xfId="43" applyFont="1" applyFill="1" applyBorder="1" applyAlignment="1">
      <alignment vertical="center"/>
    </xf>
    <xf numFmtId="0" fontId="60" fillId="0" borderId="14" xfId="43" applyFont="1" applyFill="1" applyBorder="1"/>
    <xf numFmtId="10" fontId="61" fillId="0" borderId="15" xfId="368" applyNumberFormat="1" applyFont="1" applyFill="1" applyBorder="1" applyAlignment="1">
      <alignment horizontal="center" vertical="center"/>
    </xf>
    <xf numFmtId="10" fontId="60" fillId="0" borderId="15" xfId="368" applyNumberFormat="1" applyFont="1" applyFill="1" applyBorder="1" applyAlignment="1">
      <alignment horizontal="center"/>
    </xf>
    <xf numFmtId="178" fontId="67" fillId="27" borderId="15" xfId="43" applyNumberFormat="1" applyFont="1" applyFill="1" applyBorder="1" applyAlignment="1" applyProtection="1">
      <alignment vertical="center"/>
    </xf>
    <xf numFmtId="0" fontId="60" fillId="27" borderId="29" xfId="43" applyFont="1" applyFill="1" applyBorder="1"/>
    <xf numFmtId="0" fontId="60" fillId="0" borderId="24" xfId="43" applyFont="1" applyFill="1" applyBorder="1" applyAlignment="1">
      <alignment horizontal="right"/>
    </xf>
    <xf numFmtId="0" fontId="60" fillId="27" borderId="0" xfId="43" applyFont="1" applyFill="1" applyAlignment="1">
      <alignment vertical="justify" wrapText="1"/>
    </xf>
    <xf numFmtId="0" fontId="69" fillId="27" borderId="0" xfId="43" applyFont="1" applyFill="1"/>
    <xf numFmtId="0" fontId="70" fillId="27" borderId="0" xfId="43" applyFont="1" applyFill="1"/>
    <xf numFmtId="0" fontId="73" fillId="27" borderId="74" xfId="43" applyFont="1" applyFill="1" applyBorder="1" applyAlignment="1">
      <alignment horizontal="center" vertical="center"/>
    </xf>
    <xf numFmtId="0" fontId="73" fillId="27" borderId="65" xfId="43" applyFont="1" applyFill="1" applyBorder="1" applyAlignment="1">
      <alignment horizontal="center" vertical="center"/>
    </xf>
    <xf numFmtId="0" fontId="68" fillId="27" borderId="66" xfId="79" applyFont="1" applyFill="1" applyBorder="1" applyAlignment="1" applyProtection="1">
      <alignment horizontal="center" vertical="center"/>
    </xf>
    <xf numFmtId="0" fontId="69" fillId="27" borderId="67" xfId="43" applyFont="1" applyFill="1" applyBorder="1" applyAlignment="1">
      <alignment vertical="center" wrapText="1"/>
    </xf>
    <xf numFmtId="174" fontId="69" fillId="27" borderId="0" xfId="85" applyFont="1" applyFill="1"/>
    <xf numFmtId="0" fontId="68" fillId="27" borderId="69" xfId="79" applyFont="1" applyFill="1" applyBorder="1" applyAlignment="1" applyProtection="1">
      <alignment horizontal="center" vertical="center"/>
    </xf>
    <xf numFmtId="0" fontId="69" fillId="27" borderId="68" xfId="43" applyFont="1" applyFill="1" applyBorder="1" applyAlignment="1">
      <alignment horizontal="justify" vertical="top" wrapText="1"/>
    </xf>
    <xf numFmtId="176" fontId="69" fillId="27" borderId="0" xfId="86" applyNumberFormat="1" applyFont="1" applyFill="1"/>
    <xf numFmtId="0" fontId="68" fillId="0" borderId="66" xfId="79" applyFont="1" applyFill="1" applyBorder="1" applyAlignment="1" applyProtection="1">
      <alignment horizontal="center" vertical="center"/>
    </xf>
    <xf numFmtId="0" fontId="69" fillId="27" borderId="68" xfId="43" applyFont="1" applyFill="1" applyBorder="1" applyAlignment="1">
      <alignment vertical="center" wrapText="1"/>
    </xf>
    <xf numFmtId="0" fontId="69" fillId="27" borderId="90" xfId="43" applyFont="1" applyFill="1" applyBorder="1"/>
    <xf numFmtId="0" fontId="69" fillId="27" borderId="90" xfId="43" applyFont="1" applyFill="1" applyBorder="1" applyAlignment="1">
      <alignment vertical="center" wrapText="1"/>
    </xf>
    <xf numFmtId="0" fontId="69" fillId="0" borderId="67" xfId="43" applyFont="1" applyFill="1" applyBorder="1" applyAlignment="1">
      <alignment vertical="center" wrapText="1"/>
    </xf>
    <xf numFmtId="0" fontId="69" fillId="0" borderId="68" xfId="43" applyFont="1" applyFill="1" applyBorder="1" applyAlignment="1">
      <alignment vertical="center" wrapText="1"/>
    </xf>
    <xf numFmtId="0" fontId="58" fillId="0" borderId="0" xfId="79" applyFont="1" applyFill="1" applyAlignment="1" applyProtection="1">
      <alignment horizontal="center" vertical="center"/>
    </xf>
    <xf numFmtId="0" fontId="74" fillId="0" borderId="0" xfId="364" applyFont="1" applyAlignment="1">
      <alignment vertical="center"/>
    </xf>
    <xf numFmtId="0" fontId="60" fillId="0" borderId="0" xfId="364" applyFont="1" applyAlignment="1">
      <alignment vertical="center"/>
    </xf>
    <xf numFmtId="205" fontId="64" fillId="0" borderId="0" xfId="85" applyNumberFormat="1" applyFont="1" applyAlignment="1">
      <alignment vertical="center"/>
    </xf>
    <xf numFmtId="0" fontId="62" fillId="27" borderId="0" xfId="43" applyFont="1" applyFill="1" applyAlignment="1">
      <alignment vertical="center"/>
    </xf>
    <xf numFmtId="0" fontId="60" fillId="27" borderId="0" xfId="43" applyFont="1" applyFill="1" applyAlignment="1">
      <alignment vertical="center"/>
    </xf>
    <xf numFmtId="0" fontId="59" fillId="0" borderId="0" xfId="364" applyFont="1" applyAlignment="1">
      <alignment vertical="center"/>
    </xf>
    <xf numFmtId="0" fontId="61" fillId="27" borderId="0" xfId="43" applyFont="1" applyFill="1" applyAlignment="1">
      <alignment vertical="center"/>
    </xf>
    <xf numFmtId="3" fontId="60" fillId="27" borderId="0" xfId="43" applyNumberFormat="1" applyFont="1" applyFill="1" applyAlignment="1">
      <alignment vertical="center"/>
    </xf>
    <xf numFmtId="0" fontId="64" fillId="0" borderId="0" xfId="364" applyFont="1" applyAlignment="1">
      <alignment vertical="center"/>
    </xf>
    <xf numFmtId="0" fontId="64" fillId="27" borderId="0" xfId="43" applyFont="1" applyFill="1" applyAlignment="1">
      <alignment horizontal="center" vertical="center"/>
    </xf>
    <xf numFmtId="3" fontId="64" fillId="27" borderId="0" xfId="43" applyNumberFormat="1" applyFont="1" applyFill="1" applyAlignment="1">
      <alignment vertical="center"/>
    </xf>
    <xf numFmtId="0" fontId="64" fillId="27" borderId="0" xfId="43" applyFont="1" applyFill="1" applyAlignment="1">
      <alignment vertical="center"/>
    </xf>
    <xf numFmtId="173" fontId="64" fillId="27" borderId="0" xfId="43" applyNumberFormat="1" applyFont="1" applyFill="1" applyAlignment="1">
      <alignment vertical="center"/>
    </xf>
    <xf numFmtId="174" fontId="64" fillId="27" borderId="0" xfId="85" applyFont="1" applyFill="1" applyAlignment="1">
      <alignment vertical="center"/>
    </xf>
    <xf numFmtId="0" fontId="60" fillId="27" borderId="26" xfId="43" applyFont="1" applyFill="1" applyBorder="1" applyAlignment="1">
      <alignment horizontal="center" vertical="center" wrapText="1"/>
    </xf>
    <xf numFmtId="0" fontId="59" fillId="27" borderId="23" xfId="43" applyFont="1" applyFill="1" applyBorder="1" applyAlignment="1">
      <alignment horizontal="center" vertical="center" wrapText="1"/>
    </xf>
    <xf numFmtId="0" fontId="60" fillId="27" borderId="26" xfId="43" applyFont="1" applyFill="1" applyBorder="1" applyAlignment="1">
      <alignment vertical="center"/>
    </xf>
    <xf numFmtId="3" fontId="60" fillId="27" borderId="32" xfId="43" applyNumberFormat="1" applyFont="1" applyFill="1" applyBorder="1" applyAlignment="1">
      <alignment vertical="center"/>
    </xf>
    <xf numFmtId="0" fontId="75" fillId="29" borderId="14" xfId="43" applyFont="1" applyFill="1" applyBorder="1" applyAlignment="1">
      <alignment vertical="center"/>
    </xf>
    <xf numFmtId="3" fontId="76" fillId="29" borderId="15" xfId="43" applyNumberFormat="1" applyFont="1" applyFill="1" applyBorder="1" applyAlignment="1">
      <alignment vertical="center"/>
    </xf>
    <xf numFmtId="174" fontId="64" fillId="0" borderId="0" xfId="85" applyFont="1" applyAlignment="1">
      <alignment vertical="center"/>
    </xf>
    <xf numFmtId="0" fontId="60" fillId="27" borderId="29" xfId="43" applyFont="1" applyFill="1" applyBorder="1" applyAlignment="1">
      <alignment vertical="center"/>
    </xf>
    <xf numFmtId="0" fontId="60" fillId="27" borderId="24" xfId="43" applyFont="1" applyFill="1" applyBorder="1" applyAlignment="1">
      <alignment vertical="center"/>
    </xf>
    <xf numFmtId="0" fontId="77" fillId="29" borderId="14" xfId="43" applyFont="1" applyFill="1" applyBorder="1" applyAlignment="1">
      <alignment vertical="center"/>
    </xf>
    <xf numFmtId="3" fontId="78" fillId="29" borderId="15" xfId="43" applyNumberFormat="1" applyFont="1" applyFill="1" applyBorder="1" applyAlignment="1">
      <alignment vertical="center"/>
    </xf>
    <xf numFmtId="0" fontId="77" fillId="28" borderId="14" xfId="43" applyFont="1" applyFill="1" applyBorder="1" applyAlignment="1">
      <alignment vertical="center"/>
    </xf>
    <xf numFmtId="3" fontId="76" fillId="28" borderId="15" xfId="43" applyNumberFormat="1" applyFont="1" applyFill="1" applyBorder="1" applyAlignment="1">
      <alignment vertical="center"/>
    </xf>
    <xf numFmtId="0" fontId="60" fillId="28" borderId="0" xfId="364" applyFont="1" applyFill="1" applyAlignment="1">
      <alignment vertical="center"/>
    </xf>
    <xf numFmtId="3" fontId="65" fillId="29" borderId="15" xfId="43" applyNumberFormat="1" applyFont="1" applyFill="1" applyBorder="1" applyAlignment="1">
      <alignment vertical="center"/>
    </xf>
    <xf numFmtId="0" fontId="69" fillId="0" borderId="0" xfId="364" applyFont="1" applyAlignment="1">
      <alignment vertical="center"/>
    </xf>
    <xf numFmtId="0" fontId="60" fillId="27" borderId="15" xfId="43"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173" fontId="66" fillId="27" borderId="14" xfId="86" applyFont="1" applyFill="1" applyBorder="1" applyAlignment="1">
      <alignment vertical="center"/>
    </xf>
    <xf numFmtId="3" fontId="66" fillId="27" borderId="15" xfId="43" applyNumberFormat="1" applyFont="1" applyFill="1" applyBorder="1" applyAlignment="1">
      <alignment vertical="center"/>
    </xf>
    <xf numFmtId="0" fontId="81" fillId="27" borderId="14" xfId="43" applyFont="1" applyFill="1" applyBorder="1" applyAlignment="1">
      <alignment vertical="center"/>
    </xf>
    <xf numFmtId="3" fontId="61" fillId="0" borderId="15" xfId="43" applyNumberFormat="1" applyFont="1" applyFill="1" applyBorder="1" applyAlignment="1">
      <alignment vertical="center"/>
    </xf>
    <xf numFmtId="3" fontId="60" fillId="27" borderId="15" xfId="43" applyNumberFormat="1" applyFont="1" applyFill="1" applyBorder="1" applyAlignment="1">
      <alignment vertical="center"/>
    </xf>
    <xf numFmtId="0" fontId="66" fillId="27" borderId="14" xfId="43" applyFont="1" applyFill="1" applyBorder="1" applyAlignment="1">
      <alignment vertical="center"/>
    </xf>
    <xf numFmtId="3" fontId="61" fillId="27" borderId="15" xfId="43" applyNumberFormat="1" applyFont="1" applyFill="1" applyBorder="1" applyAlignment="1">
      <alignment vertical="center"/>
    </xf>
    <xf numFmtId="3" fontId="66" fillId="0" borderId="15" xfId="43" applyNumberFormat="1" applyFont="1" applyFill="1" applyBorder="1" applyAlignment="1">
      <alignment vertical="center"/>
    </xf>
    <xf numFmtId="0" fontId="82" fillId="27" borderId="14" xfId="43" applyFont="1" applyFill="1" applyBorder="1" applyAlignment="1">
      <alignment vertical="center"/>
    </xf>
    <xf numFmtId="3" fontId="83" fillId="27" borderId="15" xfId="43" applyNumberFormat="1" applyFont="1" applyFill="1" applyBorder="1" applyAlignment="1">
      <alignment vertical="center"/>
    </xf>
    <xf numFmtId="3" fontId="82" fillId="0" borderId="15" xfId="43" applyNumberFormat="1" applyFont="1" applyFill="1" applyBorder="1" applyAlignment="1">
      <alignment vertical="center"/>
    </xf>
    <xf numFmtId="3" fontId="60" fillId="0" borderId="15" xfId="43" applyNumberFormat="1" applyFont="1" applyFill="1" applyBorder="1" applyAlignment="1">
      <alignment vertical="center"/>
    </xf>
    <xf numFmtId="0" fontId="84" fillId="0" borderId="14" xfId="43" applyFont="1" applyFill="1" applyBorder="1" applyAlignment="1">
      <alignment vertical="center"/>
    </xf>
    <xf numFmtId="3" fontId="80" fillId="0" borderId="15" xfId="43" applyNumberFormat="1" applyFont="1" applyFill="1" applyBorder="1" applyAlignment="1">
      <alignment vertical="center"/>
    </xf>
    <xf numFmtId="0" fontId="85" fillId="29" borderId="14" xfId="43" applyFont="1" applyFill="1" applyBorder="1" applyAlignment="1">
      <alignment vertical="center"/>
    </xf>
    <xf numFmtId="3" fontId="66" fillId="27" borderId="14" xfId="43" applyNumberFormat="1" applyFont="1" applyFill="1" applyBorder="1" applyAlignment="1">
      <alignment vertical="center"/>
    </xf>
    <xf numFmtId="0" fontId="66" fillId="0" borderId="14" xfId="43" applyFont="1" applyFill="1" applyBorder="1" applyAlignment="1">
      <alignment vertical="center"/>
    </xf>
    <xf numFmtId="3" fontId="66" fillId="0" borderId="14" xfId="43" applyNumberFormat="1" applyFont="1" applyFill="1" applyBorder="1" applyAlignment="1">
      <alignment vertical="center"/>
    </xf>
    <xf numFmtId="0" fontId="77" fillId="29" borderId="14" xfId="43" applyFont="1" applyFill="1" applyBorder="1" applyAlignment="1">
      <alignment horizontal="left" vertical="center"/>
    </xf>
    <xf numFmtId="205" fontId="60" fillId="0" borderId="0" xfId="85" applyNumberFormat="1" applyFont="1" applyAlignment="1">
      <alignment vertical="center"/>
    </xf>
    <xf numFmtId="0" fontId="86" fillId="28" borderId="14" xfId="43" applyFont="1" applyFill="1" applyBorder="1" applyAlignment="1">
      <alignment horizontal="left" vertical="center"/>
    </xf>
    <xf numFmtId="3" fontId="65" fillId="28" borderId="15" xfId="43" applyNumberFormat="1" applyFont="1" applyFill="1" applyBorder="1" applyAlignment="1">
      <alignment vertical="center"/>
    </xf>
    <xf numFmtId="3" fontId="86" fillId="29" borderId="15" xfId="43" applyNumberFormat="1" applyFont="1" applyFill="1" applyBorder="1" applyAlignment="1">
      <alignment vertical="center"/>
    </xf>
    <xf numFmtId="0" fontId="59" fillId="28" borderId="0" xfId="364" applyFont="1" applyFill="1" applyAlignment="1">
      <alignment vertical="center"/>
    </xf>
    <xf numFmtId="0" fontId="66" fillId="28" borderId="14" xfId="43" applyFont="1" applyFill="1" applyBorder="1" applyAlignment="1">
      <alignment vertical="center"/>
    </xf>
    <xf numFmtId="3" fontId="66" fillId="28" borderId="18" xfId="43" applyNumberFormat="1" applyFont="1" applyFill="1" applyBorder="1" applyAlignment="1">
      <alignment vertical="center"/>
    </xf>
    <xf numFmtId="3" fontId="66" fillId="28" borderId="15" xfId="43" applyNumberFormat="1" applyFont="1" applyFill="1" applyBorder="1" applyAlignment="1">
      <alignment vertical="center"/>
    </xf>
    <xf numFmtId="3" fontId="60" fillId="0" borderId="18" xfId="43" applyNumberFormat="1" applyFont="1" applyFill="1" applyBorder="1"/>
    <xf numFmtId="3" fontId="60" fillId="0" borderId="15" xfId="43" applyNumberFormat="1" applyFont="1" applyFill="1" applyBorder="1"/>
    <xf numFmtId="0" fontId="87" fillId="28" borderId="14" xfId="43" applyFont="1" applyFill="1" applyBorder="1" applyAlignment="1">
      <alignment vertical="center"/>
    </xf>
    <xf numFmtId="3" fontId="60" fillId="28" borderId="18" xfId="43" applyNumberFormat="1" applyFont="1" applyFill="1" applyBorder="1" applyAlignment="1">
      <alignment vertical="center"/>
    </xf>
    <xf numFmtId="3" fontId="60" fillId="28" borderId="15" xfId="43" applyNumberFormat="1" applyFont="1" applyFill="1" applyBorder="1" applyAlignment="1">
      <alignment vertical="center"/>
    </xf>
    <xf numFmtId="0" fontId="86" fillId="29" borderId="14" xfId="43" applyFont="1" applyFill="1" applyBorder="1" applyAlignment="1">
      <alignment vertical="center"/>
    </xf>
    <xf numFmtId="3" fontId="60" fillId="0" borderId="18" xfId="43" applyNumberFormat="1" applyFont="1" applyFill="1" applyBorder="1" applyAlignment="1">
      <alignment vertical="center"/>
    </xf>
    <xf numFmtId="3" fontId="66" fillId="27" borderId="24" xfId="43" applyNumberFormat="1" applyFont="1" applyFill="1" applyBorder="1" applyAlignment="1">
      <alignment vertical="center"/>
    </xf>
    <xf numFmtId="0" fontId="73" fillId="0" borderId="14" xfId="43" applyFont="1" applyFill="1" applyBorder="1" applyAlignment="1">
      <alignment vertical="center"/>
    </xf>
    <xf numFmtId="3" fontId="76" fillId="0" borderId="15" xfId="43" applyNumberFormat="1" applyFont="1" applyFill="1" applyBorder="1" applyAlignment="1">
      <alignment vertical="center"/>
    </xf>
    <xf numFmtId="0" fontId="86" fillId="28" borderId="29" xfId="43" applyFont="1" applyFill="1" applyBorder="1" applyAlignment="1">
      <alignment vertical="center"/>
    </xf>
    <xf numFmtId="3" fontId="77" fillId="28" borderId="24" xfId="43" applyNumberFormat="1" applyFont="1" applyFill="1" applyBorder="1" applyAlignment="1">
      <alignment vertical="center"/>
    </xf>
    <xf numFmtId="0" fontId="59" fillId="28" borderId="0" xfId="43" applyFont="1" applyFill="1" applyAlignment="1">
      <alignment vertical="center"/>
    </xf>
    <xf numFmtId="3" fontId="59" fillId="28" borderId="0" xfId="43" applyNumberFormat="1" applyFont="1" applyFill="1" applyAlignment="1">
      <alignment vertical="center"/>
    </xf>
    <xf numFmtId="174" fontId="59" fillId="28" borderId="0" xfId="85" applyFont="1" applyFill="1" applyAlignment="1">
      <alignment vertical="center"/>
    </xf>
    <xf numFmtId="0" fontId="89" fillId="28" borderId="0" xfId="364" applyFont="1" applyFill="1" applyAlignment="1">
      <alignment vertical="center"/>
    </xf>
    <xf numFmtId="0" fontId="60" fillId="28" borderId="0" xfId="43" applyFont="1" applyFill="1" applyAlignment="1">
      <alignment horizontal="left" wrapText="1"/>
    </xf>
    <xf numFmtId="0" fontId="60" fillId="28" borderId="0" xfId="43" applyFont="1" applyFill="1" applyAlignment="1">
      <alignment horizontal="left" vertical="center" wrapText="1"/>
    </xf>
    <xf numFmtId="0" fontId="59" fillId="27" borderId="0" xfId="43" applyFont="1" applyFill="1"/>
    <xf numFmtId="0" fontId="62" fillId="27" borderId="0" xfId="43" applyFont="1" applyFill="1"/>
    <xf numFmtId="0" fontId="64" fillId="27" borderId="0" xfId="43" applyFont="1" applyFill="1"/>
    <xf numFmtId="0" fontId="64" fillId="27" borderId="0" xfId="43" applyFont="1" applyFill="1" applyAlignment="1">
      <alignment horizontal="center"/>
    </xf>
    <xf numFmtId="3" fontId="64" fillId="27" borderId="0" xfId="43" applyNumberFormat="1" applyFont="1" applyFill="1"/>
    <xf numFmtId="0" fontId="64" fillId="0" borderId="0" xfId="364" applyFont="1"/>
    <xf numFmtId="3" fontId="60" fillId="27" borderId="32" xfId="43" applyNumberFormat="1" applyFont="1" applyFill="1" applyBorder="1"/>
    <xf numFmtId="0" fontId="60" fillId="27" borderId="24" xfId="43" applyFont="1" applyFill="1" applyBorder="1"/>
    <xf numFmtId="4" fontId="60" fillId="27" borderId="15" xfId="43" applyNumberFormat="1" applyFont="1" applyFill="1" applyBorder="1"/>
    <xf numFmtId="0" fontId="60" fillId="27" borderId="15" xfId="43" applyFont="1" applyFill="1" applyBorder="1"/>
    <xf numFmtId="0" fontId="90" fillId="27" borderId="14" xfId="43" applyFont="1" applyFill="1" applyBorder="1" applyAlignment="1">
      <alignment vertical="center"/>
    </xf>
    <xf numFmtId="3" fontId="91" fillId="0" borderId="15" xfId="43" applyNumberFormat="1" applyFont="1" applyFill="1" applyBorder="1" applyAlignment="1">
      <alignment vertical="center"/>
    </xf>
    <xf numFmtId="3" fontId="66" fillId="27" borderId="15" xfId="43" applyNumberFormat="1" applyFont="1" applyFill="1" applyBorder="1"/>
    <xf numFmtId="3" fontId="60" fillId="27" borderId="15" xfId="43" applyNumberFormat="1" applyFont="1" applyFill="1" applyBorder="1"/>
    <xf numFmtId="3" fontId="91" fillId="27" borderId="15" xfId="43" applyNumberFormat="1" applyFont="1" applyFill="1" applyBorder="1" applyAlignment="1">
      <alignment vertical="center"/>
    </xf>
    <xf numFmtId="0" fontId="92" fillId="27" borderId="14" xfId="43" applyFont="1" applyFill="1" applyBorder="1"/>
    <xf numFmtId="0" fontId="60" fillId="27" borderId="0" xfId="43" applyFont="1" applyFill="1" applyBorder="1"/>
    <xf numFmtId="3" fontId="82" fillId="28" borderId="15" xfId="43" applyNumberFormat="1" applyFont="1" applyFill="1" applyBorder="1" applyAlignment="1">
      <alignment vertical="center"/>
    </xf>
    <xf numFmtId="0" fontId="82" fillId="27" borderId="14" xfId="43" applyFont="1" applyFill="1" applyBorder="1"/>
    <xf numFmtId="3" fontId="77" fillId="29" borderId="15" xfId="43" applyNumberFormat="1" applyFont="1" applyFill="1" applyBorder="1" applyAlignment="1">
      <alignment vertical="center"/>
    </xf>
    <xf numFmtId="0" fontId="80" fillId="0" borderId="14" xfId="43" applyFont="1" applyFill="1" applyBorder="1"/>
    <xf numFmtId="3" fontId="65" fillId="0" borderId="15" xfId="43" applyNumberFormat="1" applyFont="1" applyFill="1" applyBorder="1"/>
    <xf numFmtId="0" fontId="82" fillId="27" borderId="29" xfId="43" applyFont="1" applyFill="1" applyBorder="1"/>
    <xf numFmtId="3" fontId="82" fillId="27" borderId="24" xfId="43" applyNumberFormat="1" applyFont="1" applyFill="1" applyBorder="1"/>
    <xf numFmtId="3" fontId="60" fillId="0" borderId="0" xfId="364" applyNumberFormat="1" applyFont="1"/>
    <xf numFmtId="0" fontId="82" fillId="27" borderId="49" xfId="43" applyFont="1" applyFill="1" applyBorder="1"/>
    <xf numFmtId="3" fontId="82" fillId="27" borderId="49" xfId="43" applyNumberFormat="1" applyFont="1" applyFill="1" applyBorder="1"/>
    <xf numFmtId="0" fontId="60" fillId="28" borderId="0" xfId="43" applyFont="1" applyFill="1" applyBorder="1"/>
    <xf numFmtId="3" fontId="66" fillId="28" borderId="0" xfId="43" applyNumberFormat="1" applyFont="1" applyFill="1" applyBorder="1"/>
    <xf numFmtId="0" fontId="60" fillId="0" borderId="0" xfId="364" applyFont="1" applyAlignment="1">
      <alignment wrapText="1"/>
    </xf>
    <xf numFmtId="10" fontId="60" fillId="27" borderId="0" xfId="97" applyNumberFormat="1" applyFont="1" applyFill="1"/>
    <xf numFmtId="10" fontId="64" fillId="27" borderId="0" xfId="97" applyNumberFormat="1" applyFont="1" applyFill="1"/>
    <xf numFmtId="174" fontId="64" fillId="0" borderId="0" xfId="85" applyFont="1"/>
    <xf numFmtId="0" fontId="93" fillId="27" borderId="0" xfId="43" applyFont="1" applyFill="1" applyAlignment="1">
      <alignment horizontal="center"/>
    </xf>
    <xf numFmtId="0" fontId="93" fillId="27" borderId="0" xfId="43" applyFont="1" applyFill="1"/>
    <xf numFmtId="3" fontId="64" fillId="27" borderId="0" xfId="43" applyNumberFormat="1" applyFont="1" applyFill="1" applyAlignment="1">
      <alignment horizontal="centerContinuous"/>
    </xf>
    <xf numFmtId="0" fontId="60" fillId="27" borderId="26" xfId="43" applyFont="1" applyFill="1" applyBorder="1" applyAlignment="1">
      <alignment horizontal="centerContinuous" vertical="center" wrapText="1"/>
    </xf>
    <xf numFmtId="0" fontId="59" fillId="27" borderId="32" xfId="43" applyFont="1" applyFill="1" applyBorder="1" applyAlignment="1">
      <alignment horizontal="centerContinuous" vertical="center" wrapText="1"/>
    </xf>
    <xf numFmtId="0" fontId="60" fillId="27" borderId="14" xfId="43" applyFont="1" applyFill="1" applyBorder="1" applyAlignment="1">
      <alignment horizontal="centerContinuous" vertical="center" wrapText="1"/>
    </xf>
    <xf numFmtId="0" fontId="59" fillId="27" borderId="24" xfId="43" applyFont="1" applyFill="1" applyBorder="1" applyAlignment="1">
      <alignment horizontal="center" vertical="center" wrapText="1"/>
    </xf>
    <xf numFmtId="10" fontId="60" fillId="27" borderId="32" xfId="97" applyNumberFormat="1" applyFont="1" applyFill="1" applyBorder="1"/>
    <xf numFmtId="0" fontId="94" fillId="0" borderId="0" xfId="364" applyFont="1"/>
    <xf numFmtId="3" fontId="95" fillId="29" borderId="15" xfId="43" applyNumberFormat="1" applyFont="1" applyFill="1" applyBorder="1" applyAlignment="1">
      <alignment vertical="center"/>
    </xf>
    <xf numFmtId="10" fontId="94" fillId="29" borderId="15" xfId="97" applyNumberFormat="1" applyFont="1" applyFill="1" applyBorder="1"/>
    <xf numFmtId="174" fontId="96" fillId="0" borderId="0" xfId="85" applyFont="1"/>
    <xf numFmtId="10" fontId="60" fillId="27" borderId="15" xfId="97" applyNumberFormat="1" applyFont="1" applyFill="1" applyBorder="1"/>
    <xf numFmtId="10" fontId="65" fillId="29" borderId="15" xfId="97" applyNumberFormat="1" applyFont="1" applyFill="1" applyBorder="1" applyAlignment="1">
      <alignment horizontal="center" vertical="center"/>
    </xf>
    <xf numFmtId="0" fontId="65" fillId="27" borderId="14" xfId="43" applyFont="1" applyFill="1" applyBorder="1"/>
    <xf numFmtId="3" fontId="95" fillId="27" borderId="15" xfId="43" applyNumberFormat="1" applyFont="1" applyFill="1" applyBorder="1"/>
    <xf numFmtId="10" fontId="95" fillId="27" borderId="15" xfId="97" applyNumberFormat="1" applyFont="1" applyFill="1" applyBorder="1" applyAlignment="1">
      <alignment horizontal="center"/>
    </xf>
    <xf numFmtId="0" fontId="73" fillId="27" borderId="14" xfId="43" applyFont="1" applyFill="1" applyBorder="1" applyAlignment="1">
      <alignment vertical="center"/>
    </xf>
    <xf numFmtId="3" fontId="73" fillId="27" borderId="15" xfId="43" applyNumberFormat="1" applyFont="1" applyFill="1" applyBorder="1"/>
    <xf numFmtId="10" fontId="73" fillId="27" borderId="15" xfId="97" applyNumberFormat="1" applyFont="1" applyFill="1" applyBorder="1" applyAlignment="1">
      <alignment horizontal="center" vertical="center"/>
    </xf>
    <xf numFmtId="0" fontId="69" fillId="0" borderId="0" xfId="364" applyFont="1"/>
    <xf numFmtId="0" fontId="73" fillId="27" borderId="14" xfId="43" applyFont="1" applyFill="1" applyBorder="1"/>
    <xf numFmtId="10" fontId="63" fillId="27" borderId="15" xfId="97" applyNumberFormat="1" applyFont="1" applyFill="1" applyBorder="1" applyAlignment="1">
      <alignment horizontal="center"/>
    </xf>
    <xf numFmtId="10" fontId="60" fillId="27" borderId="24" xfId="97" applyNumberFormat="1" applyFont="1" applyFill="1" applyBorder="1"/>
    <xf numFmtId="0" fontId="95" fillId="27" borderId="14" xfId="43" applyFont="1" applyFill="1" applyBorder="1"/>
    <xf numFmtId="3" fontId="73" fillId="0" borderId="15" xfId="43" applyNumberFormat="1" applyFont="1" applyFill="1" applyBorder="1" applyAlignment="1">
      <alignment vertical="center"/>
    </xf>
    <xf numFmtId="0" fontId="59" fillId="27" borderId="14" xfId="43" applyFont="1" applyFill="1" applyBorder="1" applyAlignment="1">
      <alignment vertical="center"/>
    </xf>
    <xf numFmtId="3" fontId="59" fillId="27" borderId="15" xfId="43" applyNumberFormat="1" applyFont="1" applyFill="1" applyBorder="1" applyAlignment="1">
      <alignment vertical="center"/>
    </xf>
    <xf numFmtId="10" fontId="59" fillId="27" borderId="15" xfId="97" applyNumberFormat="1" applyFont="1" applyFill="1" applyBorder="1" applyAlignment="1">
      <alignment horizontal="center" vertical="center"/>
    </xf>
    <xf numFmtId="3" fontId="59" fillId="28" borderId="15" xfId="43" applyNumberFormat="1" applyFont="1" applyFill="1" applyBorder="1" applyAlignment="1">
      <alignment vertical="center"/>
    </xf>
    <xf numFmtId="3" fontId="59" fillId="0" borderId="15" xfId="43" applyNumberFormat="1" applyFont="1" applyFill="1" applyBorder="1" applyAlignment="1">
      <alignment vertical="center"/>
    </xf>
    <xf numFmtId="171" fontId="60" fillId="0" borderId="0" xfId="364" applyNumberFormat="1" applyFont="1"/>
    <xf numFmtId="0" fontId="69" fillId="27" borderId="14" xfId="43" applyFont="1" applyFill="1" applyBorder="1"/>
    <xf numFmtId="3" fontId="69" fillId="28" borderId="15" xfId="43" applyNumberFormat="1" applyFont="1" applyFill="1" applyBorder="1"/>
    <xf numFmtId="204" fontId="63" fillId="27" borderId="15" xfId="97" applyNumberFormat="1" applyFont="1" applyFill="1" applyBorder="1" applyAlignment="1">
      <alignment horizontal="center"/>
    </xf>
    <xf numFmtId="3" fontId="73" fillId="28" borderId="15" xfId="43" applyNumberFormat="1" applyFont="1" applyFill="1" applyBorder="1" applyAlignment="1">
      <alignment vertical="center"/>
    </xf>
    <xf numFmtId="10" fontId="94" fillId="27" borderId="15" xfId="97" applyNumberFormat="1" applyFont="1" applyFill="1" applyBorder="1" applyAlignment="1">
      <alignment horizontal="center"/>
    </xf>
    <xf numFmtId="10" fontId="59" fillId="28" borderId="15" xfId="97" applyNumberFormat="1" applyFont="1" applyFill="1" applyBorder="1" applyAlignment="1">
      <alignment horizontal="center" vertical="center"/>
    </xf>
    <xf numFmtId="0" fontId="60" fillId="28" borderId="0" xfId="364" applyFont="1" applyFill="1"/>
    <xf numFmtId="3" fontId="95" fillId="28" borderId="15" xfId="43" applyNumberFormat="1" applyFont="1" applyFill="1" applyBorder="1"/>
    <xf numFmtId="10" fontId="63" fillId="27" borderId="15" xfId="97" applyNumberFormat="1" applyFont="1" applyFill="1" applyBorder="1" applyAlignment="1">
      <alignment horizontal="center" vertical="center"/>
    </xf>
    <xf numFmtId="205" fontId="60" fillId="0" borderId="0" xfId="85" applyNumberFormat="1" applyFont="1"/>
    <xf numFmtId="3" fontId="73" fillId="28" borderId="15" xfId="43" applyNumberFormat="1" applyFont="1" applyFill="1" applyBorder="1"/>
    <xf numFmtId="3" fontId="60" fillId="27" borderId="24" xfId="43" applyNumberFormat="1" applyFont="1" applyFill="1" applyBorder="1"/>
    <xf numFmtId="0" fontId="60" fillId="0" borderId="0" xfId="364" applyFont="1" applyBorder="1"/>
    <xf numFmtId="3" fontId="60" fillId="27" borderId="49" xfId="43" applyNumberFormat="1" applyFont="1" applyFill="1" applyBorder="1"/>
    <xf numFmtId="0" fontId="60" fillId="0" borderId="42" xfId="364" applyFont="1" applyBorder="1"/>
    <xf numFmtId="0" fontId="95" fillId="29" borderId="32" xfId="43" applyFont="1" applyFill="1" applyBorder="1" applyAlignment="1">
      <alignment vertical="center"/>
    </xf>
    <xf numFmtId="3" fontId="75" fillId="29" borderId="32" xfId="43" applyNumberFormat="1" applyFont="1" applyFill="1" applyBorder="1"/>
    <xf numFmtId="10" fontId="95" fillId="29" borderId="32" xfId="97" applyNumberFormat="1" applyFont="1" applyFill="1" applyBorder="1" applyAlignment="1">
      <alignment horizontal="center" vertical="center"/>
    </xf>
    <xf numFmtId="0" fontId="61" fillId="27" borderId="15" xfId="43" applyFont="1" applyFill="1" applyBorder="1"/>
    <xf numFmtId="3" fontId="59" fillId="27" borderId="15" xfId="43" applyNumberFormat="1" applyFont="1" applyFill="1" applyBorder="1"/>
    <xf numFmtId="10" fontId="59" fillId="27" borderId="15" xfId="97" applyNumberFormat="1" applyFont="1" applyFill="1" applyBorder="1"/>
    <xf numFmtId="0" fontId="65" fillId="29" borderId="15" xfId="43" applyFont="1" applyFill="1" applyBorder="1" applyAlignment="1">
      <alignment vertical="center"/>
    </xf>
    <xf numFmtId="10" fontId="65" fillId="29" borderId="15" xfId="43" applyNumberFormat="1" applyFont="1" applyFill="1" applyBorder="1" applyAlignment="1">
      <alignment horizontal="center" vertical="center"/>
    </xf>
    <xf numFmtId="0" fontId="59" fillId="27" borderId="15" xfId="43" applyFont="1" applyFill="1" applyBorder="1"/>
    <xf numFmtId="0" fontId="60" fillId="0" borderId="49" xfId="43" applyFont="1" applyFill="1" applyBorder="1" applyAlignment="1">
      <alignment vertical="center"/>
    </xf>
    <xf numFmtId="0" fontId="59" fillId="0" borderId="0" xfId="0" applyFont="1"/>
    <xf numFmtId="0" fontId="60" fillId="0" borderId="0" xfId="0" applyFont="1"/>
    <xf numFmtId="0" fontId="64" fillId="28" borderId="0" xfId="43" applyFont="1" applyFill="1"/>
    <xf numFmtId="178" fontId="64" fillId="28" borderId="0" xfId="43" applyNumberFormat="1" applyFont="1" applyFill="1" applyAlignment="1" applyProtection="1">
      <alignment horizontal="right"/>
    </xf>
    <xf numFmtId="0" fontId="64" fillId="0" borderId="0" xfId="0" applyFont="1"/>
    <xf numFmtId="0" fontId="93" fillId="28" borderId="0" xfId="43" applyFont="1" applyFill="1" applyAlignment="1"/>
    <xf numFmtId="178" fontId="93" fillId="27" borderId="0" xfId="43" applyNumberFormat="1" applyFont="1" applyFill="1" applyBorder="1" applyAlignment="1" applyProtection="1">
      <alignment horizontal="center"/>
    </xf>
    <xf numFmtId="178" fontId="86" fillId="29" borderId="32" xfId="43" applyNumberFormat="1" applyFont="1" applyFill="1" applyBorder="1" applyAlignment="1" applyProtection="1">
      <alignment horizontal="center" vertical="center"/>
    </xf>
    <xf numFmtId="178" fontId="86" fillId="29" borderId="15" xfId="43" applyNumberFormat="1" applyFont="1" applyFill="1" applyBorder="1" applyAlignment="1" applyProtection="1">
      <alignment horizontal="center" vertical="center"/>
    </xf>
    <xf numFmtId="3" fontId="80" fillId="29" borderId="15" xfId="43" applyNumberFormat="1" applyFont="1" applyFill="1" applyBorder="1" applyAlignment="1">
      <alignment horizontal="center"/>
    </xf>
    <xf numFmtId="178" fontId="86" fillId="29" borderId="91" xfId="43" applyNumberFormat="1" applyFont="1" applyFill="1" applyBorder="1" applyAlignment="1" applyProtection="1">
      <alignment horizontal="center" vertical="center"/>
    </xf>
    <xf numFmtId="10" fontId="86" fillId="29" borderId="76" xfId="368" applyNumberFormat="1" applyFont="1" applyFill="1" applyBorder="1" applyAlignment="1" applyProtection="1">
      <alignment horizontal="center"/>
    </xf>
    <xf numFmtId="178" fontId="62" fillId="27" borderId="36" xfId="43" applyNumberFormat="1" applyFont="1" applyFill="1" applyBorder="1" applyAlignment="1" applyProtection="1"/>
    <xf numFmtId="3" fontId="60" fillId="28" borderId="18" xfId="43" applyNumberFormat="1" applyFont="1" applyFill="1" applyBorder="1" applyAlignment="1">
      <alignment horizontal="right"/>
    </xf>
    <xf numFmtId="10" fontId="59" fillId="27" borderId="20" xfId="368" applyNumberFormat="1" applyFont="1" applyFill="1" applyBorder="1" applyAlignment="1" applyProtection="1">
      <alignment horizontal="center"/>
    </xf>
    <xf numFmtId="0" fontId="69" fillId="0" borderId="0" xfId="0" applyFont="1"/>
    <xf numFmtId="3" fontId="77" fillId="29" borderId="18" xfId="371" applyNumberFormat="1" applyFont="1" applyFill="1" applyBorder="1" applyAlignment="1" applyProtection="1">
      <alignment horizontal="right" vertical="center"/>
    </xf>
    <xf numFmtId="10" fontId="77" fillId="29" borderId="20" xfId="368" applyNumberFormat="1" applyFont="1" applyFill="1" applyBorder="1" applyAlignment="1" applyProtection="1">
      <alignment horizontal="center" vertical="center"/>
    </xf>
    <xf numFmtId="3" fontId="60" fillId="0" borderId="18" xfId="43" applyNumberFormat="1" applyFont="1" applyFill="1" applyBorder="1" applyAlignment="1">
      <alignment horizontal="right"/>
    </xf>
    <xf numFmtId="10" fontId="59" fillId="0" borderId="20" xfId="368" applyNumberFormat="1" applyFont="1" applyFill="1" applyBorder="1" applyAlignment="1" applyProtection="1">
      <alignment horizontal="center"/>
    </xf>
    <xf numFmtId="178" fontId="61" fillId="27" borderId="15" xfId="43" applyNumberFormat="1" applyFont="1" applyFill="1" applyBorder="1" applyAlignment="1" applyProtection="1">
      <alignment vertical="center"/>
    </xf>
    <xf numFmtId="3" fontId="61" fillId="28" borderId="18" xfId="43" applyNumberFormat="1" applyFont="1" applyFill="1" applyBorder="1" applyAlignment="1" applyProtection="1">
      <alignment horizontal="right" vertical="center"/>
    </xf>
    <xf numFmtId="10" fontId="61" fillId="27" borderId="20" xfId="368" applyNumberFormat="1" applyFont="1" applyFill="1" applyBorder="1" applyAlignment="1" applyProtection="1">
      <alignment horizontal="center" vertical="center"/>
    </xf>
    <xf numFmtId="3" fontId="61" fillId="0" borderId="18" xfId="43" applyNumberFormat="1" applyFont="1" applyFill="1" applyBorder="1" applyAlignment="1" applyProtection="1">
      <alignment horizontal="right" vertical="center"/>
    </xf>
    <xf numFmtId="10" fontId="61" fillId="0" borderId="20" xfId="368" applyNumberFormat="1" applyFont="1" applyFill="1" applyBorder="1" applyAlignment="1" applyProtection="1">
      <alignment horizontal="center" vertical="center"/>
    </xf>
    <xf numFmtId="178" fontId="61" fillId="27" borderId="15" xfId="43" applyNumberFormat="1" applyFont="1" applyFill="1" applyBorder="1" applyAlignment="1" applyProtection="1"/>
    <xf numFmtId="3" fontId="61" fillId="28" borderId="18" xfId="43" applyNumberFormat="1" applyFont="1" applyFill="1" applyBorder="1" applyAlignment="1" applyProtection="1">
      <alignment horizontal="right"/>
    </xf>
    <xf numFmtId="10" fontId="61" fillId="27" borderId="20" xfId="368" applyNumberFormat="1" applyFont="1" applyFill="1" applyBorder="1" applyAlignment="1" applyProtection="1">
      <alignment horizontal="center"/>
    </xf>
    <xf numFmtId="3" fontId="61" fillId="0" borderId="18" xfId="43" applyNumberFormat="1" applyFont="1" applyFill="1" applyBorder="1" applyAlignment="1" applyProtection="1">
      <alignment horizontal="right"/>
    </xf>
    <xf numFmtId="10" fontId="61" fillId="0" borderId="20" xfId="368" applyNumberFormat="1" applyFont="1" applyFill="1" applyBorder="1" applyAlignment="1" applyProtection="1">
      <alignment horizontal="center"/>
    </xf>
    <xf numFmtId="178" fontId="97" fillId="27" borderId="15" xfId="43" applyNumberFormat="1" applyFont="1" applyFill="1" applyBorder="1" applyAlignment="1" applyProtection="1">
      <alignment horizontal="left" vertical="center" indent="1"/>
    </xf>
    <xf numFmtId="3" fontId="59" fillId="28" borderId="18" xfId="43" applyNumberFormat="1" applyFont="1" applyFill="1" applyBorder="1" applyAlignment="1">
      <alignment horizontal="right" vertical="center"/>
    </xf>
    <xf numFmtId="10" fontId="59" fillId="27" borderId="20" xfId="368" applyNumberFormat="1" applyFont="1" applyFill="1" applyBorder="1" applyAlignment="1" applyProtection="1">
      <alignment horizontal="center" vertical="center"/>
    </xf>
    <xf numFmtId="3" fontId="59" fillId="0" borderId="18" xfId="43" applyNumberFormat="1" applyFont="1" applyFill="1" applyBorder="1" applyAlignment="1">
      <alignment horizontal="right" vertical="center"/>
    </xf>
    <xf numFmtId="10" fontId="59" fillId="0" borderId="20" xfId="368" applyNumberFormat="1" applyFont="1" applyFill="1" applyBorder="1" applyAlignment="1" applyProtection="1">
      <alignment horizontal="center" vertical="center"/>
    </xf>
    <xf numFmtId="178" fontId="97" fillId="27" borderId="15" xfId="43" applyNumberFormat="1" applyFont="1" applyFill="1" applyBorder="1" applyAlignment="1" applyProtection="1"/>
    <xf numFmtId="3" fontId="59" fillId="28" borderId="18" xfId="464" applyNumberFormat="1" applyFont="1" applyFill="1" applyBorder="1" applyAlignment="1">
      <alignment horizontal="right" vertical="center"/>
    </xf>
    <xf numFmtId="178" fontId="82" fillId="27" borderId="15" xfId="43" applyNumberFormat="1" applyFont="1" applyFill="1" applyBorder="1" applyAlignment="1" applyProtection="1">
      <alignment horizontal="left" vertical="center" indent="1"/>
    </xf>
    <xf numFmtId="3" fontId="82" fillId="28" borderId="18" xfId="464" applyNumberFormat="1" applyFont="1" applyFill="1" applyBorder="1" applyAlignment="1">
      <alignment horizontal="right" vertical="center"/>
    </xf>
    <xf numFmtId="10" fontId="82" fillId="27" borderId="20" xfId="368" applyNumberFormat="1" applyFont="1" applyFill="1" applyBorder="1" applyAlignment="1" applyProtection="1">
      <alignment horizontal="center" vertical="center"/>
    </xf>
    <xf numFmtId="3" fontId="82" fillId="0" borderId="18" xfId="43" applyNumberFormat="1" applyFont="1" applyFill="1" applyBorder="1" applyAlignment="1">
      <alignment horizontal="right" vertical="center"/>
    </xf>
    <xf numFmtId="10" fontId="82" fillId="0" borderId="20" xfId="368" applyNumberFormat="1" applyFont="1" applyFill="1" applyBorder="1" applyAlignment="1" applyProtection="1">
      <alignment horizontal="center" vertical="center"/>
    </xf>
    <xf numFmtId="178" fontId="82" fillId="27" borderId="15" xfId="43" applyNumberFormat="1" applyFont="1" applyFill="1" applyBorder="1" applyAlignment="1" applyProtection="1"/>
    <xf numFmtId="178" fontId="97" fillId="27" borderId="15" xfId="464" applyNumberFormat="1" applyFont="1" applyFill="1" applyBorder="1" applyAlignment="1" applyProtection="1">
      <alignment horizontal="left" vertical="center" indent="1"/>
    </xf>
    <xf numFmtId="3" fontId="59" fillId="0" borderId="18" xfId="464" applyNumberFormat="1" applyFont="1" applyFill="1" applyBorder="1" applyAlignment="1">
      <alignment horizontal="right" vertical="center"/>
    </xf>
    <xf numFmtId="3" fontId="82" fillId="28" borderId="18" xfId="43" applyNumberFormat="1" applyFont="1" applyFill="1" applyBorder="1" applyAlignment="1">
      <alignment horizontal="right" vertical="center"/>
    </xf>
    <xf numFmtId="10" fontId="82" fillId="27" borderId="20" xfId="368" applyNumberFormat="1" applyFont="1" applyFill="1" applyBorder="1" applyAlignment="1" applyProtection="1">
      <alignment horizontal="center"/>
    </xf>
    <xf numFmtId="3" fontId="59" fillId="28" borderId="18" xfId="43" applyNumberFormat="1" applyFont="1" applyFill="1" applyBorder="1" applyAlignment="1">
      <alignment horizontal="right"/>
    </xf>
    <xf numFmtId="3" fontId="59" fillId="0" borderId="18" xfId="43" applyNumberFormat="1" applyFont="1" applyFill="1" applyBorder="1" applyAlignment="1">
      <alignment horizontal="right"/>
    </xf>
    <xf numFmtId="178" fontId="97" fillId="27" borderId="14" xfId="43" applyNumberFormat="1" applyFont="1" applyFill="1" applyBorder="1" applyAlignment="1" applyProtection="1"/>
    <xf numFmtId="178" fontId="97" fillId="27" borderId="15" xfId="43" applyNumberFormat="1" applyFont="1" applyFill="1" applyBorder="1" applyAlignment="1" applyProtection="1">
      <alignment horizontal="left" indent="1"/>
    </xf>
    <xf numFmtId="178" fontId="97" fillId="27" borderId="24" xfId="43" applyNumberFormat="1" applyFont="1" applyFill="1" applyBorder="1" applyAlignment="1" applyProtection="1"/>
    <xf numFmtId="3" fontId="60" fillId="28" borderId="30" xfId="43" applyNumberFormat="1" applyFont="1" applyFill="1" applyBorder="1" applyAlignment="1">
      <alignment horizontal="right"/>
    </xf>
    <xf numFmtId="10" fontId="59" fillId="27" borderId="31" xfId="368" applyNumberFormat="1" applyFont="1" applyFill="1" applyBorder="1" applyAlignment="1" applyProtection="1">
      <alignment horizontal="center"/>
    </xf>
    <xf numFmtId="178" fontId="62" fillId="27" borderId="0" xfId="43" applyNumberFormat="1" applyFont="1" applyFill="1" applyBorder="1" applyAlignment="1" applyProtection="1"/>
    <xf numFmtId="39" fontId="62" fillId="27" borderId="0" xfId="43" applyNumberFormat="1" applyFont="1" applyFill="1" applyBorder="1" applyAlignment="1" applyProtection="1"/>
    <xf numFmtId="10" fontId="62" fillId="27" borderId="0" xfId="368" applyNumberFormat="1" applyFont="1" applyFill="1" applyBorder="1" applyAlignment="1" applyProtection="1"/>
    <xf numFmtId="0" fontId="60" fillId="0" borderId="0" xfId="43" applyFont="1"/>
    <xf numFmtId="0" fontId="60" fillId="0" borderId="0" xfId="43" applyFont="1" applyBorder="1"/>
    <xf numFmtId="10" fontId="62" fillId="27" borderId="0" xfId="97" applyNumberFormat="1" applyFont="1" applyFill="1" applyBorder="1" applyAlignment="1" applyProtection="1"/>
    <xf numFmtId="0" fontId="60" fillId="0" borderId="0" xfId="0" applyFont="1" applyAlignment="1">
      <alignment wrapText="1"/>
    </xf>
    <xf numFmtId="174" fontId="60" fillId="0" borderId="0" xfId="85" applyFont="1" applyAlignment="1">
      <alignment wrapText="1"/>
    </xf>
    <xf numFmtId="3" fontId="60" fillId="0" borderId="0" xfId="0" applyNumberFormat="1" applyFont="1" applyAlignment="1">
      <alignment wrapText="1"/>
    </xf>
    <xf numFmtId="0" fontId="59" fillId="0" borderId="0" xfId="43" applyFont="1" applyFill="1"/>
    <xf numFmtId="0" fontId="64" fillId="0" borderId="0" xfId="43" applyFont="1" applyFill="1"/>
    <xf numFmtId="0" fontId="60" fillId="0" borderId="0" xfId="43" applyFont="1" applyFill="1"/>
    <xf numFmtId="0" fontId="93" fillId="27" borderId="0" xfId="43" applyFont="1" applyFill="1" applyAlignment="1">
      <alignment horizontal="centerContinuous"/>
    </xf>
    <xf numFmtId="0" fontId="60" fillId="0" borderId="0" xfId="43" applyFont="1" applyFill="1" applyAlignment="1">
      <alignment vertical="center"/>
    </xf>
    <xf numFmtId="49" fontId="59" fillId="27" borderId="32" xfId="90" applyNumberFormat="1" applyFont="1" applyFill="1" applyBorder="1" applyAlignment="1">
      <alignment horizontal="center" vertical="center"/>
    </xf>
    <xf numFmtId="0" fontId="64" fillId="0" borderId="32" xfId="43" applyFont="1" applyFill="1" applyBorder="1"/>
    <xf numFmtId="49" fontId="64" fillId="27" borderId="32" xfId="90" applyNumberFormat="1" applyFont="1" applyFill="1" applyBorder="1" applyAlignment="1">
      <alignment horizontal="center"/>
    </xf>
    <xf numFmtId="0" fontId="95" fillId="29" borderId="15" xfId="43" applyFont="1" applyFill="1" applyBorder="1" applyAlignment="1">
      <alignment horizontal="left" vertical="center" wrapText="1"/>
    </xf>
    <xf numFmtId="187" fontId="95" fillId="29" borderId="15" xfId="51" applyNumberFormat="1" applyFont="1" applyFill="1" applyBorder="1" applyAlignment="1">
      <alignment horizontal="center" vertical="center" wrapText="1"/>
    </xf>
    <xf numFmtId="0" fontId="64" fillId="0" borderId="15" xfId="43" applyFont="1" applyBorder="1"/>
    <xf numFmtId="0" fontId="64" fillId="0" borderId="15" xfId="43" applyFont="1" applyFill="1" applyBorder="1" applyAlignment="1"/>
    <xf numFmtId="0" fontId="65" fillId="29" borderId="15" xfId="90" applyFont="1" applyFill="1" applyBorder="1" applyAlignment="1">
      <alignment vertical="center"/>
    </xf>
    <xf numFmtId="187" fontId="65" fillId="29" borderId="15" xfId="51" applyNumberFormat="1" applyFont="1" applyFill="1" applyBorder="1" applyAlignment="1">
      <alignment horizontal="center" vertical="center" wrapText="1"/>
    </xf>
    <xf numFmtId="0" fontId="80" fillId="27" borderId="15" xfId="90" applyFont="1" applyFill="1" applyBorder="1" applyAlignment="1">
      <alignment vertical="center"/>
    </xf>
    <xf numFmtId="187" fontId="80" fillId="27" borderId="15" xfId="51" applyNumberFormat="1" applyFont="1" applyFill="1" applyBorder="1" applyAlignment="1">
      <alignment horizontal="center" vertical="center" wrapText="1"/>
    </xf>
    <xf numFmtId="0" fontId="64" fillId="27" borderId="15" xfId="43" applyFont="1" applyFill="1" applyBorder="1"/>
    <xf numFmtId="187" fontId="64" fillId="27" borderId="15" xfId="51" applyNumberFormat="1" applyFont="1" applyFill="1" applyBorder="1" applyAlignment="1">
      <alignment horizontal="center"/>
    </xf>
    <xf numFmtId="187" fontId="60" fillId="27" borderId="15" xfId="51" applyNumberFormat="1" applyFont="1" applyFill="1" applyBorder="1" applyAlignment="1">
      <alignment horizontal="center"/>
    </xf>
    <xf numFmtId="0" fontId="59" fillId="27" borderId="15" xfId="90" applyFont="1" applyFill="1" applyBorder="1" applyAlignment="1">
      <alignment vertical="center"/>
    </xf>
    <xf numFmtId="187" fontId="59" fillId="27" borderId="15" xfId="51" applyNumberFormat="1" applyFont="1" applyFill="1" applyBorder="1" applyAlignment="1">
      <alignment horizontal="center" vertical="center" wrapText="1"/>
    </xf>
    <xf numFmtId="0" fontId="60" fillId="27" borderId="15" xfId="90" applyFont="1" applyFill="1" applyBorder="1"/>
    <xf numFmtId="187" fontId="60" fillId="27" borderId="15" xfId="51" applyNumberFormat="1" applyFont="1" applyFill="1" applyBorder="1" applyAlignment="1">
      <alignment horizontal="center" vertical="center" wrapText="1"/>
    </xf>
    <xf numFmtId="187" fontId="60" fillId="27" borderId="24" xfId="51" applyNumberFormat="1" applyFont="1" applyFill="1" applyBorder="1" applyAlignment="1">
      <alignment horizontal="center"/>
    </xf>
    <xf numFmtId="0" fontId="61" fillId="27" borderId="0" xfId="43" applyFont="1" applyFill="1" applyAlignment="1"/>
    <xf numFmtId="0" fontId="59" fillId="0" borderId="0" xfId="43" applyFont="1"/>
    <xf numFmtId="0" fontId="61" fillId="27" borderId="0" xfId="43" applyFont="1" applyFill="1"/>
    <xf numFmtId="0" fontId="60" fillId="27" borderId="0" xfId="43" applyFont="1" applyFill="1" applyAlignment="1">
      <alignment horizontal="right"/>
    </xf>
    <xf numFmtId="0" fontId="64" fillId="0" borderId="0" xfId="43" applyFont="1"/>
    <xf numFmtId="0" fontId="64" fillId="27" borderId="0" xfId="43" applyFont="1" applyFill="1" applyAlignment="1">
      <alignment horizontal="centerContinuous"/>
    </xf>
    <xf numFmtId="0" fontId="64" fillId="27" borderId="0" xfId="43" applyFont="1" applyFill="1" applyAlignment="1">
      <alignment horizontal="right"/>
    </xf>
    <xf numFmtId="0" fontId="60" fillId="27" borderId="0" xfId="43" applyFont="1" applyFill="1" applyAlignment="1">
      <alignment horizontal="centerContinuous"/>
    </xf>
    <xf numFmtId="15" fontId="60" fillId="0" borderId="18" xfId="43" applyNumberFormat="1" applyFont="1" applyFill="1" applyBorder="1" applyAlignment="1">
      <alignment horizontal="center"/>
    </xf>
    <xf numFmtId="0" fontId="66" fillId="0" borderId="19" xfId="43" applyFont="1" applyFill="1" applyBorder="1"/>
    <xf numFmtId="1" fontId="61" fillId="0" borderId="62" xfId="43" applyNumberFormat="1" applyFont="1" applyFill="1" applyBorder="1" applyAlignment="1">
      <alignment horizontal="center"/>
    </xf>
    <xf numFmtId="3" fontId="98" fillId="0" borderId="52" xfId="43" applyNumberFormat="1" applyFont="1" applyFill="1" applyBorder="1" applyAlignment="1">
      <alignment vertical="center" wrapText="1"/>
    </xf>
    <xf numFmtId="3" fontId="98" fillId="0" borderId="59" xfId="43" applyNumberFormat="1" applyFont="1" applyFill="1" applyBorder="1" applyAlignment="1">
      <alignment vertical="center" wrapText="1"/>
    </xf>
    <xf numFmtId="15" fontId="99" fillId="0" borderId="18" xfId="43" applyNumberFormat="1" applyFont="1" applyFill="1" applyBorder="1" applyAlignment="1">
      <alignment horizontal="center"/>
    </xf>
    <xf numFmtId="0" fontId="100" fillId="0" borderId="19" xfId="43" applyFont="1" applyFill="1" applyBorder="1"/>
    <xf numFmtId="1" fontId="101" fillId="0" borderId="62" xfId="43" applyNumberFormat="1" applyFont="1" applyFill="1" applyBorder="1" applyAlignment="1">
      <alignment horizontal="center"/>
    </xf>
    <xf numFmtId="3" fontId="91" fillId="0" borderId="19" xfId="43" applyNumberFormat="1" applyFont="1" applyFill="1" applyBorder="1" applyAlignment="1">
      <alignment horizontal="right" indent="1"/>
    </xf>
    <xf numFmtId="3" fontId="91" fillId="0" borderId="20" xfId="43" applyNumberFormat="1" applyFont="1" applyFill="1" applyBorder="1" applyAlignment="1">
      <alignment horizontal="right" indent="1"/>
    </xf>
    <xf numFmtId="3" fontId="59" fillId="0" borderId="19" xfId="43" applyNumberFormat="1" applyFont="1" applyFill="1" applyBorder="1" applyAlignment="1">
      <alignment horizontal="right" indent="1"/>
    </xf>
    <xf numFmtId="3" fontId="59" fillId="0" borderId="20" xfId="43" applyNumberFormat="1" applyFont="1" applyFill="1" applyBorder="1" applyAlignment="1">
      <alignment horizontal="right" indent="1"/>
    </xf>
    <xf numFmtId="0" fontId="102" fillId="0" borderId="19" xfId="43" applyFont="1" applyFill="1" applyBorder="1"/>
    <xf numFmtId="1" fontId="103" fillId="0" borderId="62" xfId="43" applyNumberFormat="1" applyFont="1" applyFill="1" applyBorder="1" applyAlignment="1">
      <alignment horizontal="center"/>
    </xf>
    <xf numFmtId="3" fontId="61" fillId="0" borderId="19" xfId="43" applyNumberFormat="1" applyFont="1" applyFill="1" applyBorder="1" applyAlignment="1">
      <alignment horizontal="right" indent="1"/>
    </xf>
    <xf numFmtId="3" fontId="61" fillId="0" borderId="20" xfId="43" applyNumberFormat="1" applyFont="1" applyFill="1" applyBorder="1" applyAlignment="1">
      <alignment horizontal="right" indent="1"/>
    </xf>
    <xf numFmtId="0" fontId="60" fillId="0" borderId="19" xfId="43" applyFont="1" applyFill="1" applyBorder="1"/>
    <xf numFmtId="10" fontId="99" fillId="0" borderId="19" xfId="368" applyNumberFormat="1" applyFont="1" applyFill="1" applyBorder="1" applyAlignment="1">
      <alignment horizontal="center"/>
    </xf>
    <xf numFmtId="1" fontId="104" fillId="0" borderId="62" xfId="43" applyNumberFormat="1" applyFont="1" applyFill="1" applyBorder="1" applyAlignment="1">
      <alignment horizontal="center"/>
    </xf>
    <xf numFmtId="201" fontId="104" fillId="0" borderId="19" xfId="85" applyNumberFormat="1" applyFont="1" applyFill="1" applyBorder="1" applyAlignment="1">
      <alignment horizontal="center"/>
    </xf>
    <xf numFmtId="201" fontId="104" fillId="0" borderId="20" xfId="85" applyNumberFormat="1" applyFont="1" applyFill="1" applyBorder="1" applyAlignment="1">
      <alignment horizontal="center"/>
    </xf>
    <xf numFmtId="3" fontId="59" fillId="0" borderId="19" xfId="43" quotePrefix="1" applyNumberFormat="1" applyFont="1" applyFill="1" applyBorder="1" applyAlignment="1">
      <alignment horizontal="right" indent="1"/>
    </xf>
    <xf numFmtId="0" fontId="61" fillId="0" borderId="0" xfId="364" applyFont="1"/>
    <xf numFmtId="15" fontId="102" fillId="0" borderId="18" xfId="43" applyNumberFormat="1" applyFont="1" applyFill="1" applyBorder="1" applyAlignment="1">
      <alignment horizontal="center"/>
    </xf>
    <xf numFmtId="10" fontId="102" fillId="0" borderId="19" xfId="368" applyNumberFormat="1" applyFont="1" applyFill="1" applyBorder="1" applyAlignment="1">
      <alignment horizontal="center"/>
    </xf>
    <xf numFmtId="3" fontId="61" fillId="0" borderId="19" xfId="43" quotePrefix="1" applyNumberFormat="1" applyFont="1" applyFill="1" applyBorder="1" applyAlignment="1">
      <alignment horizontal="right" indent="1"/>
    </xf>
    <xf numFmtId="3" fontId="61" fillId="0" borderId="20" xfId="43" quotePrefix="1" applyNumberFormat="1" applyFont="1" applyFill="1" applyBorder="1" applyAlignment="1">
      <alignment horizontal="right" indent="1"/>
    </xf>
    <xf numFmtId="0" fontId="61" fillId="0" borderId="0" xfId="43" applyFont="1"/>
    <xf numFmtId="10" fontId="60" fillId="0" borderId="19" xfId="43" applyNumberFormat="1" applyFont="1" applyFill="1" applyBorder="1" applyAlignment="1">
      <alignment horizontal="center"/>
    </xf>
    <xf numFmtId="212" fontId="60" fillId="0" borderId="19" xfId="43" applyNumberFormat="1" applyFont="1" applyFill="1" applyBorder="1" applyAlignment="1">
      <alignment horizontal="center"/>
    </xf>
    <xf numFmtId="211" fontId="60" fillId="0" borderId="0" xfId="43" applyNumberFormat="1" applyFont="1" applyFill="1" applyBorder="1" applyAlignment="1">
      <alignment horizontal="center"/>
    </xf>
    <xf numFmtId="0" fontId="60" fillId="0" borderId="19" xfId="43" applyFont="1" applyFill="1" applyBorder="1" applyAlignment="1">
      <alignment horizontal="center"/>
    </xf>
    <xf numFmtId="10" fontId="60" fillId="0" borderId="19" xfId="97" applyNumberFormat="1" applyFont="1" applyFill="1" applyBorder="1" applyAlignment="1">
      <alignment horizontal="center"/>
    </xf>
    <xf numFmtId="10" fontId="99" fillId="0" borderId="19" xfId="97" applyNumberFormat="1" applyFont="1" applyFill="1" applyBorder="1" applyAlignment="1">
      <alignment horizontal="center"/>
    </xf>
    <xf numFmtId="10" fontId="99" fillId="0" borderId="0" xfId="97" applyNumberFormat="1" applyFont="1" applyFill="1" applyBorder="1" applyAlignment="1">
      <alignment horizontal="center"/>
    </xf>
    <xf numFmtId="0" fontId="105" fillId="0" borderId="19" xfId="43" applyFont="1" applyFill="1" applyBorder="1"/>
    <xf numFmtId="179" fontId="102" fillId="0" borderId="19" xfId="368" applyNumberFormat="1" applyFont="1" applyFill="1" applyBorder="1" applyAlignment="1">
      <alignment horizontal="center"/>
    </xf>
    <xf numFmtId="201" fontId="103" fillId="0" borderId="20" xfId="85" applyNumberFormat="1" applyFont="1" applyFill="1" applyBorder="1" applyAlignment="1">
      <alignment horizontal="center"/>
    </xf>
    <xf numFmtId="0" fontId="99" fillId="0" borderId="19" xfId="43" applyFont="1" applyFill="1" applyBorder="1"/>
    <xf numFmtId="10" fontId="60" fillId="0" borderId="0" xfId="97" applyNumberFormat="1" applyFont="1"/>
    <xf numFmtId="3" fontId="65" fillId="29" borderId="71" xfId="43" applyNumberFormat="1" applyFont="1" applyFill="1" applyBorder="1" applyAlignment="1">
      <alignment horizontal="right" vertical="center" indent="1"/>
    </xf>
    <xf numFmtId="3" fontId="65" fillId="29" borderId="100" xfId="43" applyNumberFormat="1" applyFont="1" applyFill="1" applyBorder="1" applyAlignment="1">
      <alignment horizontal="right" vertical="center" indent="1"/>
    </xf>
    <xf numFmtId="15" fontId="60" fillId="0" borderId="0" xfId="43" applyNumberFormat="1" applyFont="1" applyFill="1" applyAlignment="1">
      <alignment horizontal="center"/>
    </xf>
    <xf numFmtId="3" fontId="59" fillId="0" borderId="0" xfId="43" applyNumberFormat="1" applyFont="1" applyFill="1"/>
    <xf numFmtId="15" fontId="60" fillId="0" borderId="0" xfId="43" applyNumberFormat="1" applyFont="1" applyFill="1" applyAlignment="1"/>
    <xf numFmtId="174" fontId="60" fillId="0" borderId="0" xfId="366" applyFont="1" applyFill="1"/>
    <xf numFmtId="196" fontId="60" fillId="0" borderId="0" xfId="85" applyNumberFormat="1" applyFont="1" applyFill="1"/>
    <xf numFmtId="3" fontId="60" fillId="0" borderId="0" xfId="43" applyNumberFormat="1" applyFont="1" applyFill="1"/>
    <xf numFmtId="196" fontId="66" fillId="0" borderId="0" xfId="85" applyNumberFormat="1" applyFont="1" applyFill="1"/>
    <xf numFmtId="174" fontId="59" fillId="0" borderId="0" xfId="85" applyFont="1" applyFill="1"/>
    <xf numFmtId="196" fontId="59" fillId="0" borderId="0" xfId="85" applyNumberFormat="1" applyFont="1" applyFill="1"/>
    <xf numFmtId="191" fontId="60" fillId="27" borderId="0" xfId="86" applyNumberFormat="1" applyFont="1" applyFill="1"/>
    <xf numFmtId="191" fontId="64" fillId="27" borderId="0" xfId="86" applyNumberFormat="1" applyFont="1" applyFill="1" applyAlignment="1">
      <alignment horizontal="centerContinuous"/>
    </xf>
    <xf numFmtId="191" fontId="64" fillId="27" borderId="0" xfId="86" applyNumberFormat="1" applyFont="1" applyFill="1"/>
    <xf numFmtId="0" fontId="60" fillId="0" borderId="0" xfId="43" applyFont="1" applyFill="1" applyBorder="1"/>
    <xf numFmtId="0" fontId="59" fillId="0" borderId="0" xfId="89" applyFont="1" applyFill="1" applyBorder="1" applyAlignment="1">
      <alignment horizontal="left" wrapText="1"/>
    </xf>
    <xf numFmtId="191" fontId="93" fillId="27" borderId="0" xfId="86" applyNumberFormat="1" applyFont="1" applyFill="1" applyAlignment="1">
      <alignment horizontal="center"/>
    </xf>
    <xf numFmtId="191" fontId="62" fillId="27" borderId="0" xfId="86" applyNumberFormat="1" applyFont="1" applyFill="1"/>
    <xf numFmtId="191" fontId="60" fillId="27" borderId="0" xfId="86" applyNumberFormat="1" applyFont="1" applyFill="1" applyAlignment="1">
      <alignment horizontal="right" vertical="center"/>
    </xf>
    <xf numFmtId="15" fontId="104" fillId="0" borderId="0" xfId="43" applyNumberFormat="1" applyFont="1" applyFill="1" applyBorder="1" applyAlignment="1">
      <alignment horizontal="left"/>
    </xf>
    <xf numFmtId="0" fontId="107" fillId="0" borderId="14" xfId="43" applyFont="1" applyFill="1" applyBorder="1" applyAlignment="1">
      <alignment horizontal="center"/>
    </xf>
    <xf numFmtId="175" fontId="108" fillId="0" borderId="19" xfId="43" applyNumberFormat="1" applyFont="1" applyFill="1" applyBorder="1"/>
    <xf numFmtId="0" fontId="108" fillId="0" borderId="19" xfId="43" applyFont="1" applyFill="1" applyBorder="1" applyAlignment="1">
      <alignment horizontal="center"/>
    </xf>
    <xf numFmtId="1" fontId="107" fillId="0" borderId="0" xfId="43" applyNumberFormat="1" applyFont="1" applyFill="1" applyBorder="1" applyAlignment="1">
      <alignment horizontal="center"/>
    </xf>
    <xf numFmtId="191" fontId="109" fillId="0" borderId="19" xfId="365" applyNumberFormat="1" applyFont="1" applyFill="1" applyBorder="1"/>
    <xf numFmtId="191" fontId="59" fillId="0" borderId="62" xfId="365" applyNumberFormat="1" applyFont="1" applyFill="1" applyBorder="1"/>
    <xf numFmtId="191" fontId="59" fillId="0" borderId="20" xfId="365" applyNumberFormat="1" applyFont="1" applyFill="1" applyBorder="1"/>
    <xf numFmtId="0" fontId="110" fillId="0" borderId="19" xfId="43" applyFont="1" applyFill="1" applyBorder="1"/>
    <xf numFmtId="3" fontId="91" fillId="0" borderId="62" xfId="43" applyNumberFormat="1" applyFont="1" applyFill="1" applyBorder="1" applyAlignment="1">
      <alignment horizontal="right" indent="1"/>
    </xf>
    <xf numFmtId="0" fontId="69" fillId="0" borderId="0" xfId="43" applyFont="1" applyFill="1"/>
    <xf numFmtId="185" fontId="61" fillId="0" borderId="14" xfId="43" applyNumberFormat="1" applyFont="1" applyFill="1" applyBorder="1" applyAlignment="1">
      <alignment horizontal="center"/>
    </xf>
    <xf numFmtId="0" fontId="61" fillId="0" borderId="19" xfId="43" applyFont="1" applyFill="1" applyBorder="1"/>
    <xf numFmtId="10" fontId="61" fillId="0" borderId="19" xfId="43" applyNumberFormat="1" applyFont="1" applyFill="1" applyBorder="1" applyAlignment="1">
      <alignment horizontal="center"/>
    </xf>
    <xf numFmtId="1" fontId="61" fillId="0" borderId="0" xfId="43" applyNumberFormat="1" applyFont="1" applyFill="1" applyBorder="1" applyAlignment="1">
      <alignment horizontal="center"/>
    </xf>
    <xf numFmtId="3" fontId="61" fillId="0" borderId="19" xfId="365" applyNumberFormat="1" applyFont="1" applyFill="1" applyBorder="1" applyAlignment="1">
      <alignment horizontal="right" indent="1"/>
    </xf>
    <xf numFmtId="3" fontId="61" fillId="0" borderId="62" xfId="365" applyNumberFormat="1" applyFont="1" applyFill="1" applyBorder="1" applyAlignment="1">
      <alignment horizontal="right" indent="1"/>
    </xf>
    <xf numFmtId="3" fontId="61" fillId="0" borderId="20" xfId="365" applyNumberFormat="1" applyFont="1" applyFill="1" applyBorder="1" applyAlignment="1">
      <alignment horizontal="right" indent="1"/>
    </xf>
    <xf numFmtId="0" fontId="66" fillId="0" borderId="0" xfId="43" applyFont="1" applyFill="1"/>
    <xf numFmtId="0" fontId="59" fillId="0" borderId="19" xfId="89" applyFont="1" applyFill="1" applyBorder="1" applyAlignment="1">
      <alignment horizontal="left" wrapText="1"/>
    </xf>
    <xf numFmtId="10" fontId="59" fillId="0" borderId="19" xfId="43" applyNumberFormat="1" applyFont="1" applyFill="1" applyBorder="1" applyAlignment="1">
      <alignment horizontal="center"/>
    </xf>
    <xf numFmtId="1" fontId="59" fillId="0" borderId="0" xfId="43" applyNumberFormat="1" applyFont="1" applyFill="1" applyBorder="1" applyAlignment="1">
      <alignment horizontal="center"/>
    </xf>
    <xf numFmtId="3" fontId="59" fillId="0" borderId="62" xfId="43" quotePrefix="1" applyNumberFormat="1" applyFont="1" applyFill="1" applyBorder="1" applyAlignment="1">
      <alignment horizontal="right" indent="1"/>
    </xf>
    <xf numFmtId="3" fontId="59" fillId="0" borderId="20" xfId="43" quotePrefix="1" applyNumberFormat="1" applyFont="1" applyFill="1" applyBorder="1" applyAlignment="1">
      <alignment horizontal="right" indent="1"/>
    </xf>
    <xf numFmtId="0" fontId="61" fillId="0" borderId="0" xfId="43" applyFont="1" applyFill="1"/>
    <xf numFmtId="3" fontId="60" fillId="0" borderId="0" xfId="43" applyNumberFormat="1" applyFont="1" applyFill="1" applyBorder="1"/>
    <xf numFmtId="174" fontId="104" fillId="0" borderId="0" xfId="85" applyFont="1" applyFill="1" applyBorder="1" applyAlignment="1">
      <alignment horizontal="left"/>
    </xf>
    <xf numFmtId="174" fontId="60" fillId="0" borderId="0" xfId="85" applyFont="1" applyFill="1" applyBorder="1"/>
    <xf numFmtId="174" fontId="60" fillId="0" borderId="0" xfId="85" applyFont="1" applyFill="1"/>
    <xf numFmtId="3" fontId="59" fillId="0" borderId="19" xfId="365" applyNumberFormat="1" applyFont="1" applyFill="1" applyBorder="1" applyAlignment="1">
      <alignment horizontal="right" wrapText="1" indent="1"/>
    </xf>
    <xf numFmtId="3" fontId="59" fillId="0" borderId="62" xfId="365" applyNumberFormat="1" applyFont="1" applyFill="1" applyBorder="1" applyAlignment="1">
      <alignment horizontal="right" indent="1"/>
    </xf>
    <xf numFmtId="3" fontId="59" fillId="0" borderId="20" xfId="365" applyNumberFormat="1" applyFont="1" applyFill="1" applyBorder="1" applyAlignment="1">
      <alignment horizontal="right" indent="1"/>
    </xf>
    <xf numFmtId="3" fontId="61" fillId="0" borderId="19" xfId="365" applyNumberFormat="1" applyFont="1" applyFill="1" applyBorder="1" applyAlignment="1">
      <alignment horizontal="right" wrapText="1" indent="1"/>
    </xf>
    <xf numFmtId="171" fontId="60" fillId="0" borderId="0" xfId="43" applyNumberFormat="1" applyFont="1" applyFill="1"/>
    <xf numFmtId="0" fontId="61" fillId="0" borderId="19" xfId="43" applyFont="1" applyFill="1" applyBorder="1" applyAlignment="1">
      <alignment horizontal="center"/>
    </xf>
    <xf numFmtId="10" fontId="59" fillId="0" borderId="19" xfId="368" applyNumberFormat="1" applyFont="1" applyFill="1" applyBorder="1" applyAlignment="1">
      <alignment horizontal="center"/>
    </xf>
    <xf numFmtId="3" fontId="59" fillId="0" borderId="62" xfId="365" applyNumberFormat="1" applyFont="1" applyFill="1" applyBorder="1" applyAlignment="1">
      <alignment horizontal="right" wrapText="1" indent="1"/>
    </xf>
    <xf numFmtId="0" fontId="73" fillId="0" borderId="0" xfId="43" applyFont="1" applyFill="1"/>
    <xf numFmtId="0" fontId="81" fillId="0" borderId="19" xfId="43" applyFont="1" applyFill="1" applyBorder="1" applyAlignment="1">
      <alignment horizontal="left" wrapText="1"/>
    </xf>
    <xf numFmtId="10" fontId="61" fillId="0" borderId="19" xfId="368" applyNumberFormat="1" applyFont="1" applyFill="1" applyBorder="1" applyAlignment="1">
      <alignment horizontal="center"/>
    </xf>
    <xf numFmtId="185" fontId="59" fillId="0" borderId="14" xfId="43" applyNumberFormat="1" applyFont="1" applyFill="1" applyBorder="1" applyAlignment="1">
      <alignment horizontal="center"/>
    </xf>
    <xf numFmtId="0" fontId="111" fillId="0" borderId="19" xfId="89" applyFont="1" applyFill="1" applyBorder="1" applyAlignment="1">
      <alignment horizontal="left" wrapText="1"/>
    </xf>
    <xf numFmtId="191" fontId="111" fillId="0" borderId="19" xfId="365" applyNumberFormat="1" applyFont="1" applyFill="1" applyBorder="1" applyAlignment="1">
      <alignment horizontal="right" wrapText="1"/>
    </xf>
    <xf numFmtId="191" fontId="65" fillId="29" borderId="71" xfId="365" applyNumberFormat="1" applyFont="1" applyFill="1" applyBorder="1" applyAlignment="1">
      <alignment horizontal="right"/>
    </xf>
    <xf numFmtId="191" fontId="65" fillId="29" borderId="102" xfId="365" applyNumberFormat="1" applyFont="1" applyFill="1" applyBorder="1" applyAlignment="1">
      <alignment horizontal="right"/>
    </xf>
    <xf numFmtId="191" fontId="65" fillId="29" borderId="100" xfId="365" applyNumberFormat="1" applyFont="1" applyFill="1" applyBorder="1" applyAlignment="1">
      <alignment horizontal="right"/>
    </xf>
    <xf numFmtId="0" fontId="104" fillId="0" borderId="0" xfId="43" applyFont="1" applyFill="1"/>
    <xf numFmtId="191" fontId="59" fillId="0" borderId="0" xfId="365" applyNumberFormat="1" applyFont="1" applyFill="1"/>
    <xf numFmtId="191" fontId="61" fillId="0" borderId="0" xfId="365" applyNumberFormat="1" applyFont="1" applyFill="1"/>
    <xf numFmtId="0" fontId="99" fillId="0" borderId="0" xfId="43" applyFont="1" applyFill="1"/>
    <xf numFmtId="191" fontId="99" fillId="0" borderId="0" xfId="43" applyNumberFormat="1" applyFont="1" applyFill="1"/>
    <xf numFmtId="174" fontId="99" fillId="0" borderId="0" xfId="85" applyFont="1" applyFill="1"/>
    <xf numFmtId="191" fontId="60" fillId="0" borderId="0" xfId="43" applyNumberFormat="1" applyFont="1" applyFill="1"/>
    <xf numFmtId="192" fontId="112" fillId="27" borderId="0" xfId="86" applyNumberFormat="1" applyFont="1" applyFill="1" applyAlignment="1">
      <alignment horizontal="right"/>
    </xf>
    <xf numFmtId="192" fontId="60" fillId="27" borderId="0" xfId="86" applyNumberFormat="1" applyFont="1" applyFill="1"/>
    <xf numFmtId="192" fontId="64" fillId="27" borderId="0" xfId="86" applyNumberFormat="1" applyFont="1" applyFill="1"/>
    <xf numFmtId="15" fontId="93" fillId="27" borderId="0" xfId="86" applyNumberFormat="1" applyFont="1" applyFill="1" applyAlignment="1">
      <alignment horizontal="center"/>
    </xf>
    <xf numFmtId="0" fontId="64" fillId="27" borderId="0" xfId="43" applyFont="1" applyFill="1" applyBorder="1"/>
    <xf numFmtId="0" fontId="113" fillId="27" borderId="0" xfId="43" applyFont="1" applyFill="1"/>
    <xf numFmtId="192" fontId="60" fillId="27" borderId="0" xfId="86" applyNumberFormat="1" applyFont="1" applyFill="1" applyAlignment="1">
      <alignment horizontal="right" vertical="center"/>
    </xf>
    <xf numFmtId="0" fontId="60" fillId="0" borderId="0" xfId="43" applyFont="1" applyFill="1" applyAlignment="1"/>
    <xf numFmtId="0" fontId="59" fillId="0" borderId="18" xfId="43" applyFont="1" applyFill="1" applyBorder="1" applyAlignment="1">
      <alignment horizontal="center"/>
    </xf>
    <xf numFmtId="0" fontId="59" fillId="0" borderId="37" xfId="43" applyFont="1" applyFill="1" applyBorder="1" applyAlignment="1">
      <alignment horizontal="center"/>
    </xf>
    <xf numFmtId="49" fontId="59" fillId="0" borderId="19" xfId="43" applyNumberFormat="1" applyFont="1" applyFill="1" applyBorder="1" applyAlignment="1">
      <alignment horizontal="center"/>
    </xf>
    <xf numFmtId="1" fontId="59" fillId="0" borderId="19" xfId="43" applyNumberFormat="1" applyFont="1" applyFill="1" applyBorder="1" applyAlignment="1">
      <alignment horizontal="center"/>
    </xf>
    <xf numFmtId="192" fontId="114" fillId="0" borderId="19" xfId="365" applyNumberFormat="1" applyFont="1" applyFill="1" applyBorder="1" applyAlignment="1" applyProtection="1">
      <alignment horizontal="center" vertical="center" wrapText="1"/>
    </xf>
    <xf numFmtId="192" fontId="114" fillId="0" borderId="20" xfId="365" applyNumberFormat="1" applyFont="1" applyFill="1" applyBorder="1" applyAlignment="1" applyProtection="1">
      <alignment horizontal="center" vertical="center" wrapText="1"/>
    </xf>
    <xf numFmtId="0" fontId="73" fillId="0" borderId="0" xfId="43" applyFont="1" applyFill="1" applyAlignment="1"/>
    <xf numFmtId="15" fontId="61" fillId="0" borderId="18" xfId="43" applyNumberFormat="1" applyFont="1" applyFill="1" applyBorder="1" applyAlignment="1">
      <alignment horizontal="center" vertical="center" wrapText="1"/>
    </xf>
    <xf numFmtId="0" fontId="61" fillId="0" borderId="37" xfId="43" applyFont="1" applyFill="1" applyBorder="1" applyAlignment="1">
      <alignment vertical="center" wrapText="1"/>
    </xf>
    <xf numFmtId="49" fontId="61" fillId="0" borderId="19" xfId="43" applyNumberFormat="1" applyFont="1" applyFill="1" applyBorder="1" applyAlignment="1">
      <alignment horizontal="center" vertical="center" wrapText="1"/>
    </xf>
    <xf numFmtId="1" fontId="61" fillId="0" borderId="19" xfId="43" applyNumberFormat="1" applyFont="1" applyFill="1" applyBorder="1" applyAlignment="1" applyProtection="1">
      <alignment horizontal="center" vertical="center" wrapText="1"/>
    </xf>
    <xf numFmtId="3" fontId="61" fillId="0" borderId="19" xfId="365" applyNumberFormat="1" applyFont="1" applyFill="1" applyBorder="1" applyAlignment="1" applyProtection="1">
      <alignment horizontal="right" vertical="center" wrapText="1" indent="1"/>
    </xf>
    <xf numFmtId="3" fontId="61" fillId="0" borderId="20" xfId="365" applyNumberFormat="1" applyFont="1" applyFill="1" applyBorder="1" applyAlignment="1" applyProtection="1">
      <alignment horizontal="right" vertical="center" wrapText="1" indent="1"/>
    </xf>
    <xf numFmtId="0" fontId="59" fillId="0" borderId="0" xfId="43" applyFont="1" applyFill="1" applyAlignment="1"/>
    <xf numFmtId="15" fontId="59" fillId="0" borderId="18" xfId="43" applyNumberFormat="1" applyFont="1" applyFill="1" applyBorder="1" applyAlignment="1">
      <alignment horizontal="center" vertical="center" wrapText="1"/>
    </xf>
    <xf numFmtId="0" fontId="59" fillId="0" borderId="0" xfId="43" applyFont="1" applyFill="1" applyBorder="1"/>
    <xf numFmtId="3" fontId="59" fillId="0" borderId="20" xfId="365" applyNumberFormat="1" applyFont="1" applyFill="1" applyBorder="1" applyAlignment="1">
      <alignment horizontal="right" wrapText="1" indent="1"/>
    </xf>
    <xf numFmtId="0" fontId="59" fillId="0" borderId="0" xfId="43" applyFont="1" applyFill="1" applyBorder="1" applyAlignment="1"/>
    <xf numFmtId="0" fontId="59" fillId="0" borderId="0" xfId="43" applyFont="1" applyFill="1" applyBorder="1" applyAlignment="1">
      <alignment horizontal="left"/>
    </xf>
    <xf numFmtId="15" fontId="59" fillId="0" borderId="18" xfId="43" applyNumberFormat="1" applyFont="1" applyFill="1" applyBorder="1" applyAlignment="1">
      <alignment horizontal="center"/>
    </xf>
    <xf numFmtId="0" fontId="61" fillId="0" borderId="19" xfId="43" applyFont="1" applyFill="1" applyBorder="1" applyAlignment="1">
      <alignment vertical="center" wrapText="1"/>
    </xf>
    <xf numFmtId="0" fontId="61" fillId="0" borderId="0" xfId="43" applyFont="1" applyFill="1" applyAlignment="1"/>
    <xf numFmtId="0" fontId="59" fillId="0" borderId="19" xfId="43" applyFont="1" applyFill="1" applyBorder="1"/>
    <xf numFmtId="204" fontId="59" fillId="0" borderId="19" xfId="43" applyNumberFormat="1" applyFont="1" applyFill="1" applyBorder="1" applyAlignment="1">
      <alignment horizontal="center"/>
    </xf>
    <xf numFmtId="204" fontId="59" fillId="0" borderId="19" xfId="368" applyNumberFormat="1" applyFont="1" applyFill="1" applyBorder="1" applyAlignment="1">
      <alignment horizontal="center"/>
    </xf>
    <xf numFmtId="0" fontId="97" fillId="0" borderId="19" xfId="43" applyFont="1" applyFill="1" applyBorder="1"/>
    <xf numFmtId="0" fontId="69" fillId="0" borderId="0" xfId="43" applyFont="1" applyFill="1" applyAlignment="1"/>
    <xf numFmtId="0" fontId="59" fillId="0" borderId="19" xfId="43" applyFont="1" applyFill="1" applyBorder="1" applyAlignment="1"/>
    <xf numFmtId="0" fontId="104" fillId="0" borderId="19" xfId="43" applyFont="1" applyFill="1" applyBorder="1" applyAlignment="1"/>
    <xf numFmtId="0" fontId="60" fillId="0" borderId="0" xfId="0" applyFont="1" applyFill="1"/>
    <xf numFmtId="0" fontId="66" fillId="0" borderId="0" xfId="43" applyFont="1" applyFill="1" applyAlignment="1"/>
    <xf numFmtId="0" fontId="90" fillId="0" borderId="19" xfId="43" applyFont="1" applyFill="1" applyBorder="1" applyAlignment="1">
      <alignment vertical="center" wrapText="1"/>
    </xf>
    <xf numFmtId="49" fontId="97" fillId="0" borderId="19" xfId="43" applyNumberFormat="1" applyFont="1" applyFill="1" applyBorder="1" applyAlignment="1">
      <alignment horizontal="center" vertical="center" wrapText="1"/>
    </xf>
    <xf numFmtId="1" fontId="59" fillId="0" borderId="19" xfId="43" applyNumberFormat="1" applyFont="1" applyFill="1" applyBorder="1" applyAlignment="1" applyProtection="1">
      <alignment horizontal="center" vertical="center" wrapText="1"/>
    </xf>
    <xf numFmtId="3" fontId="59" fillId="0" borderId="19" xfId="365" applyNumberFormat="1" applyFont="1" applyFill="1" applyBorder="1" applyAlignment="1" applyProtection="1">
      <alignment horizontal="right" vertical="center" wrapText="1" indent="1"/>
    </xf>
    <xf numFmtId="3" fontId="59" fillId="0" borderId="20" xfId="365" applyNumberFormat="1" applyFont="1" applyFill="1" applyBorder="1" applyAlignment="1" applyProtection="1">
      <alignment horizontal="right" vertical="center" wrapText="1" indent="1"/>
    </xf>
    <xf numFmtId="3" fontId="65" fillId="29" borderId="71" xfId="43" applyNumberFormat="1" applyFont="1" applyFill="1" applyBorder="1" applyAlignment="1">
      <alignment horizontal="right" vertical="center" wrapText="1" indent="1"/>
    </xf>
    <xf numFmtId="49" fontId="59" fillId="0" borderId="0" xfId="43" applyNumberFormat="1" applyFont="1" applyFill="1" applyAlignment="1">
      <alignment horizontal="center"/>
    </xf>
    <xf numFmtId="1" fontId="59" fillId="0" borderId="0" xfId="43" applyNumberFormat="1" applyFont="1" applyFill="1" applyAlignment="1">
      <alignment horizontal="center"/>
    </xf>
    <xf numFmtId="49" fontId="60" fillId="0" borderId="0" xfId="43" applyNumberFormat="1" applyFont="1" applyFill="1" applyAlignment="1">
      <alignment horizontal="center"/>
    </xf>
    <xf numFmtId="1" fontId="60" fillId="0" borderId="0" xfId="43" applyNumberFormat="1" applyFont="1" applyFill="1" applyAlignment="1">
      <alignment horizontal="center"/>
    </xf>
    <xf numFmtId="1" fontId="60" fillId="0" borderId="0" xfId="365" applyNumberFormat="1" applyFont="1" applyFill="1" applyAlignment="1">
      <alignment horizontal="center"/>
    </xf>
    <xf numFmtId="1" fontId="59" fillId="0" borderId="0" xfId="365" applyNumberFormat="1" applyFont="1" applyFill="1" applyAlignment="1">
      <alignment horizontal="center"/>
    </xf>
    <xf numFmtId="15" fontId="59" fillId="0" borderId="0" xfId="43" applyNumberFormat="1" applyFont="1" applyFill="1" applyAlignment="1"/>
    <xf numFmtId="173" fontId="59" fillId="0" borderId="0" xfId="365" applyFont="1" applyFill="1"/>
    <xf numFmtId="0" fontId="104" fillId="0" borderId="0" xfId="43" applyFont="1" applyFill="1" applyAlignment="1"/>
    <xf numFmtId="173" fontId="60" fillId="0" borderId="0" xfId="43" applyNumberFormat="1" applyFont="1" applyFill="1" applyAlignment="1"/>
    <xf numFmtId="196" fontId="60" fillId="0" borderId="0" xfId="43" applyNumberFormat="1" applyFont="1" applyFill="1" applyAlignment="1"/>
    <xf numFmtId="1" fontId="60" fillId="27" borderId="0" xfId="43" applyNumberFormat="1" applyFont="1" applyFill="1" applyAlignment="1">
      <alignment horizontal="center"/>
    </xf>
    <xf numFmtId="0" fontId="59" fillId="27" borderId="0" xfId="43" applyFont="1" applyFill="1" applyBorder="1"/>
    <xf numFmtId="196" fontId="60" fillId="0" borderId="0" xfId="85" applyNumberFormat="1" applyFont="1"/>
    <xf numFmtId="0" fontId="73" fillId="27" borderId="0" xfId="43" applyFont="1" applyFill="1"/>
    <xf numFmtId="172" fontId="60" fillId="27" borderId="0" xfId="43" applyNumberFormat="1" applyFont="1" applyFill="1"/>
    <xf numFmtId="196" fontId="64" fillId="0" borderId="0" xfId="85" applyNumberFormat="1" applyFont="1"/>
    <xf numFmtId="172" fontId="60" fillId="27" borderId="0" xfId="86" applyNumberFormat="1" applyFont="1" applyFill="1" applyAlignment="1">
      <alignment horizontal="right" vertical="center"/>
    </xf>
    <xf numFmtId="0" fontId="62" fillId="27" borderId="27" xfId="43" applyFont="1" applyFill="1" applyBorder="1" applyAlignment="1">
      <alignment horizontal="center"/>
    </xf>
    <xf numFmtId="0" fontId="62" fillId="27" borderId="42" xfId="43" applyFont="1" applyFill="1" applyBorder="1" applyAlignment="1">
      <alignment horizontal="center"/>
    </xf>
    <xf numFmtId="172" fontId="88" fillId="27" borderId="18" xfId="86" applyNumberFormat="1" applyFont="1" applyFill="1" applyBorder="1" applyAlignment="1" applyProtection="1"/>
    <xf numFmtId="172" fontId="88" fillId="27" borderId="33" xfId="86" applyNumberFormat="1" applyFont="1" applyFill="1" applyBorder="1" applyAlignment="1" applyProtection="1"/>
    <xf numFmtId="172" fontId="88" fillId="27" borderId="20" xfId="86" applyNumberFormat="1" applyFont="1" applyFill="1" applyBorder="1" applyAlignment="1" applyProtection="1"/>
    <xf numFmtId="172" fontId="88" fillId="27" borderId="15" xfId="86" applyNumberFormat="1" applyFont="1" applyFill="1" applyBorder="1" applyAlignment="1" applyProtection="1"/>
    <xf numFmtId="0" fontId="116" fillId="27" borderId="18" xfId="43" applyFont="1" applyFill="1" applyBorder="1" applyAlignment="1">
      <alignment vertical="center"/>
    </xf>
    <xf numFmtId="0" fontId="116" fillId="27" borderId="16" xfId="43" applyFont="1" applyFill="1" applyBorder="1" applyAlignment="1">
      <alignment vertical="center"/>
    </xf>
    <xf numFmtId="172" fontId="73" fillId="27" borderId="18" xfId="86" applyNumberFormat="1" applyFont="1" applyFill="1" applyBorder="1" applyAlignment="1" applyProtection="1">
      <alignment vertical="center"/>
    </xf>
    <xf numFmtId="172" fontId="73" fillId="27" borderId="19" xfId="86" applyNumberFormat="1" applyFont="1" applyFill="1" applyBorder="1" applyAlignment="1" applyProtection="1">
      <alignment vertical="center"/>
    </xf>
    <xf numFmtId="172" fontId="73" fillId="27" borderId="20" xfId="86" applyNumberFormat="1" applyFont="1" applyFill="1" applyBorder="1" applyAlignment="1" applyProtection="1">
      <alignment vertical="center"/>
    </xf>
    <xf numFmtId="172" fontId="73" fillId="27" borderId="15" xfId="86" applyNumberFormat="1" applyFont="1" applyFill="1" applyBorder="1" applyAlignment="1" applyProtection="1">
      <alignment vertical="center"/>
    </xf>
    <xf numFmtId="172" fontId="69" fillId="0" borderId="0" xfId="0" applyNumberFormat="1" applyFont="1"/>
    <xf numFmtId="196" fontId="69" fillId="0" borderId="0" xfId="85" applyNumberFormat="1" applyFont="1"/>
    <xf numFmtId="0" fontId="60" fillId="27" borderId="18" xfId="43" applyFont="1" applyFill="1" applyBorder="1" applyAlignment="1">
      <alignment horizontal="left" vertical="center"/>
    </xf>
    <xf numFmtId="0" fontId="60" fillId="27" borderId="16" xfId="43" applyFont="1" applyFill="1" applyBorder="1" applyAlignment="1">
      <alignment horizontal="left" vertical="center"/>
    </xf>
    <xf numFmtId="172" fontId="60" fillId="27" borderId="18" xfId="86" applyNumberFormat="1" applyFont="1" applyFill="1" applyBorder="1" applyAlignment="1">
      <alignment horizontal="center" vertical="center"/>
    </xf>
    <xf numFmtId="172" fontId="60" fillId="27" borderId="19" xfId="86" applyNumberFormat="1" applyFont="1" applyFill="1" applyBorder="1" applyAlignment="1">
      <alignment horizontal="center" vertical="center"/>
    </xf>
    <xf numFmtId="172" fontId="60" fillId="27" borderId="20" xfId="86" applyNumberFormat="1" applyFont="1" applyFill="1" applyBorder="1" applyAlignment="1">
      <alignment horizontal="center" vertical="center"/>
    </xf>
    <xf numFmtId="172" fontId="60" fillId="27" borderId="15" xfId="86" applyNumberFormat="1" applyFont="1" applyFill="1" applyBorder="1" applyAlignment="1">
      <alignment horizontal="center" vertical="center"/>
    </xf>
    <xf numFmtId="0" fontId="60" fillId="27" borderId="14" xfId="43" applyFont="1" applyFill="1" applyBorder="1" applyAlignment="1">
      <alignment horizontal="left" vertical="center"/>
    </xf>
    <xf numFmtId="49" fontId="60" fillId="27" borderId="20" xfId="43" applyNumberFormat="1" applyFont="1" applyFill="1" applyBorder="1" applyAlignment="1">
      <alignment horizontal="center" vertical="center"/>
    </xf>
    <xf numFmtId="172" fontId="60" fillId="27" borderId="18" xfId="86" applyNumberFormat="1" applyFont="1" applyFill="1" applyBorder="1" applyAlignment="1">
      <alignment horizontal="right" vertical="center"/>
    </xf>
    <xf numFmtId="172" fontId="60" fillId="27" borderId="19" xfId="86" applyNumberFormat="1" applyFont="1" applyFill="1" applyBorder="1" applyAlignment="1">
      <alignment horizontal="right" vertical="center"/>
    </xf>
    <xf numFmtId="172" fontId="60" fillId="0" borderId="20" xfId="86" applyNumberFormat="1" applyFont="1" applyFill="1" applyBorder="1" applyAlignment="1">
      <alignment horizontal="right" vertical="center"/>
    </xf>
    <xf numFmtId="172" fontId="60" fillId="27" borderId="15" xfId="86" applyNumberFormat="1" applyFont="1" applyFill="1" applyBorder="1" applyAlignment="1">
      <alignment horizontal="right" vertical="center"/>
    </xf>
    <xf numFmtId="172" fontId="60" fillId="27" borderId="20" xfId="86" applyNumberFormat="1" applyFont="1" applyFill="1" applyBorder="1" applyAlignment="1">
      <alignment horizontal="right" vertical="center"/>
    </xf>
    <xf numFmtId="172" fontId="73" fillId="27" borderId="18" xfId="86" applyNumberFormat="1" applyFont="1" applyFill="1" applyBorder="1" applyAlignment="1" applyProtection="1">
      <alignment horizontal="right" vertical="center"/>
    </xf>
    <xf numFmtId="172" fontId="73" fillId="27" borderId="19" xfId="86" applyNumberFormat="1" applyFont="1" applyFill="1" applyBorder="1" applyAlignment="1" applyProtection="1">
      <alignment horizontal="right" vertical="center"/>
    </xf>
    <xf numFmtId="172" fontId="73" fillId="27" borderId="20" xfId="86" applyNumberFormat="1" applyFont="1" applyFill="1" applyBorder="1" applyAlignment="1" applyProtection="1">
      <alignment horizontal="right" vertical="center"/>
    </xf>
    <xf numFmtId="172" fontId="73" fillId="27" borderId="15" xfId="86" applyNumberFormat="1" applyFont="1" applyFill="1" applyBorder="1" applyAlignment="1" applyProtection="1">
      <alignment horizontal="right" vertical="center"/>
    </xf>
    <xf numFmtId="0" fontId="116" fillId="27" borderId="18" xfId="43" applyFont="1" applyFill="1" applyBorder="1" applyAlignment="1">
      <alignment horizontal="left" vertical="center"/>
    </xf>
    <xf numFmtId="49" fontId="69" fillId="27" borderId="20" xfId="43" applyNumberFormat="1" applyFont="1" applyFill="1" applyBorder="1" applyAlignment="1">
      <alignment horizontal="center" vertical="center"/>
    </xf>
    <xf numFmtId="0" fontId="60" fillId="27" borderId="30" xfId="43" applyFont="1" applyFill="1" applyBorder="1" applyAlignment="1">
      <alignment horizontal="left" vertical="center"/>
    </xf>
    <xf numFmtId="0" fontId="60" fillId="27" borderId="35" xfId="43" applyFont="1" applyFill="1" applyBorder="1" applyAlignment="1">
      <alignment horizontal="left" vertical="center"/>
    </xf>
    <xf numFmtId="173" fontId="60" fillId="27" borderId="30" xfId="86" applyFont="1" applyFill="1" applyBorder="1" applyAlignment="1">
      <alignment horizontal="right" vertical="center"/>
    </xf>
    <xf numFmtId="173" fontId="60" fillId="27" borderId="34" xfId="86" applyFont="1" applyFill="1" applyBorder="1" applyAlignment="1">
      <alignment horizontal="right" vertical="center"/>
    </xf>
    <xf numFmtId="173" fontId="60" fillId="27" borderId="31" xfId="86" applyFont="1" applyFill="1" applyBorder="1" applyAlignment="1">
      <alignment horizontal="right" vertical="center"/>
    </xf>
    <xf numFmtId="173" fontId="60" fillId="27" borderId="24" xfId="86" applyFont="1" applyFill="1" applyBorder="1" applyAlignment="1">
      <alignment horizontal="right" vertical="center"/>
    </xf>
    <xf numFmtId="0" fontId="60" fillId="27" borderId="0" xfId="43" applyFont="1" applyFill="1" applyBorder="1" applyAlignment="1">
      <alignment horizontal="left" vertical="center"/>
    </xf>
    <xf numFmtId="173" fontId="60" fillId="27" borderId="0" xfId="86" applyFont="1" applyFill="1" applyBorder="1" applyAlignment="1">
      <alignment horizontal="right" vertical="center"/>
    </xf>
    <xf numFmtId="0" fontId="73" fillId="27" borderId="0" xfId="43" applyFont="1" applyFill="1" applyAlignment="1">
      <alignment vertical="center"/>
    </xf>
    <xf numFmtId="15" fontId="93" fillId="27" borderId="0" xfId="86" applyNumberFormat="1" applyFont="1" applyFill="1" applyAlignment="1">
      <alignment horizontal="center" vertical="center"/>
    </xf>
    <xf numFmtId="172" fontId="60" fillId="27" borderId="33" xfId="86" applyNumberFormat="1" applyFont="1" applyFill="1" applyBorder="1" applyAlignment="1">
      <alignment horizontal="right" vertical="center"/>
    </xf>
    <xf numFmtId="0" fontId="90" fillId="27" borderId="18" xfId="43" applyFont="1" applyFill="1" applyBorder="1" applyAlignment="1">
      <alignment horizontal="left" vertical="center"/>
    </xf>
    <xf numFmtId="0" fontId="90" fillId="27" borderId="16" xfId="43" applyFont="1" applyFill="1" applyBorder="1" applyAlignment="1">
      <alignment horizontal="left" vertical="center"/>
    </xf>
    <xf numFmtId="172" fontId="59" fillId="27" borderId="18" xfId="86" applyNumberFormat="1" applyFont="1" applyFill="1" applyBorder="1" applyAlignment="1">
      <alignment horizontal="right" vertical="center"/>
    </xf>
    <xf numFmtId="172" fontId="59" fillId="27" borderId="19" xfId="86" applyNumberFormat="1" applyFont="1" applyFill="1" applyBorder="1" applyAlignment="1">
      <alignment horizontal="right" vertical="center"/>
    </xf>
    <xf numFmtId="172" fontId="59" fillId="27" borderId="20" xfId="86" applyNumberFormat="1" applyFont="1" applyFill="1" applyBorder="1" applyAlignment="1">
      <alignment horizontal="right" vertical="center"/>
    </xf>
    <xf numFmtId="172" fontId="60" fillId="27" borderId="31" xfId="86" applyNumberFormat="1" applyFont="1" applyFill="1" applyBorder="1" applyAlignment="1">
      <alignment horizontal="right" vertical="center"/>
    </xf>
    <xf numFmtId="172" fontId="65" fillId="29" borderId="57" xfId="86" applyNumberFormat="1" applyFont="1" applyFill="1" applyBorder="1" applyAlignment="1">
      <alignment horizontal="right" vertical="center" wrapText="1"/>
    </xf>
    <xf numFmtId="172" fontId="65" fillId="29" borderId="55" xfId="86" applyNumberFormat="1" applyFont="1" applyFill="1" applyBorder="1" applyAlignment="1">
      <alignment horizontal="right" vertical="center" wrapText="1"/>
    </xf>
    <xf numFmtId="172" fontId="65" fillId="29" borderId="58" xfId="86" applyNumberFormat="1" applyFont="1" applyFill="1" applyBorder="1" applyAlignment="1">
      <alignment horizontal="right" vertical="center" wrapText="1"/>
    </xf>
    <xf numFmtId="0" fontId="60" fillId="27" borderId="0" xfId="43" applyFont="1" applyFill="1" applyAlignment="1">
      <alignment horizontal="left"/>
    </xf>
    <xf numFmtId="214" fontId="60" fillId="27" borderId="0" xfId="86" applyNumberFormat="1" applyFont="1" applyFill="1" applyAlignment="1">
      <alignment horizontal="right"/>
    </xf>
    <xf numFmtId="0" fontId="60" fillId="27" borderId="0" xfId="43" applyFont="1" applyFill="1" applyAlignment="1">
      <alignment vertical="center" wrapText="1"/>
    </xf>
    <xf numFmtId="174" fontId="60" fillId="27" borderId="0" xfId="85" applyFont="1" applyFill="1" applyAlignment="1">
      <alignment vertical="center" wrapText="1"/>
    </xf>
    <xf numFmtId="208" fontId="60" fillId="0" borderId="0" xfId="85" applyNumberFormat="1" applyFont="1"/>
    <xf numFmtId="172" fontId="60" fillId="0" borderId="0" xfId="0" applyNumberFormat="1" applyFont="1"/>
    <xf numFmtId="208" fontId="60" fillId="27" borderId="0" xfId="85" applyNumberFormat="1" applyFont="1" applyFill="1" applyAlignment="1">
      <alignment horizontal="right"/>
    </xf>
    <xf numFmtId="172" fontId="60" fillId="27" borderId="0" xfId="365" applyNumberFormat="1" applyFont="1" applyFill="1" applyAlignment="1">
      <alignment horizontal="right"/>
    </xf>
    <xf numFmtId="3" fontId="64" fillId="0" borderId="0" xfId="0" applyNumberFormat="1" applyFont="1" applyFill="1"/>
    <xf numFmtId="3" fontId="60" fillId="0" borderId="0" xfId="0" applyNumberFormat="1" applyFont="1" applyFill="1"/>
    <xf numFmtId="4" fontId="115" fillId="29" borderId="24" xfId="43" applyNumberFormat="1" applyFont="1" applyFill="1" applyBorder="1" applyAlignment="1">
      <alignment horizontal="center" vertical="center" wrapText="1"/>
    </xf>
    <xf numFmtId="0" fontId="95" fillId="29" borderId="14" xfId="43" applyFont="1" applyFill="1" applyBorder="1" applyAlignment="1">
      <alignment vertical="center" wrapText="1"/>
    </xf>
    <xf numFmtId="0" fontId="65" fillId="29" borderId="14" xfId="43" applyFont="1" applyFill="1" applyBorder="1" applyAlignment="1">
      <alignment vertical="center" wrapText="1"/>
    </xf>
    <xf numFmtId="190" fontId="60" fillId="27" borderId="32" xfId="43" applyNumberFormat="1" applyFont="1" applyFill="1" applyBorder="1"/>
    <xf numFmtId="0" fontId="117" fillId="29" borderId="14" xfId="43" applyFont="1" applyFill="1" applyBorder="1" applyAlignment="1">
      <alignment vertical="center"/>
    </xf>
    <xf numFmtId="177" fontId="65" fillId="29" borderId="15" xfId="366" applyNumberFormat="1" applyFont="1" applyFill="1" applyBorder="1" applyAlignment="1">
      <alignment vertical="center"/>
    </xf>
    <xf numFmtId="3" fontId="66" fillId="27" borderId="14" xfId="43" applyNumberFormat="1" applyFont="1" applyFill="1" applyBorder="1"/>
    <xf numFmtId="3" fontId="66" fillId="28" borderId="15" xfId="43" applyNumberFormat="1" applyFont="1" applyFill="1" applyBorder="1"/>
    <xf numFmtId="3" fontId="61" fillId="28" borderId="15" xfId="43" applyNumberFormat="1" applyFont="1" applyFill="1" applyBorder="1" applyAlignment="1">
      <alignment vertical="center"/>
    </xf>
    <xf numFmtId="3" fontId="82" fillId="27" borderId="15" xfId="43" applyNumberFormat="1" applyFont="1" applyFill="1" applyBorder="1"/>
    <xf numFmtId="0" fontId="60" fillId="27" borderId="14" xfId="43" applyFont="1" applyFill="1" applyBorder="1" applyAlignment="1">
      <alignment horizontal="left" vertical="center" wrapText="1"/>
    </xf>
    <xf numFmtId="3" fontId="60" fillId="28" borderId="15" xfId="43" applyNumberFormat="1" applyFont="1" applyFill="1" applyBorder="1"/>
    <xf numFmtId="0" fontId="66" fillId="0" borderId="14" xfId="43" applyFont="1" applyFill="1" applyBorder="1" applyAlignment="1">
      <alignment horizontal="left" vertical="center" wrapText="1"/>
    </xf>
    <xf numFmtId="0" fontId="66" fillId="0" borderId="14" xfId="43" applyFont="1" applyFill="1" applyBorder="1"/>
    <xf numFmtId="3" fontId="66" fillId="0" borderId="15" xfId="43" applyNumberFormat="1" applyFont="1" applyFill="1" applyBorder="1"/>
    <xf numFmtId="3" fontId="118" fillId="27" borderId="15" xfId="43" applyNumberFormat="1" applyFont="1" applyFill="1" applyBorder="1"/>
    <xf numFmtId="3" fontId="119" fillId="27" borderId="15" xfId="43" applyNumberFormat="1" applyFont="1" applyFill="1" applyBorder="1"/>
    <xf numFmtId="177" fontId="61" fillId="0" borderId="15" xfId="366" applyNumberFormat="1" applyFont="1" applyFill="1" applyBorder="1" applyAlignment="1">
      <alignment vertical="center"/>
    </xf>
    <xf numFmtId="177" fontId="119" fillId="27" borderId="15" xfId="366" applyNumberFormat="1" applyFont="1" applyFill="1" applyBorder="1"/>
    <xf numFmtId="3" fontId="77" fillId="29" borderId="16" xfId="43" applyNumberFormat="1" applyFont="1" applyFill="1" applyBorder="1" applyAlignment="1">
      <alignment vertical="center"/>
    </xf>
    <xf numFmtId="0" fontId="87" fillId="27" borderId="14" xfId="43" applyFont="1" applyFill="1" applyBorder="1"/>
    <xf numFmtId="3" fontId="60" fillId="27" borderId="0" xfId="43" applyNumberFormat="1" applyFont="1" applyFill="1" applyBorder="1"/>
    <xf numFmtId="3" fontId="60" fillId="27" borderId="60" xfId="43" applyNumberFormat="1" applyFont="1" applyFill="1" applyBorder="1"/>
    <xf numFmtId="0" fontId="117" fillId="29" borderId="15" xfId="43" applyFont="1" applyFill="1" applyBorder="1" applyAlignment="1">
      <alignment vertical="center"/>
    </xf>
    <xf numFmtId="3" fontId="65" fillId="29" borderId="16" xfId="43" applyNumberFormat="1" applyFont="1" applyFill="1" applyBorder="1" applyAlignment="1">
      <alignment vertical="center"/>
    </xf>
    <xf numFmtId="0" fontId="87" fillId="27" borderId="15" xfId="43" applyFont="1" applyFill="1" applyBorder="1"/>
    <xf numFmtId="0" fontId="60" fillId="27" borderId="0" xfId="43" applyFont="1" applyFill="1" applyAlignment="1">
      <alignment horizontal="left" wrapText="1"/>
    </xf>
    <xf numFmtId="0" fontId="60" fillId="0" borderId="0" xfId="43" applyFont="1" applyFill="1" applyAlignment="1">
      <alignment horizontal="left" wrapText="1"/>
    </xf>
    <xf numFmtId="0" fontId="60" fillId="0" borderId="0" xfId="43" applyFont="1" applyFill="1" applyAlignment="1">
      <alignment horizontal="left"/>
    </xf>
    <xf numFmtId="0" fontId="60" fillId="0" borderId="0" xfId="43" applyFont="1" applyFill="1" applyAlignment="1">
      <alignment horizontal="left" vertical="center" wrapText="1"/>
    </xf>
    <xf numFmtId="3" fontId="60" fillId="0" borderId="0" xfId="0" applyNumberFormat="1" applyFont="1"/>
    <xf numFmtId="170" fontId="60" fillId="27" borderId="0" xfId="85" applyNumberFormat="1" applyFont="1" applyFill="1"/>
    <xf numFmtId="174" fontId="64" fillId="27" borderId="0" xfId="85" applyFont="1" applyFill="1"/>
    <xf numFmtId="170" fontId="64" fillId="27" borderId="0" xfId="85" applyNumberFormat="1" applyFont="1" applyFill="1"/>
    <xf numFmtId="49" fontId="121" fillId="27" borderId="0" xfId="85" applyNumberFormat="1" applyFont="1" applyFill="1" applyAlignment="1">
      <alignment horizontal="center"/>
    </xf>
    <xf numFmtId="177" fontId="93" fillId="27" borderId="0" xfId="85" applyNumberFormat="1" applyFont="1" applyFill="1" applyBorder="1" applyAlignment="1">
      <alignment horizontal="center"/>
    </xf>
    <xf numFmtId="170" fontId="93" fillId="27" borderId="0" xfId="85" applyNumberFormat="1" applyFont="1" applyFill="1" applyBorder="1" applyAlignment="1">
      <alignment horizontal="center"/>
    </xf>
    <xf numFmtId="177" fontId="66" fillId="27" borderId="22" xfId="85" applyNumberFormat="1" applyFont="1" applyFill="1" applyBorder="1" applyAlignment="1">
      <alignment horizontal="center"/>
    </xf>
    <xf numFmtId="170" fontId="59" fillId="27" borderId="23" xfId="85" applyNumberFormat="1" applyFont="1" applyFill="1" applyBorder="1" applyAlignment="1">
      <alignment horizontal="center" vertical="center"/>
    </xf>
    <xf numFmtId="177" fontId="66" fillId="27" borderId="26" xfId="85" applyNumberFormat="1" applyFont="1" applyFill="1" applyBorder="1" applyAlignment="1">
      <alignment horizontal="center"/>
    </xf>
    <xf numFmtId="210" fontId="66" fillId="27" borderId="32" xfId="85" applyNumberFormat="1" applyFont="1" applyFill="1" applyBorder="1" applyAlignment="1">
      <alignment horizontal="center" vertical="center"/>
    </xf>
    <xf numFmtId="0" fontId="122" fillId="29" borderId="14" xfId="43" applyFont="1" applyFill="1" applyBorder="1" applyAlignment="1">
      <alignment vertical="center"/>
    </xf>
    <xf numFmtId="210" fontId="122" fillId="29" borderId="15" xfId="85" applyNumberFormat="1" applyFont="1" applyFill="1" applyBorder="1" applyAlignment="1">
      <alignment vertical="center"/>
    </xf>
    <xf numFmtId="174" fontId="89" fillId="27" borderId="14" xfId="85" applyFont="1" applyFill="1" applyBorder="1"/>
    <xf numFmtId="210" fontId="89" fillId="27" borderId="15" xfId="85" applyNumberFormat="1" applyFont="1" applyFill="1" applyBorder="1"/>
    <xf numFmtId="210" fontId="60" fillId="27" borderId="15" xfId="85" applyNumberFormat="1" applyFont="1" applyFill="1" applyBorder="1"/>
    <xf numFmtId="210" fontId="73" fillId="27" borderId="15" xfId="85" applyNumberFormat="1" applyFont="1" applyFill="1" applyBorder="1"/>
    <xf numFmtId="210" fontId="66" fillId="27" borderId="15" xfId="85" applyNumberFormat="1" applyFont="1" applyFill="1" applyBorder="1" applyAlignment="1"/>
    <xf numFmtId="210" fontId="61" fillId="27" borderId="15" xfId="85" applyNumberFormat="1" applyFont="1" applyFill="1" applyBorder="1" applyAlignment="1">
      <alignment vertical="center"/>
    </xf>
    <xf numFmtId="210" fontId="60" fillId="27" borderId="15" xfId="85" applyNumberFormat="1" applyFont="1" applyFill="1" applyBorder="1" applyAlignment="1">
      <alignment horizontal="right" vertical="center"/>
    </xf>
    <xf numFmtId="210" fontId="60" fillId="27" borderId="15" xfId="85" applyNumberFormat="1" applyFont="1" applyFill="1" applyBorder="1" applyAlignment="1">
      <alignment horizontal="right"/>
    </xf>
    <xf numFmtId="210" fontId="60" fillId="27" borderId="15" xfId="85" applyNumberFormat="1" applyFont="1" applyFill="1" applyBorder="1" applyAlignment="1">
      <alignment vertical="center"/>
    </xf>
    <xf numFmtId="210" fontId="60" fillId="0" borderId="15" xfId="85" applyNumberFormat="1" applyFont="1" applyFill="1" applyBorder="1" applyAlignment="1">
      <alignment vertical="center"/>
    </xf>
    <xf numFmtId="0" fontId="61" fillId="27" borderId="14" xfId="43" applyFont="1" applyFill="1" applyBorder="1"/>
    <xf numFmtId="210" fontId="61" fillId="27" borderId="15" xfId="85" applyNumberFormat="1" applyFont="1" applyFill="1" applyBorder="1" applyAlignment="1">
      <alignment wrapText="1"/>
    </xf>
    <xf numFmtId="210" fontId="61" fillId="27" borderId="15" xfId="85" applyNumberFormat="1" applyFont="1" applyFill="1" applyBorder="1" applyAlignment="1"/>
    <xf numFmtId="0" fontId="93" fillId="27" borderId="14" xfId="43" applyFont="1" applyFill="1" applyBorder="1"/>
    <xf numFmtId="210" fontId="93" fillId="27" borderId="15" xfId="85" applyNumberFormat="1" applyFont="1" applyFill="1" applyBorder="1" applyAlignment="1"/>
    <xf numFmtId="210" fontId="60" fillId="0" borderId="15" xfId="85" applyNumberFormat="1" applyFont="1" applyFill="1" applyBorder="1" applyAlignment="1">
      <alignment horizontal="right" vertical="center"/>
    </xf>
    <xf numFmtId="210" fontId="60" fillId="0" borderId="15" xfId="85" applyNumberFormat="1" applyFont="1" applyFill="1" applyBorder="1" applyAlignment="1">
      <alignment horizontal="right"/>
    </xf>
    <xf numFmtId="210" fontId="61" fillId="0" borderId="15" xfId="85" applyNumberFormat="1" applyFont="1" applyFill="1" applyBorder="1" applyAlignment="1">
      <alignment vertical="center"/>
    </xf>
    <xf numFmtId="210" fontId="93" fillId="0" borderId="15" xfId="85" applyNumberFormat="1" applyFont="1" applyFill="1" applyBorder="1" applyAlignment="1"/>
    <xf numFmtId="0" fontId="64" fillId="27" borderId="14" xfId="43" applyFont="1" applyFill="1" applyBorder="1"/>
    <xf numFmtId="210" fontId="64" fillId="27" borderId="15" xfId="85" applyNumberFormat="1" applyFont="1" applyFill="1" applyBorder="1" applyAlignment="1">
      <alignment horizontal="right"/>
    </xf>
    <xf numFmtId="210" fontId="73" fillId="28" borderId="15" xfId="85" applyNumberFormat="1" applyFont="1" applyFill="1" applyBorder="1" applyAlignment="1">
      <alignment vertical="center"/>
    </xf>
    <xf numFmtId="210" fontId="66" fillId="28" borderId="15" xfId="85" applyNumberFormat="1" applyFont="1" applyFill="1" applyBorder="1" applyAlignment="1"/>
    <xf numFmtId="174" fontId="69" fillId="0" borderId="0" xfId="85" applyFont="1"/>
    <xf numFmtId="210" fontId="122" fillId="29" borderId="15" xfId="85" applyNumberFormat="1" applyFont="1" applyFill="1" applyBorder="1" applyAlignment="1">
      <alignment horizontal="right" vertical="center"/>
    </xf>
    <xf numFmtId="0" fontId="83" fillId="0" borderId="14" xfId="43" applyFont="1" applyFill="1" applyBorder="1"/>
    <xf numFmtId="174" fontId="94" fillId="0" borderId="0" xfId="85" applyFont="1"/>
    <xf numFmtId="0" fontId="83" fillId="0" borderId="24" xfId="43" applyFont="1" applyFill="1" applyBorder="1"/>
    <xf numFmtId="210" fontId="83" fillId="0" borderId="24" xfId="85" applyNumberFormat="1" applyFont="1" applyFill="1" applyBorder="1"/>
    <xf numFmtId="0" fontId="83" fillId="0" borderId="0" xfId="43" applyFont="1" applyFill="1" applyBorder="1"/>
    <xf numFmtId="43" fontId="60" fillId="0" borderId="0" xfId="85" applyNumberFormat="1" applyFont="1" applyFill="1" applyAlignment="1">
      <alignment horizontal="left" wrapText="1"/>
    </xf>
    <xf numFmtId="174" fontId="60" fillId="27" borderId="0" xfId="85" applyFont="1" applyFill="1"/>
    <xf numFmtId="0" fontId="66" fillId="27" borderId="14" xfId="43" applyFont="1" applyFill="1" applyBorder="1" applyAlignment="1">
      <alignment horizontal="center"/>
    </xf>
    <xf numFmtId="0" fontId="66" fillId="27" borderId="19" xfId="43" applyFont="1" applyFill="1" applyBorder="1" applyAlignment="1">
      <alignment horizontal="center"/>
    </xf>
    <xf numFmtId="215" fontId="66" fillId="27" borderId="16" xfId="85" applyNumberFormat="1" applyFont="1" applyFill="1" applyBorder="1" applyAlignment="1">
      <alignment horizontal="center"/>
    </xf>
    <xf numFmtId="0" fontId="66" fillId="27" borderId="26" xfId="43" applyFont="1" applyFill="1" applyBorder="1" applyAlignment="1">
      <alignment horizontal="center"/>
    </xf>
    <xf numFmtId="0" fontId="66" fillId="27" borderId="27" xfId="43" applyFont="1" applyFill="1" applyBorder="1" applyAlignment="1">
      <alignment horizontal="center"/>
    </xf>
    <xf numFmtId="0" fontId="66" fillId="27" borderId="33" xfId="43" applyFont="1" applyFill="1" applyBorder="1" applyAlignment="1">
      <alignment horizontal="center"/>
    </xf>
    <xf numFmtId="215" fontId="66" fillId="27" borderId="28" xfId="85" applyNumberFormat="1" applyFont="1" applyFill="1" applyBorder="1" applyAlignment="1">
      <alignment horizontal="center"/>
    </xf>
    <xf numFmtId="3" fontId="60" fillId="27" borderId="18" xfId="427" applyNumberFormat="1" applyFont="1" applyFill="1" applyBorder="1"/>
    <xf numFmtId="3" fontId="60" fillId="27" borderId="37" xfId="427" applyNumberFormat="1" applyFont="1" applyFill="1" applyBorder="1"/>
    <xf numFmtId="3" fontId="60" fillId="27" borderId="20" xfId="85" applyNumberFormat="1" applyFont="1" applyFill="1" applyBorder="1"/>
    <xf numFmtId="187" fontId="60" fillId="27" borderId="38" xfId="428" applyNumberFormat="1" applyFont="1" applyFill="1" applyBorder="1" applyAlignment="1">
      <alignment horizontal="center"/>
    </xf>
    <xf numFmtId="187" fontId="60" fillId="27" borderId="40" xfId="428" applyNumberFormat="1" applyFont="1" applyFill="1" applyBorder="1" applyAlignment="1">
      <alignment horizontal="center"/>
    </xf>
    <xf numFmtId="187" fontId="60" fillId="27" borderId="41" xfId="85" applyNumberFormat="1" applyFont="1" applyFill="1" applyBorder="1" applyAlignment="1">
      <alignment horizontal="center"/>
    </xf>
    <xf numFmtId="0" fontId="66" fillId="27" borderId="17" xfId="43" applyFont="1" applyFill="1" applyBorder="1" applyAlignment="1">
      <alignment horizontal="center"/>
    </xf>
    <xf numFmtId="3" fontId="66" fillId="0" borderId="21" xfId="427" applyNumberFormat="1" applyFont="1" applyFill="1" applyBorder="1"/>
    <xf numFmtId="3" fontId="66" fillId="0" borderId="71" xfId="427" applyNumberFormat="1" applyFont="1" applyFill="1" applyBorder="1"/>
    <xf numFmtId="3" fontId="66" fillId="0" borderId="100" xfId="85" applyNumberFormat="1" applyFont="1" applyFill="1" applyBorder="1"/>
    <xf numFmtId="0" fontId="66" fillId="27" borderId="0" xfId="43" applyFont="1" applyFill="1" applyBorder="1" applyAlignment="1">
      <alignment horizontal="center"/>
    </xf>
    <xf numFmtId="174" fontId="66" fillId="0" borderId="0" xfId="85" applyFont="1" applyFill="1" applyBorder="1"/>
    <xf numFmtId="203" fontId="60" fillId="0" borderId="0" xfId="85" applyNumberFormat="1" applyFont="1"/>
    <xf numFmtId="174" fontId="60" fillId="0" borderId="0" xfId="364" applyNumberFormat="1" applyFont="1"/>
    <xf numFmtId="174" fontId="64" fillId="27" borderId="0" xfId="85" applyFont="1" applyFill="1" applyBorder="1"/>
    <xf numFmtId="170" fontId="64" fillId="27" borderId="0" xfId="85" applyNumberFormat="1" applyFont="1" applyFill="1" applyBorder="1"/>
    <xf numFmtId="3" fontId="66" fillId="27" borderId="32" xfId="85" applyNumberFormat="1" applyFont="1" applyFill="1" applyBorder="1" applyAlignment="1">
      <alignment horizontal="center" vertical="center"/>
    </xf>
    <xf numFmtId="3" fontId="66" fillId="27" borderId="16" xfId="85" applyNumberFormat="1" applyFont="1" applyFill="1" applyBorder="1" applyAlignment="1">
      <alignment horizontal="center" vertical="center"/>
    </xf>
    <xf numFmtId="3" fontId="60" fillId="27" borderId="15" xfId="85" applyNumberFormat="1" applyFont="1" applyFill="1" applyBorder="1"/>
    <xf numFmtId="3" fontId="60" fillId="27" borderId="16" xfId="85" applyNumberFormat="1" applyFont="1" applyFill="1" applyBorder="1"/>
    <xf numFmtId="3" fontId="73" fillId="27" borderId="15" xfId="85" applyNumberFormat="1" applyFont="1" applyFill="1" applyBorder="1"/>
    <xf numFmtId="3" fontId="73" fillId="27" borderId="16" xfId="85" applyNumberFormat="1" applyFont="1" applyFill="1" applyBorder="1"/>
    <xf numFmtId="3" fontId="66" fillId="27" borderId="15" xfId="85" applyNumberFormat="1" applyFont="1" applyFill="1" applyBorder="1" applyAlignment="1"/>
    <xf numFmtId="3" fontId="61" fillId="27" borderId="15" xfId="85" applyNumberFormat="1" applyFont="1" applyFill="1" applyBorder="1" applyAlignment="1">
      <alignment vertical="center"/>
    </xf>
    <xf numFmtId="3" fontId="66" fillId="27" borderId="16" xfId="85" applyNumberFormat="1" applyFont="1" applyFill="1" applyBorder="1" applyAlignment="1"/>
    <xf numFmtId="0" fontId="60" fillId="0" borderId="16" xfId="364" applyFont="1" applyBorder="1"/>
    <xf numFmtId="3" fontId="60" fillId="0" borderId="15" xfId="85" applyNumberFormat="1" applyFont="1" applyFill="1" applyBorder="1" applyAlignment="1">
      <alignment horizontal="right"/>
    </xf>
    <xf numFmtId="3" fontId="60" fillId="0" borderId="16" xfId="85" applyNumberFormat="1" applyFont="1" applyFill="1" applyBorder="1" applyAlignment="1">
      <alignment horizontal="right"/>
    </xf>
    <xf numFmtId="3" fontId="61" fillId="0" borderId="15" xfId="85" applyNumberFormat="1" applyFont="1" applyFill="1" applyBorder="1" applyAlignment="1">
      <alignment vertical="center"/>
    </xf>
    <xf numFmtId="3" fontId="66" fillId="0" borderId="15" xfId="85" applyNumberFormat="1" applyFont="1" applyFill="1" applyBorder="1" applyAlignment="1"/>
    <xf numFmtId="3" fontId="66" fillId="0" borderId="16" xfId="85" applyNumberFormat="1" applyFont="1" applyFill="1" applyBorder="1" applyAlignment="1"/>
    <xf numFmtId="3" fontId="61" fillId="0" borderId="15" xfId="85" applyNumberFormat="1" applyFont="1" applyFill="1" applyBorder="1" applyAlignment="1">
      <alignment vertical="center" wrapText="1"/>
    </xf>
    <xf numFmtId="3" fontId="61" fillId="0" borderId="16" xfId="85" applyNumberFormat="1" applyFont="1" applyFill="1" applyBorder="1" applyAlignment="1">
      <alignment vertical="center"/>
    </xf>
    <xf numFmtId="3" fontId="93" fillId="0" borderId="15" xfId="85" applyNumberFormat="1" applyFont="1" applyFill="1" applyBorder="1" applyAlignment="1"/>
    <xf numFmtId="3" fontId="93" fillId="0" borderId="16" xfId="85" applyNumberFormat="1" applyFont="1" applyFill="1" applyBorder="1" applyAlignment="1"/>
    <xf numFmtId="3" fontId="60" fillId="27" borderId="15" xfId="85" applyNumberFormat="1" applyFont="1" applyFill="1" applyBorder="1" applyAlignment="1">
      <alignment horizontal="right" vertical="center"/>
    </xf>
    <xf numFmtId="3" fontId="60" fillId="27" borderId="16" xfId="85" applyNumberFormat="1" applyFont="1" applyFill="1" applyBorder="1" applyAlignment="1">
      <alignment horizontal="right" vertical="center"/>
    </xf>
    <xf numFmtId="3" fontId="73" fillId="28" borderId="15" xfId="372" applyNumberFormat="1" applyFont="1" applyFill="1" applyBorder="1" applyAlignment="1">
      <alignment vertical="center"/>
    </xf>
    <xf numFmtId="3" fontId="66" fillId="28" borderId="15" xfId="85" applyNumberFormat="1" applyFont="1" applyFill="1" applyBorder="1" applyAlignment="1"/>
    <xf numFmtId="3" fontId="122" fillId="29" borderId="15" xfId="85" applyNumberFormat="1" applyFont="1" applyFill="1" applyBorder="1" applyAlignment="1">
      <alignment horizontal="right" vertical="center"/>
    </xf>
    <xf numFmtId="3" fontId="60" fillId="27" borderId="15" xfId="85" applyNumberFormat="1" applyFont="1" applyFill="1" applyBorder="1" applyAlignment="1">
      <alignment horizontal="right"/>
    </xf>
    <xf numFmtId="3" fontId="83" fillId="0" borderId="24" xfId="85" applyNumberFormat="1" applyFont="1" applyFill="1" applyBorder="1"/>
    <xf numFmtId="177" fontId="83" fillId="0" borderId="0" xfId="85" applyNumberFormat="1" applyFont="1" applyFill="1" applyBorder="1"/>
    <xf numFmtId="0" fontId="124" fillId="28" borderId="0" xfId="569" applyFont="1" applyFill="1" applyBorder="1" applyAlignment="1">
      <alignment wrapText="1"/>
    </xf>
    <xf numFmtId="0" fontId="115" fillId="29" borderId="23" xfId="43" applyFont="1" applyFill="1" applyBorder="1" applyAlignment="1">
      <alignment horizontal="center" vertical="center" wrapText="1"/>
    </xf>
    <xf numFmtId="0" fontId="115" fillId="29" borderId="22" xfId="43" applyFont="1" applyFill="1" applyBorder="1" applyAlignment="1">
      <alignment horizontal="center" vertical="center" wrapText="1"/>
    </xf>
    <xf numFmtId="0" fontId="115" fillId="29" borderId="73" xfId="43" applyFont="1" applyFill="1" applyBorder="1" applyAlignment="1">
      <alignment horizontal="center" vertical="center" wrapText="1"/>
    </xf>
    <xf numFmtId="14" fontId="59" fillId="27" borderId="15" xfId="43" applyNumberFormat="1" applyFont="1" applyFill="1" applyBorder="1" applyAlignment="1">
      <alignment horizontal="center" vertical="center"/>
    </xf>
    <xf numFmtId="180" fontId="59" fillId="27" borderId="18" xfId="86" applyNumberFormat="1" applyFont="1" applyFill="1" applyBorder="1" applyAlignment="1">
      <alignment horizontal="center" vertical="center"/>
    </xf>
    <xf numFmtId="180" fontId="59" fillId="27" borderId="15" xfId="86" applyNumberFormat="1" applyFont="1" applyFill="1" applyBorder="1" applyAlignment="1">
      <alignment horizontal="center" vertical="center"/>
    </xf>
    <xf numFmtId="14" fontId="59" fillId="27" borderId="14" xfId="43" applyNumberFormat="1" applyFont="1" applyFill="1" applyBorder="1" applyAlignment="1">
      <alignment horizontal="center" vertical="center"/>
    </xf>
    <xf numFmtId="180" fontId="59" fillId="27" borderId="14" xfId="86" applyNumberFormat="1" applyFont="1" applyFill="1" applyBorder="1" applyAlignment="1">
      <alignment horizontal="center" vertical="center"/>
    </xf>
    <xf numFmtId="180" fontId="59" fillId="27" borderId="0" xfId="86" applyNumberFormat="1" applyFont="1" applyFill="1" applyBorder="1" applyAlignment="1">
      <alignment horizontal="center" vertical="center"/>
    </xf>
    <xf numFmtId="180" fontId="59" fillId="27" borderId="16" xfId="86" applyNumberFormat="1" applyFont="1" applyFill="1" applyBorder="1" applyAlignment="1">
      <alignment horizontal="center" vertical="center"/>
    </xf>
    <xf numFmtId="195" fontId="60" fillId="0" borderId="0" xfId="364" applyNumberFormat="1" applyFont="1"/>
    <xf numFmtId="14" fontId="59" fillId="27" borderId="24" xfId="43" applyNumberFormat="1" applyFont="1" applyFill="1" applyBorder="1" applyAlignment="1">
      <alignment horizontal="center" vertical="center"/>
    </xf>
    <xf numFmtId="180" fontId="59" fillId="27" borderId="24" xfId="86" applyNumberFormat="1" applyFont="1" applyFill="1" applyBorder="1" applyAlignment="1">
      <alignment horizontal="center" vertical="center"/>
    </xf>
    <xf numFmtId="14" fontId="60" fillId="27" borderId="0" xfId="43" applyNumberFormat="1" applyFont="1" applyFill="1" applyBorder="1" applyAlignment="1">
      <alignment horizontal="center"/>
    </xf>
    <xf numFmtId="180" fontId="60" fillId="27" borderId="0" xfId="86" applyNumberFormat="1" applyFont="1" applyFill="1" applyBorder="1" applyAlignment="1">
      <alignment horizontal="center"/>
    </xf>
    <xf numFmtId="0" fontId="60" fillId="27" borderId="0" xfId="43" applyFont="1" applyFill="1" applyBorder="1" applyAlignment="1">
      <alignment wrapText="1"/>
    </xf>
    <xf numFmtId="0" fontId="66" fillId="27" borderId="0" xfId="43" applyFont="1" applyFill="1" applyBorder="1"/>
    <xf numFmtId="174" fontId="60" fillId="27" borderId="0" xfId="85" applyFont="1" applyFill="1" applyBorder="1"/>
    <xf numFmtId="174" fontId="69" fillId="0" borderId="0" xfId="85" applyFont="1" applyFill="1"/>
    <xf numFmtId="172" fontId="69" fillId="0" borderId="0" xfId="43" applyNumberFormat="1" applyFont="1" applyFill="1"/>
    <xf numFmtId="0" fontId="125" fillId="27" borderId="0" xfId="43" applyFont="1" applyFill="1"/>
    <xf numFmtId="0" fontId="125" fillId="0" borderId="0" xfId="43" applyFont="1" applyFill="1"/>
    <xf numFmtId="0" fontId="64" fillId="27" borderId="0" xfId="43" applyFont="1" applyFill="1" applyBorder="1" applyAlignment="1">
      <alignment horizontal="centerContinuous"/>
    </xf>
    <xf numFmtId="0" fontId="64" fillId="0" borderId="0" xfId="43" applyFont="1" applyFill="1" applyAlignment="1" applyProtection="1">
      <alignment horizontal="left"/>
    </xf>
    <xf numFmtId="0" fontId="98" fillId="29" borderId="35" xfId="464" applyFont="1" applyFill="1" applyBorder="1" applyAlignment="1">
      <alignment horizontal="center"/>
    </xf>
    <xf numFmtId="0" fontId="59" fillId="27" borderId="32" xfId="464" applyNumberFormat="1" applyFont="1" applyFill="1" applyBorder="1" applyAlignment="1" applyProtection="1">
      <alignment vertical="center"/>
    </xf>
    <xf numFmtId="172" fontId="59" fillId="0" borderId="32" xfId="464" applyNumberFormat="1" applyFont="1" applyFill="1" applyBorder="1" applyAlignment="1">
      <alignment horizontal="center"/>
    </xf>
    <xf numFmtId="172" fontId="61" fillId="27" borderId="32" xfId="464" applyNumberFormat="1" applyFont="1" applyFill="1" applyBorder="1" applyAlignment="1">
      <alignment horizontal="center"/>
    </xf>
    <xf numFmtId="0" fontId="59" fillId="0" borderId="15" xfId="464" applyNumberFormat="1" applyFont="1" applyFill="1" applyBorder="1" applyAlignment="1" applyProtection="1">
      <alignment vertical="center"/>
    </xf>
    <xf numFmtId="172" fontId="59" fillId="0" borderId="15" xfId="464" applyNumberFormat="1" applyFont="1" applyFill="1" applyBorder="1" applyAlignment="1">
      <alignment horizontal="center" vertical="center"/>
    </xf>
    <xf numFmtId="172" fontId="61" fillId="0" borderId="15" xfId="464" applyNumberFormat="1" applyFont="1" applyFill="1" applyBorder="1" applyAlignment="1">
      <alignment horizontal="center" vertical="center"/>
    </xf>
    <xf numFmtId="209" fontId="69" fillId="0" borderId="0" xfId="43" applyNumberFormat="1" applyFont="1" applyFill="1"/>
    <xf numFmtId="0" fontId="111" fillId="0" borderId="15" xfId="464" applyNumberFormat="1" applyFont="1" applyFill="1" applyBorder="1" applyAlignment="1" applyProtection="1">
      <alignment vertical="center"/>
    </xf>
    <xf numFmtId="0" fontId="59" fillId="0" borderId="50" xfId="464" applyNumberFormat="1" applyFont="1" applyFill="1" applyBorder="1" applyAlignment="1" applyProtection="1">
      <alignment vertical="center"/>
    </xf>
    <xf numFmtId="172" fontId="59" fillId="0" borderId="50" xfId="464" applyNumberFormat="1" applyFont="1" applyFill="1" applyBorder="1" applyAlignment="1">
      <alignment horizontal="center" vertical="center"/>
    </xf>
    <xf numFmtId="172" fontId="61" fillId="0" borderId="50" xfId="464" applyNumberFormat="1" applyFont="1" applyFill="1" applyBorder="1" applyAlignment="1">
      <alignment horizontal="center" vertical="center"/>
    </xf>
    <xf numFmtId="172" fontId="59" fillId="0" borderId="36" xfId="464" applyNumberFormat="1" applyFont="1" applyFill="1" applyBorder="1" applyAlignment="1">
      <alignment horizontal="center" vertical="center"/>
    </xf>
    <xf numFmtId="0" fontId="111" fillId="0" borderId="50" xfId="464" applyNumberFormat="1" applyFont="1" applyFill="1" applyBorder="1" applyAlignment="1" applyProtection="1">
      <alignment vertical="center"/>
    </xf>
    <xf numFmtId="0" fontId="111" fillId="0" borderId="15" xfId="464" applyNumberFormat="1" applyFont="1" applyFill="1" applyBorder="1" applyAlignment="1" applyProtection="1">
      <alignment horizontal="left" vertical="center"/>
    </xf>
    <xf numFmtId="0" fontId="61" fillId="27" borderId="24" xfId="464" applyNumberFormat="1" applyFont="1" applyFill="1" applyBorder="1" applyAlignment="1" applyProtection="1">
      <alignment vertical="center"/>
    </xf>
    <xf numFmtId="172" fontId="61" fillId="27" borderId="24" xfId="464" applyNumberFormat="1" applyFont="1" applyFill="1" applyBorder="1" applyAlignment="1">
      <alignment horizontal="center" vertical="center"/>
    </xf>
    <xf numFmtId="0" fontId="61" fillId="27" borderId="32" xfId="464" applyNumberFormat="1" applyFont="1" applyFill="1" applyBorder="1" applyAlignment="1" applyProtection="1">
      <alignment vertical="center"/>
    </xf>
    <xf numFmtId="172" fontId="61" fillId="27" borderId="15" xfId="464" applyNumberFormat="1" applyFont="1" applyFill="1" applyBorder="1" applyAlignment="1">
      <alignment horizontal="center"/>
    </xf>
    <xf numFmtId="0" fontId="80" fillId="29" borderId="15" xfId="464" applyNumberFormat="1" applyFont="1" applyFill="1" applyBorder="1" applyAlignment="1" applyProtection="1">
      <alignment vertical="center"/>
    </xf>
    <xf numFmtId="172" fontId="80" fillId="29" borderId="15" xfId="464" applyNumberFormat="1" applyFont="1" applyFill="1" applyBorder="1" applyAlignment="1">
      <alignment horizontal="center" vertical="center"/>
    </xf>
    <xf numFmtId="0" fontId="61" fillId="28" borderId="15" xfId="464" applyNumberFormat="1" applyFont="1" applyFill="1" applyBorder="1" applyAlignment="1" applyProtection="1">
      <alignment vertical="center"/>
    </xf>
    <xf numFmtId="172" fontId="61" fillId="27" borderId="15" xfId="464" applyNumberFormat="1" applyFont="1" applyFill="1" applyBorder="1" applyAlignment="1">
      <alignment horizontal="center" vertical="center"/>
    </xf>
    <xf numFmtId="0" fontId="61" fillId="27" borderId="24" xfId="464" applyNumberFormat="1" applyFont="1" applyFill="1" applyBorder="1" applyAlignment="1" applyProtection="1"/>
    <xf numFmtId="172" fontId="61" fillId="27" borderId="24" xfId="464" applyNumberFormat="1" applyFont="1" applyFill="1" applyBorder="1" applyAlignment="1">
      <alignment horizontal="center"/>
    </xf>
    <xf numFmtId="0" fontId="59" fillId="28" borderId="0" xfId="43" applyNumberFormat="1" applyFont="1" applyFill="1" applyBorder="1" applyAlignment="1" applyProtection="1"/>
    <xf numFmtId="3" fontId="59" fillId="27" borderId="0" xfId="43" applyNumberFormat="1" applyFont="1" applyFill="1" applyBorder="1" applyAlignment="1">
      <alignment horizontal="center"/>
    </xf>
    <xf numFmtId="0" fontId="59" fillId="27" borderId="0" xfId="43" applyFont="1" applyFill="1" applyAlignment="1">
      <alignment vertical="center"/>
    </xf>
    <xf numFmtId="172" fontId="59" fillId="27" borderId="0" xfId="43" applyNumberFormat="1" applyFont="1" applyFill="1" applyBorder="1"/>
    <xf numFmtId="0" fontId="69" fillId="28" borderId="0" xfId="43" applyFont="1" applyFill="1"/>
    <xf numFmtId="3" fontId="59" fillId="27" borderId="0" xfId="91" applyNumberFormat="1" applyFont="1" applyFill="1" applyAlignment="1">
      <alignment horizontal="center" vertical="center"/>
    </xf>
    <xf numFmtId="3" fontId="60" fillId="0" borderId="0" xfId="91" applyNumberFormat="1" applyFont="1" applyFill="1" applyAlignment="1">
      <alignment horizontal="center" vertical="center"/>
    </xf>
    <xf numFmtId="174" fontId="60" fillId="0" borderId="0" xfId="85" applyFont="1" applyFill="1" applyAlignment="1">
      <alignment horizontal="center" vertical="center"/>
    </xf>
    <xf numFmtId="3" fontId="64" fillId="27" borderId="0" xfId="43" applyNumberFormat="1" applyFont="1" applyFill="1" applyAlignment="1">
      <alignment horizontal="center" vertical="center"/>
    </xf>
    <xf numFmtId="0" fontId="64" fillId="27" borderId="0" xfId="91" applyFont="1" applyFill="1" applyAlignment="1">
      <alignment vertical="center"/>
    </xf>
    <xf numFmtId="174" fontId="64" fillId="27" borderId="0" xfId="85" applyFont="1" applyFill="1" applyAlignment="1">
      <alignment horizontal="center" vertical="center"/>
    </xf>
    <xf numFmtId="0" fontId="60" fillId="27" borderId="0" xfId="91" applyFont="1" applyFill="1" applyAlignment="1">
      <alignment vertical="center"/>
    </xf>
    <xf numFmtId="17" fontId="60" fillId="27" borderId="48" xfId="43" applyNumberFormat="1" applyFont="1" applyFill="1" applyBorder="1" applyAlignment="1">
      <alignment horizontal="center" vertical="center"/>
    </xf>
    <xf numFmtId="1" fontId="60" fillId="27" borderId="48" xfId="43" applyNumberFormat="1" applyFont="1" applyFill="1" applyBorder="1" applyAlignment="1">
      <alignment horizontal="center" vertical="center"/>
    </xf>
    <xf numFmtId="173" fontId="60" fillId="27" borderId="0" xfId="86" applyFont="1" applyFill="1" applyAlignment="1">
      <alignment vertical="center"/>
    </xf>
    <xf numFmtId="0" fontId="126" fillId="27" borderId="0" xfId="43" applyFont="1" applyFill="1" applyAlignment="1">
      <alignment vertical="center"/>
    </xf>
    <xf numFmtId="3" fontId="60" fillId="27" borderId="0" xfId="91" applyNumberFormat="1" applyFont="1" applyFill="1" applyAlignment="1">
      <alignment horizontal="center" vertical="center"/>
    </xf>
    <xf numFmtId="0" fontId="80" fillId="29" borderId="43" xfId="43" applyFont="1" applyFill="1" applyBorder="1" applyAlignment="1">
      <alignment horizontal="left" vertical="center"/>
    </xf>
    <xf numFmtId="3" fontId="80" fillId="29" borderId="44" xfId="43" applyNumberFormat="1" applyFont="1" applyFill="1" applyBorder="1" applyAlignment="1">
      <alignment horizontal="right" vertical="center"/>
    </xf>
    <xf numFmtId="3" fontId="80" fillId="29" borderId="65" xfId="43" applyNumberFormat="1" applyFont="1" applyFill="1" applyBorder="1" applyAlignment="1">
      <alignment horizontal="right" vertical="center"/>
    </xf>
    <xf numFmtId="0" fontId="83" fillId="28" borderId="0" xfId="43" applyFont="1" applyFill="1" applyAlignment="1">
      <alignment vertical="center"/>
    </xf>
    <xf numFmtId="196" fontId="66" fillId="28" borderId="0" xfId="85" applyNumberFormat="1" applyFont="1" applyFill="1" applyAlignment="1">
      <alignment horizontal="right" vertical="center"/>
    </xf>
    <xf numFmtId="174" fontId="60" fillId="27" borderId="0" xfId="85" applyFont="1" applyFill="1" applyAlignment="1">
      <alignment vertical="center"/>
    </xf>
    <xf numFmtId="0" fontId="66" fillId="27" borderId="43" xfId="43" applyFont="1" applyFill="1" applyBorder="1" applyAlignment="1">
      <alignment horizontal="left" vertical="center"/>
    </xf>
    <xf numFmtId="3" fontId="66" fillId="0" borderId="44" xfId="43" applyNumberFormat="1" applyFont="1" applyFill="1" applyBorder="1" applyAlignment="1">
      <alignment horizontal="right" vertical="center"/>
    </xf>
    <xf numFmtId="0" fontId="60" fillId="27" borderId="45" xfId="43" applyFont="1" applyFill="1" applyBorder="1" applyAlignment="1">
      <alignment vertical="center"/>
    </xf>
    <xf numFmtId="3" fontId="60" fillId="0" borderId="46" xfId="43" applyNumberFormat="1" applyFont="1" applyFill="1" applyBorder="1" applyAlignment="1">
      <alignment horizontal="right" vertical="center"/>
    </xf>
    <xf numFmtId="0" fontId="60" fillId="27" borderId="84" xfId="43" applyFont="1" applyFill="1" applyBorder="1" applyAlignment="1">
      <alignment vertical="center"/>
    </xf>
    <xf numFmtId="3" fontId="60" fillId="0" borderId="84" xfId="43" applyNumberFormat="1" applyFont="1" applyFill="1" applyBorder="1" applyAlignment="1">
      <alignment horizontal="right" vertical="center"/>
    </xf>
    <xf numFmtId="0" fontId="60" fillId="27" borderId="85" xfId="43" applyFont="1" applyFill="1" applyBorder="1" applyAlignment="1">
      <alignment vertical="center"/>
    </xf>
    <xf numFmtId="3" fontId="60" fillId="0" borderId="85" xfId="43" applyNumberFormat="1" applyFont="1" applyFill="1" applyBorder="1" applyAlignment="1">
      <alignment horizontal="right" vertical="center"/>
    </xf>
    <xf numFmtId="3" fontId="60" fillId="0" borderId="86" xfId="43" applyNumberFormat="1" applyFont="1" applyFill="1" applyBorder="1" applyAlignment="1">
      <alignment horizontal="right" vertical="center"/>
    </xf>
    <xf numFmtId="0" fontId="60" fillId="0" borderId="86" xfId="43" applyFont="1" applyFill="1" applyBorder="1" applyAlignment="1">
      <alignment vertical="center"/>
    </xf>
    <xf numFmtId="0" fontId="60" fillId="27" borderId="25" xfId="43" applyFont="1" applyFill="1" applyBorder="1" applyAlignment="1">
      <alignment vertical="center"/>
    </xf>
    <xf numFmtId="3" fontId="60" fillId="0" borderId="25" xfId="43" applyNumberFormat="1" applyFont="1" applyFill="1" applyBorder="1" applyAlignment="1">
      <alignment vertical="center"/>
    </xf>
    <xf numFmtId="3" fontId="60" fillId="0" borderId="84" xfId="43" applyNumberFormat="1" applyFont="1" applyFill="1" applyBorder="1" applyAlignment="1">
      <alignment vertical="center"/>
    </xf>
    <xf numFmtId="3" fontId="60" fillId="27" borderId="0" xfId="91" applyNumberFormat="1" applyFont="1" applyFill="1" applyBorder="1" applyAlignment="1">
      <alignment horizontal="center" vertical="center"/>
    </xf>
    <xf numFmtId="0" fontId="60" fillId="27" borderId="86" xfId="43" applyFont="1" applyFill="1" applyBorder="1" applyAlignment="1">
      <alignment vertical="center"/>
    </xf>
    <xf numFmtId="3" fontId="60" fillId="0" borderId="85" xfId="43" applyNumberFormat="1" applyFont="1" applyFill="1" applyBorder="1" applyAlignment="1">
      <alignment vertical="center"/>
    </xf>
    <xf numFmtId="0" fontId="60" fillId="27" borderId="87" xfId="43" applyFont="1" applyFill="1" applyBorder="1" applyAlignment="1">
      <alignment vertical="center"/>
    </xf>
    <xf numFmtId="3" fontId="60" fillId="0" borderId="87" xfId="43" applyNumberFormat="1" applyFont="1" applyFill="1" applyBorder="1" applyAlignment="1">
      <alignment horizontal="right" vertical="center"/>
    </xf>
    <xf numFmtId="1" fontId="60" fillId="0" borderId="25" xfId="43" applyNumberFormat="1" applyFont="1" applyFill="1" applyBorder="1" applyAlignment="1">
      <alignment horizontal="right" vertical="center"/>
    </xf>
    <xf numFmtId="3" fontId="60" fillId="0" borderId="25" xfId="43" applyNumberFormat="1" applyFont="1" applyFill="1" applyBorder="1" applyAlignment="1">
      <alignment horizontal="right" vertical="center"/>
    </xf>
    <xf numFmtId="0" fontId="60" fillId="0" borderId="84" xfId="43" applyFont="1" applyFill="1" applyBorder="1" applyAlignment="1">
      <alignment vertical="center"/>
    </xf>
    <xf numFmtId="0" fontId="60" fillId="0" borderId="88" xfId="43" applyFont="1" applyFill="1" applyBorder="1" applyAlignment="1">
      <alignment vertical="center"/>
    </xf>
    <xf numFmtId="3" fontId="60" fillId="0" borderId="88" xfId="43" applyNumberFormat="1" applyFont="1" applyFill="1" applyBorder="1" applyAlignment="1">
      <alignment horizontal="right" vertical="center"/>
    </xf>
    <xf numFmtId="0" fontId="60" fillId="0" borderId="0" xfId="43" applyFont="1" applyFill="1" applyBorder="1" applyAlignment="1">
      <alignment vertical="center"/>
    </xf>
    <xf numFmtId="3" fontId="60" fillId="0" borderId="0" xfId="43" applyNumberFormat="1" applyFont="1" applyFill="1" applyBorder="1" applyAlignment="1">
      <alignment horizontal="right" vertical="center"/>
    </xf>
    <xf numFmtId="0" fontId="66" fillId="0" borderId="43" xfId="43" applyFont="1" applyFill="1" applyBorder="1" applyAlignment="1">
      <alignment horizontal="left" vertical="center"/>
    </xf>
    <xf numFmtId="3" fontId="66" fillId="0" borderId="65" xfId="43" applyNumberFormat="1" applyFont="1" applyFill="1" applyBorder="1" applyAlignment="1">
      <alignment horizontal="right" vertical="center"/>
    </xf>
    <xf numFmtId="174" fontId="60" fillId="0" borderId="0" xfId="85" applyFont="1" applyFill="1" applyAlignment="1">
      <alignment vertical="center"/>
    </xf>
    <xf numFmtId="0" fontId="60" fillId="0" borderId="25" xfId="91" applyFont="1" applyFill="1" applyBorder="1" applyAlignment="1">
      <alignment vertical="center"/>
    </xf>
    <xf numFmtId="3" fontId="60" fillId="0" borderId="25" xfId="91" applyNumberFormat="1" applyFont="1" applyFill="1" applyBorder="1" applyAlignment="1">
      <alignment vertical="center"/>
    </xf>
    <xf numFmtId="0" fontId="60" fillId="0" borderId="25" xfId="43" applyFont="1" applyFill="1" applyBorder="1" applyAlignment="1">
      <alignment vertical="center"/>
    </xf>
    <xf numFmtId="0" fontId="60" fillId="0" borderId="87" xfId="43" applyFont="1" applyFill="1" applyBorder="1" applyAlignment="1">
      <alignment vertical="center"/>
    </xf>
    <xf numFmtId="3" fontId="60" fillId="0" borderId="87" xfId="91" applyNumberFormat="1" applyFont="1" applyFill="1" applyBorder="1" applyAlignment="1">
      <alignment vertical="center"/>
    </xf>
    <xf numFmtId="3" fontId="60" fillId="0" borderId="0" xfId="91" applyNumberFormat="1" applyFont="1" applyFill="1" applyBorder="1" applyAlignment="1">
      <alignment vertical="center"/>
    </xf>
    <xf numFmtId="3" fontId="60" fillId="0" borderId="0" xfId="43" applyNumberFormat="1" applyFont="1" applyFill="1" applyAlignment="1">
      <alignment vertical="center"/>
    </xf>
    <xf numFmtId="1" fontId="60" fillId="0" borderId="0" xfId="43" applyNumberFormat="1" applyFont="1" applyFill="1" applyBorder="1" applyAlignment="1">
      <alignment horizontal="right" vertical="center"/>
    </xf>
    <xf numFmtId="0" fontId="82" fillId="0" borderId="0" xfId="43" applyFont="1" applyFill="1" applyBorder="1" applyAlignment="1">
      <alignment vertical="center"/>
    </xf>
    <xf numFmtId="0" fontId="82" fillId="0" borderId="87" xfId="43" applyFont="1" applyFill="1" applyBorder="1" applyAlignment="1">
      <alignment vertical="center"/>
    </xf>
    <xf numFmtId="0" fontId="60" fillId="0" borderId="39" xfId="43" applyFont="1" applyFill="1" applyBorder="1" applyAlignment="1">
      <alignment vertical="center"/>
    </xf>
    <xf numFmtId="1" fontId="60" fillId="0" borderId="39" xfId="43" applyNumberFormat="1" applyFont="1" applyFill="1" applyBorder="1" applyAlignment="1">
      <alignment horizontal="right" vertical="center"/>
    </xf>
    <xf numFmtId="0" fontId="82" fillId="0" borderId="0" xfId="43" applyFont="1" applyFill="1" applyAlignment="1">
      <alignment vertical="center"/>
    </xf>
    <xf numFmtId="3" fontId="60" fillId="0" borderId="0" xfId="43" applyNumberFormat="1" applyFont="1" applyFill="1" applyAlignment="1">
      <alignment horizontal="right" vertical="center"/>
    </xf>
    <xf numFmtId="0" fontId="66" fillId="0" borderId="25" xfId="43" applyFont="1" applyFill="1" applyBorder="1" applyAlignment="1">
      <alignment vertical="center"/>
    </xf>
    <xf numFmtId="3" fontId="66" fillId="0" borderId="25" xfId="91" applyNumberFormat="1" applyFont="1" applyFill="1" applyBorder="1" applyAlignment="1">
      <alignment vertical="center"/>
    </xf>
    <xf numFmtId="3" fontId="66" fillId="0" borderId="25" xfId="43" applyNumberFormat="1" applyFont="1" applyFill="1" applyBorder="1" applyAlignment="1">
      <alignment horizontal="right" vertical="center"/>
    </xf>
    <xf numFmtId="0" fontId="60" fillId="0" borderId="0" xfId="91" applyFont="1" applyFill="1" applyAlignment="1">
      <alignment vertical="center"/>
    </xf>
    <xf numFmtId="174" fontId="126" fillId="27" borderId="0" xfId="85" applyFont="1" applyFill="1" applyAlignment="1">
      <alignment vertical="center"/>
    </xf>
    <xf numFmtId="174" fontId="60" fillId="27" borderId="0" xfId="85" applyFont="1" applyFill="1" applyAlignment="1">
      <alignment horizontal="center" vertical="center"/>
    </xf>
    <xf numFmtId="208" fontId="60" fillId="0" borderId="0" xfId="85" applyNumberFormat="1" applyFont="1" applyFill="1" applyAlignment="1">
      <alignment horizontal="center" vertical="center"/>
    </xf>
    <xf numFmtId="3" fontId="66" fillId="0" borderId="0" xfId="43" applyNumberFormat="1" applyFont="1" applyFill="1" applyAlignment="1">
      <alignment horizontal="right" vertical="center"/>
    </xf>
    <xf numFmtId="203" fontId="60" fillId="27" borderId="0" xfId="85" applyNumberFormat="1" applyFont="1" applyFill="1" applyAlignment="1">
      <alignment vertical="center"/>
    </xf>
    <xf numFmtId="207" fontId="60" fillId="0" borderId="0" xfId="85" applyNumberFormat="1" applyFont="1" applyFill="1" applyAlignment="1">
      <alignment horizontal="center" vertical="center"/>
    </xf>
    <xf numFmtId="0" fontId="60" fillId="0" borderId="45" xfId="43" applyFont="1" applyFill="1" applyBorder="1" applyAlignment="1">
      <alignment vertical="center"/>
    </xf>
    <xf numFmtId="0" fontId="60" fillId="0" borderId="85" xfId="43" applyFont="1" applyFill="1" applyBorder="1" applyAlignment="1">
      <alignment vertical="center"/>
    </xf>
    <xf numFmtId="3" fontId="60" fillId="0" borderId="86" xfId="43" applyNumberFormat="1" applyFont="1" applyFill="1" applyBorder="1" applyAlignment="1">
      <alignment vertical="center"/>
    </xf>
    <xf numFmtId="3" fontId="60" fillId="0" borderId="0" xfId="43" applyNumberFormat="1" applyFont="1" applyFill="1" applyBorder="1" applyAlignment="1">
      <alignment vertical="center"/>
    </xf>
    <xf numFmtId="3" fontId="60" fillId="0" borderId="87" xfId="43" applyNumberFormat="1" applyFont="1" applyFill="1" applyBorder="1" applyAlignment="1">
      <alignment vertical="center"/>
    </xf>
    <xf numFmtId="3" fontId="60" fillId="0" borderId="88" xfId="43" applyNumberFormat="1" applyFont="1" applyFill="1" applyBorder="1" applyAlignment="1">
      <alignment vertical="center"/>
    </xf>
    <xf numFmtId="3" fontId="60" fillId="0" borderId="45" xfId="43" applyNumberFormat="1" applyFont="1" applyFill="1" applyBorder="1" applyAlignment="1">
      <alignment vertical="center"/>
    </xf>
    <xf numFmtId="190" fontId="60" fillId="0" borderId="0" xfId="43" applyNumberFormat="1" applyFont="1" applyFill="1" applyBorder="1" applyAlignment="1">
      <alignment horizontal="left" vertical="center"/>
    </xf>
    <xf numFmtId="3" fontId="60" fillId="0" borderId="0" xfId="43" applyNumberFormat="1" applyFont="1" applyFill="1" applyBorder="1" applyAlignment="1">
      <alignment horizontal="left" vertical="center"/>
    </xf>
    <xf numFmtId="3" fontId="60" fillId="0" borderId="25" xfId="85" applyNumberFormat="1" applyFont="1" applyFill="1" applyBorder="1" applyAlignment="1">
      <alignment vertical="center"/>
    </xf>
    <xf numFmtId="190" fontId="60" fillId="0" borderId="0" xfId="85" applyNumberFormat="1" applyFont="1" applyFill="1" applyAlignment="1">
      <alignment horizontal="left" vertical="center"/>
    </xf>
    <xf numFmtId="3" fontId="60" fillId="0" borderId="0" xfId="85" applyNumberFormat="1" applyFont="1" applyFill="1" applyAlignment="1">
      <alignment vertical="center"/>
    </xf>
    <xf numFmtId="190" fontId="60" fillId="0" borderId="0" xfId="85" applyNumberFormat="1" applyFont="1" applyFill="1" applyBorder="1" applyAlignment="1">
      <alignment horizontal="left" vertical="center"/>
    </xf>
    <xf numFmtId="3" fontId="60" fillId="0" borderId="0" xfId="85" applyNumberFormat="1" applyFont="1" applyFill="1" applyBorder="1" applyAlignment="1">
      <alignment vertical="center"/>
    </xf>
    <xf numFmtId="3" fontId="60" fillId="0" borderId="25" xfId="43" applyNumberFormat="1" applyFont="1" applyFill="1" applyBorder="1" applyAlignment="1">
      <alignment horizontal="left" vertical="center"/>
    </xf>
    <xf numFmtId="3" fontId="60" fillId="0" borderId="47" xfId="43" applyNumberFormat="1" applyFont="1" applyFill="1" applyBorder="1" applyAlignment="1">
      <alignment horizontal="left" vertical="center"/>
    </xf>
    <xf numFmtId="3" fontId="60" fillId="0" borderId="47" xfId="43" applyNumberFormat="1" applyFont="1" applyFill="1" applyBorder="1" applyAlignment="1">
      <alignment horizontal="right" vertical="center"/>
    </xf>
    <xf numFmtId="3" fontId="60" fillId="0" borderId="39" xfId="43" applyNumberFormat="1" applyFont="1" applyFill="1" applyBorder="1" applyAlignment="1">
      <alignment vertical="center"/>
    </xf>
    <xf numFmtId="1" fontId="60" fillId="0" borderId="25" xfId="91" applyNumberFormat="1" applyFont="1" applyFill="1" applyBorder="1" applyAlignment="1">
      <alignment vertical="center"/>
    </xf>
    <xf numFmtId="3" fontId="60" fillId="0" borderId="84" xfId="91" applyNumberFormat="1" applyFont="1" applyFill="1" applyBorder="1" applyAlignment="1">
      <alignment vertical="center"/>
    </xf>
    <xf numFmtId="0" fontId="60" fillId="0" borderId="85" xfId="43" applyFont="1" applyFill="1" applyBorder="1" applyAlignment="1">
      <alignment horizontal="left" vertical="center" indent="1"/>
    </xf>
    <xf numFmtId="3" fontId="60" fillId="0" borderId="86" xfId="91" applyNumberFormat="1" applyFont="1" applyFill="1" applyBorder="1" applyAlignment="1">
      <alignment vertical="center"/>
    </xf>
    <xf numFmtId="3" fontId="60" fillId="0" borderId="85" xfId="91" applyNumberFormat="1" applyFont="1" applyFill="1" applyBorder="1" applyAlignment="1">
      <alignment vertical="center"/>
    </xf>
    <xf numFmtId="0" fontId="60" fillId="0" borderId="0" xfId="43" applyFont="1" applyFill="1" applyBorder="1" applyAlignment="1">
      <alignment horizontal="left" vertical="center" indent="2"/>
    </xf>
    <xf numFmtId="3" fontId="60" fillId="0" borderId="39" xfId="91" applyNumberFormat="1" applyFont="1" applyFill="1" applyBorder="1" applyAlignment="1">
      <alignment vertical="center"/>
    </xf>
    <xf numFmtId="3" fontId="59" fillId="27" borderId="0" xfId="91" applyNumberFormat="1" applyFont="1" applyFill="1" applyAlignment="1">
      <alignment horizontal="center"/>
    </xf>
    <xf numFmtId="174" fontId="60" fillId="27" borderId="0" xfId="85" applyFont="1" applyFill="1" applyAlignment="1">
      <alignment horizontal="center"/>
    </xf>
    <xf numFmtId="3" fontId="60" fillId="0" borderId="0" xfId="91" applyNumberFormat="1" applyFont="1" applyFill="1" applyAlignment="1">
      <alignment horizontal="center"/>
    </xf>
    <xf numFmtId="3" fontId="60" fillId="27" borderId="0" xfId="43" applyNumberFormat="1" applyFont="1" applyFill="1" applyAlignment="1">
      <alignment horizontal="center"/>
    </xf>
    <xf numFmtId="174" fontId="61" fillId="27" borderId="0" xfId="85" applyFont="1" applyFill="1"/>
    <xf numFmtId="0" fontId="60" fillId="27" borderId="0" xfId="91" applyFont="1" applyFill="1"/>
    <xf numFmtId="1" fontId="60" fillId="27" borderId="0" xfId="43" applyNumberFormat="1" applyFont="1" applyFill="1"/>
    <xf numFmtId="17" fontId="60" fillId="27" borderId="48" xfId="43" applyNumberFormat="1" applyFont="1" applyFill="1" applyBorder="1" applyAlignment="1">
      <alignment horizontal="center"/>
    </xf>
    <xf numFmtId="173" fontId="60" fillId="27" borderId="0" xfId="86" applyFont="1" applyFill="1"/>
    <xf numFmtId="0" fontId="126" fillId="27" borderId="0" xfId="43" applyFont="1" applyFill="1"/>
    <xf numFmtId="174" fontId="60" fillId="0" borderId="0" xfId="85" applyFont="1" applyFill="1" applyAlignment="1">
      <alignment horizontal="center"/>
    </xf>
    <xf numFmtId="3" fontId="66" fillId="28" borderId="0" xfId="43" applyNumberFormat="1" applyFont="1" applyFill="1" applyAlignment="1">
      <alignment horizontal="right" vertical="center"/>
    </xf>
    <xf numFmtId="3" fontId="60" fillId="27" borderId="0" xfId="91" applyNumberFormat="1" applyFont="1" applyFill="1" applyAlignment="1">
      <alignment horizontal="center"/>
    </xf>
    <xf numFmtId="3" fontId="60" fillId="27" borderId="0" xfId="91" applyNumberFormat="1" applyFont="1" applyFill="1" applyBorder="1" applyAlignment="1">
      <alignment horizontal="center"/>
    </xf>
    <xf numFmtId="174" fontId="60" fillId="0" borderId="0" xfId="85" applyFont="1" applyFill="1" applyBorder="1" applyAlignment="1">
      <alignment vertical="center"/>
    </xf>
    <xf numFmtId="0" fontId="60" fillId="0" borderId="0" xfId="43" applyFont="1" applyFill="1" applyBorder="1" applyAlignment="1">
      <alignment horizontal="left" vertical="center" indent="3"/>
    </xf>
    <xf numFmtId="196" fontId="60" fillId="0" borderId="0" xfId="85" applyNumberFormat="1" applyFont="1" applyFill="1" applyAlignment="1">
      <alignment horizontal="center" vertical="center"/>
    </xf>
    <xf numFmtId="196" fontId="60" fillId="0" borderId="0" xfId="85" applyNumberFormat="1" applyFont="1" applyFill="1" applyAlignment="1">
      <alignment horizontal="center"/>
    </xf>
    <xf numFmtId="187" fontId="60" fillId="27" borderId="0" xfId="91" applyNumberFormat="1" applyFont="1" applyFill="1" applyAlignment="1">
      <alignment horizontal="center"/>
    </xf>
    <xf numFmtId="174" fontId="58" fillId="0" borderId="0" xfId="85" applyFont="1" applyFill="1" applyAlignment="1" applyProtection="1">
      <alignment horizontal="center"/>
    </xf>
    <xf numFmtId="174" fontId="59" fillId="27" borderId="0" xfId="85" applyFont="1" applyFill="1"/>
    <xf numFmtId="0" fontId="66" fillId="27" borderId="0" xfId="43" applyFont="1" applyFill="1" applyBorder="1" applyAlignment="1">
      <alignment horizontal="center" vertical="center"/>
    </xf>
    <xf numFmtId="216" fontId="60" fillId="0" borderId="0" xfId="85" applyNumberFormat="1" applyFont="1" applyFill="1" applyAlignment="1">
      <alignment horizontal="center"/>
    </xf>
    <xf numFmtId="0" fontId="83" fillId="27" borderId="0" xfId="43" applyFont="1" applyFill="1" applyAlignment="1">
      <alignment vertical="center"/>
    </xf>
    <xf numFmtId="174" fontId="66" fillId="27" borderId="0" xfId="85" applyNumberFormat="1" applyFont="1" applyFill="1" applyAlignment="1">
      <alignment horizontal="center" vertical="center"/>
    </xf>
    <xf numFmtId="216" fontId="66" fillId="27" borderId="0" xfId="85" applyNumberFormat="1" applyFont="1" applyFill="1" applyAlignment="1">
      <alignment horizontal="center" vertical="center"/>
    </xf>
    <xf numFmtId="0" fontId="60" fillId="30" borderId="45" xfId="43" applyFont="1" applyFill="1" applyBorder="1" applyAlignment="1">
      <alignment vertical="center"/>
    </xf>
    <xf numFmtId="3" fontId="60" fillId="30" borderId="46" xfId="43" applyNumberFormat="1" applyFont="1" applyFill="1" applyBorder="1" applyAlignment="1">
      <alignment horizontal="right" vertical="center"/>
    </xf>
    <xf numFmtId="0" fontId="60" fillId="30" borderId="25" xfId="43" applyFont="1" applyFill="1" applyBorder="1" applyAlignment="1">
      <alignment vertical="center"/>
    </xf>
    <xf numFmtId="3" fontId="60" fillId="30" borderId="25" xfId="43" applyNumberFormat="1" applyFont="1" applyFill="1" applyBorder="1" applyAlignment="1">
      <alignment vertical="center"/>
    </xf>
    <xf numFmtId="3" fontId="60" fillId="30" borderId="25" xfId="43" applyNumberFormat="1" applyFont="1" applyFill="1" applyBorder="1" applyAlignment="1">
      <alignment horizontal="right" vertical="center"/>
    </xf>
    <xf numFmtId="0" fontId="60" fillId="27" borderId="0" xfId="43" applyFont="1" applyFill="1" applyAlignment="1">
      <alignment horizontal="left" vertical="center" indent="1"/>
    </xf>
    <xf numFmtId="0" fontId="60" fillId="30" borderId="84" xfId="43" applyFont="1" applyFill="1" applyBorder="1" applyAlignment="1">
      <alignment vertical="center"/>
    </xf>
    <xf numFmtId="3" fontId="60" fillId="30" borderId="84" xfId="43" applyNumberFormat="1" applyFont="1" applyFill="1" applyBorder="1" applyAlignment="1">
      <alignment vertical="center"/>
    </xf>
    <xf numFmtId="3" fontId="60" fillId="30" borderId="84" xfId="43" applyNumberFormat="1" applyFont="1" applyFill="1" applyBorder="1" applyAlignment="1">
      <alignment horizontal="right" vertical="center"/>
    </xf>
    <xf numFmtId="0" fontId="60" fillId="27" borderId="39" xfId="43" applyFont="1" applyFill="1" applyBorder="1" applyAlignment="1">
      <alignment vertical="center"/>
    </xf>
    <xf numFmtId="3" fontId="60" fillId="0" borderId="39" xfId="43" applyNumberFormat="1" applyFont="1" applyFill="1" applyBorder="1" applyAlignment="1">
      <alignment horizontal="right" vertical="center"/>
    </xf>
    <xf numFmtId="0" fontId="60" fillId="0" borderId="0" xfId="43" applyFont="1" applyFill="1" applyAlignment="1">
      <alignment horizontal="left" vertical="center" indent="1"/>
    </xf>
    <xf numFmtId="4" fontId="60" fillId="0" borderId="0" xfId="43" applyNumberFormat="1" applyFont="1" applyFill="1" applyBorder="1" applyAlignment="1">
      <alignment horizontal="right" vertical="center"/>
    </xf>
    <xf numFmtId="3" fontId="64" fillId="0" borderId="0" xfId="43" applyNumberFormat="1" applyFont="1" applyFill="1" applyAlignment="1">
      <alignment horizontal="left" vertical="center" indent="2"/>
    </xf>
    <xf numFmtId="0" fontId="64" fillId="0" borderId="0" xfId="43" applyFont="1" applyFill="1" applyAlignment="1">
      <alignment horizontal="left" vertical="center" indent="2"/>
    </xf>
    <xf numFmtId="3" fontId="60" fillId="30" borderId="25" xfId="91" applyNumberFormat="1" applyFont="1" applyFill="1" applyBorder="1" applyAlignment="1">
      <alignment vertical="center"/>
    </xf>
    <xf numFmtId="0" fontId="60" fillId="0" borderId="86" xfId="43" applyFont="1" applyFill="1" applyBorder="1" applyAlignment="1">
      <alignment horizontal="left" vertical="center" indent="1"/>
    </xf>
    <xf numFmtId="0" fontId="82" fillId="0" borderId="0" xfId="43" applyFont="1" applyFill="1" applyBorder="1" applyAlignment="1">
      <alignment horizontal="left" vertical="center" indent="1"/>
    </xf>
    <xf numFmtId="217" fontId="60" fillId="0" borderId="0" xfId="85" applyNumberFormat="1" applyFont="1" applyFill="1" applyAlignment="1">
      <alignment horizontal="center"/>
    </xf>
    <xf numFmtId="3" fontId="89" fillId="27" borderId="0" xfId="43" applyNumberFormat="1" applyFont="1" applyFill="1" applyAlignment="1">
      <alignment horizontal="center" vertical="center"/>
    </xf>
    <xf numFmtId="196" fontId="126" fillId="27" borderId="0" xfId="85" applyNumberFormat="1" applyFont="1" applyFill="1" applyAlignment="1">
      <alignment horizontal="center" vertical="center"/>
    </xf>
    <xf numFmtId="203" fontId="126" fillId="27" borderId="0" xfId="85" applyNumberFormat="1" applyFont="1" applyFill="1" applyAlignment="1">
      <alignment horizontal="center" vertical="center"/>
    </xf>
    <xf numFmtId="174" fontId="126" fillId="27" borderId="0" xfId="85" applyFont="1" applyFill="1" applyAlignment="1">
      <alignment horizontal="center" vertical="center"/>
    </xf>
    <xf numFmtId="174" fontId="126" fillId="27" borderId="0" xfId="85" applyNumberFormat="1" applyFont="1" applyFill="1" applyAlignment="1">
      <alignment horizontal="center" vertical="center"/>
    </xf>
    <xf numFmtId="196" fontId="60" fillId="27" borderId="0" xfId="85" applyNumberFormat="1" applyFont="1" applyFill="1" applyAlignment="1">
      <alignment horizontal="center"/>
    </xf>
    <xf numFmtId="174" fontId="60" fillId="27" borderId="0" xfId="85" applyNumberFormat="1" applyFont="1" applyFill="1" applyAlignment="1">
      <alignment horizontal="center"/>
    </xf>
    <xf numFmtId="0" fontId="62" fillId="0" borderId="0" xfId="43" applyFont="1" applyFill="1"/>
    <xf numFmtId="174" fontId="62" fillId="0" borderId="0" xfId="85" applyFont="1" applyFill="1"/>
    <xf numFmtId="0" fontId="62" fillId="28" borderId="0" xfId="43" applyFont="1" applyFill="1"/>
    <xf numFmtId="0" fontId="112" fillId="28" borderId="0" xfId="43" applyFont="1" applyFill="1"/>
    <xf numFmtId="0" fontId="128" fillId="28" borderId="0" xfId="43" quotePrefix="1" applyNumberFormat="1" applyFont="1" applyFill="1" applyAlignment="1" applyProtection="1">
      <alignment horizontal="centerContinuous"/>
    </xf>
    <xf numFmtId="0" fontId="62" fillId="28" borderId="0" xfId="43" quotePrefix="1" applyFont="1" applyFill="1" applyAlignment="1" applyProtection="1">
      <alignment horizontal="centerContinuous"/>
    </xf>
    <xf numFmtId="0" fontId="62" fillId="28" borderId="0" xfId="43" applyFont="1" applyFill="1" applyAlignment="1">
      <alignment horizontal="centerContinuous"/>
    </xf>
    <xf numFmtId="0" fontId="60" fillId="27" borderId="0" xfId="43" applyFont="1" applyFill="1" applyAlignment="1" applyProtection="1">
      <alignment horizontal="left" vertical="center"/>
    </xf>
    <xf numFmtId="0" fontId="112" fillId="0" borderId="0" xfId="43" applyFont="1" applyFill="1"/>
    <xf numFmtId="0" fontId="111" fillId="0" borderId="48" xfId="43" applyNumberFormat="1" applyFont="1" applyFill="1" applyBorder="1" applyProtection="1"/>
    <xf numFmtId="3" fontId="109" fillId="0" borderId="49" xfId="43" applyNumberFormat="1" applyFont="1" applyFill="1" applyBorder="1" applyAlignment="1" applyProtection="1">
      <alignment horizontal="right"/>
    </xf>
    <xf numFmtId="3" fontId="109" fillId="0" borderId="48" xfId="43" applyNumberFormat="1" applyFont="1" applyFill="1" applyBorder="1" applyAlignment="1" applyProtection="1">
      <alignment horizontal="right"/>
    </xf>
    <xf numFmtId="174" fontId="112" fillId="0" borderId="0" xfId="85" applyFont="1" applyFill="1"/>
    <xf numFmtId="0" fontId="80" fillId="29" borderId="32" xfId="43" applyNumberFormat="1" applyFont="1" applyFill="1" applyBorder="1" applyAlignment="1" applyProtection="1">
      <alignment vertical="center"/>
    </xf>
    <xf numFmtId="170" fontId="80" fillId="29" borderId="32" xfId="43" applyNumberFormat="1" applyFont="1" applyFill="1" applyBorder="1" applyAlignment="1" applyProtection="1">
      <alignment horizontal="right" vertical="center"/>
    </xf>
    <xf numFmtId="0" fontId="80" fillId="29" borderId="15" xfId="43" applyNumberFormat="1" applyFont="1" applyFill="1" applyBorder="1" applyAlignment="1" applyProtection="1">
      <alignment vertical="center"/>
    </xf>
    <xf numFmtId="10" fontId="80" fillId="29" borderId="15" xfId="97" applyNumberFormat="1" applyFont="1" applyFill="1" applyBorder="1" applyAlignment="1" applyProtection="1">
      <alignment horizontal="right" vertical="center"/>
    </xf>
    <xf numFmtId="10" fontId="80" fillId="29" borderId="16" xfId="97" applyNumberFormat="1" applyFont="1" applyFill="1" applyBorder="1" applyAlignment="1" applyProtection="1">
      <alignment horizontal="right" vertical="center"/>
    </xf>
    <xf numFmtId="0" fontId="67" fillId="28" borderId="15" xfId="43" applyNumberFormat="1" applyFont="1" applyFill="1" applyBorder="1" applyAlignment="1" applyProtection="1">
      <alignment vertical="center"/>
    </xf>
    <xf numFmtId="170" fontId="61" fillId="0" borderId="15" xfId="43" applyNumberFormat="1" applyFont="1" applyFill="1" applyBorder="1" applyAlignment="1" applyProtection="1">
      <alignment horizontal="right" vertical="center"/>
    </xf>
    <xf numFmtId="170" fontId="61" fillId="28" borderId="15" xfId="43" applyNumberFormat="1" applyFont="1" applyFill="1" applyBorder="1" applyAlignment="1" applyProtection="1">
      <alignment horizontal="right" vertical="center"/>
    </xf>
    <xf numFmtId="0" fontId="111" fillId="27" borderId="15" xfId="43" applyNumberFormat="1" applyFont="1" applyFill="1" applyBorder="1" applyAlignment="1" applyProtection="1">
      <alignment vertical="center"/>
    </xf>
    <xf numFmtId="170" fontId="109" fillId="27" borderId="15" xfId="43" applyNumberFormat="1" applyFont="1" applyFill="1" applyBorder="1" applyAlignment="1">
      <alignment vertical="center"/>
    </xf>
    <xf numFmtId="170" fontId="80" fillId="29" borderId="15" xfId="43" applyNumberFormat="1" applyFont="1" applyFill="1" applyBorder="1" applyAlignment="1" applyProtection="1">
      <alignment horizontal="right" vertical="center"/>
    </xf>
    <xf numFmtId="210" fontId="80" fillId="29" borderId="15" xfId="43" applyNumberFormat="1" applyFont="1" applyFill="1" applyBorder="1" applyAlignment="1" applyProtection="1">
      <alignment horizontal="right" vertical="center"/>
    </xf>
    <xf numFmtId="3" fontId="61" fillId="27" borderId="15" xfId="43" applyNumberFormat="1" applyFont="1" applyFill="1" applyBorder="1" applyAlignment="1" applyProtection="1">
      <alignment horizontal="right" vertical="center"/>
    </xf>
    <xf numFmtId="170" fontId="109" fillId="27" borderId="15" xfId="43" applyNumberFormat="1" applyFont="1" applyFill="1" applyBorder="1" applyAlignment="1" applyProtection="1">
      <alignment horizontal="right" vertical="center"/>
    </xf>
    <xf numFmtId="0" fontId="80" fillId="29" borderId="14" xfId="43" applyNumberFormat="1" applyFont="1" applyFill="1" applyBorder="1" applyAlignment="1" applyProtection="1"/>
    <xf numFmtId="0" fontId="67" fillId="27" borderId="15" xfId="43" applyNumberFormat="1" applyFont="1" applyFill="1" applyBorder="1" applyAlignment="1" applyProtection="1">
      <alignment vertical="center"/>
    </xf>
    <xf numFmtId="170" fontId="61" fillId="27" borderId="15" xfId="43" applyNumberFormat="1" applyFont="1" applyFill="1" applyBorder="1" applyAlignment="1" applyProtection="1">
      <alignment horizontal="right" vertical="center"/>
    </xf>
    <xf numFmtId="210" fontId="61" fillId="27" borderId="15" xfId="43" applyNumberFormat="1" applyFont="1" applyFill="1" applyBorder="1" applyAlignment="1" applyProtection="1">
      <alignment horizontal="right" vertical="center"/>
    </xf>
    <xf numFmtId="210" fontId="61" fillId="0" borderId="15" xfId="43" applyNumberFormat="1" applyFont="1" applyFill="1" applyBorder="1" applyAlignment="1" applyProtection="1">
      <alignment horizontal="right" vertical="center"/>
    </xf>
    <xf numFmtId="0" fontId="111" fillId="27" borderId="50" xfId="43" applyNumberFormat="1" applyFont="1" applyFill="1" applyBorder="1" applyAlignment="1" applyProtection="1">
      <alignment vertical="center"/>
    </xf>
    <xf numFmtId="170" fontId="109" fillId="27" borderId="50" xfId="43" applyNumberFormat="1" applyFont="1" applyFill="1" applyBorder="1" applyAlignment="1">
      <alignment vertical="center"/>
    </xf>
    <xf numFmtId="0" fontId="111" fillId="27" borderId="36" xfId="43" applyNumberFormat="1" applyFont="1" applyFill="1" applyBorder="1" applyAlignment="1" applyProtection="1">
      <alignment vertical="center"/>
    </xf>
    <xf numFmtId="170" fontId="109" fillId="27" borderId="36" xfId="43" applyNumberFormat="1" applyFont="1" applyFill="1" applyBorder="1" applyAlignment="1" applyProtection="1">
      <alignment horizontal="right" vertical="center"/>
    </xf>
    <xf numFmtId="170" fontId="59" fillId="27" borderId="15" xfId="43" applyNumberFormat="1" applyFont="1" applyFill="1" applyBorder="1" applyAlignment="1" applyProtection="1">
      <alignment horizontal="right" vertical="center"/>
    </xf>
    <xf numFmtId="170" fontId="59" fillId="27" borderId="15" xfId="43" applyNumberFormat="1" applyFont="1" applyFill="1" applyBorder="1" applyAlignment="1">
      <alignment vertical="center"/>
    </xf>
    <xf numFmtId="0" fontId="59" fillId="27" borderId="15" xfId="43" applyNumberFormat="1" applyFont="1" applyFill="1" applyBorder="1" applyAlignment="1" applyProtection="1">
      <alignment vertical="center"/>
    </xf>
    <xf numFmtId="210" fontId="59" fillId="27" borderId="15" xfId="43" applyNumberFormat="1" applyFont="1" applyFill="1" applyBorder="1" applyAlignment="1">
      <alignment vertical="center"/>
    </xf>
    <xf numFmtId="0" fontId="111" fillId="28" borderId="15" xfId="43" applyNumberFormat="1" applyFont="1" applyFill="1" applyBorder="1" applyAlignment="1" applyProtection="1">
      <alignment vertical="center"/>
    </xf>
    <xf numFmtId="210" fontId="59" fillId="27" borderId="15" xfId="43" applyNumberFormat="1" applyFont="1" applyFill="1" applyBorder="1" applyAlignment="1" applyProtection="1">
      <alignment horizontal="right" vertical="center"/>
    </xf>
    <xf numFmtId="170" fontId="59" fillId="28" borderId="15" xfId="43" applyNumberFormat="1" applyFont="1" applyFill="1" applyBorder="1" applyAlignment="1" applyProtection="1">
      <alignment horizontal="right" vertical="center"/>
    </xf>
    <xf numFmtId="210" fontId="59" fillId="28" borderId="15" xfId="43" applyNumberFormat="1" applyFont="1" applyFill="1" applyBorder="1" applyAlignment="1" applyProtection="1">
      <alignment horizontal="right" vertical="center"/>
    </xf>
    <xf numFmtId="0" fontId="111" fillId="0" borderId="15" xfId="43" applyNumberFormat="1" applyFont="1" applyFill="1" applyBorder="1" applyAlignment="1" applyProtection="1">
      <alignment vertical="center"/>
    </xf>
    <xf numFmtId="170" fontId="59" fillId="0" borderId="15" xfId="43" applyNumberFormat="1" applyFont="1" applyFill="1" applyBorder="1" applyAlignment="1" applyProtection="1">
      <alignment horizontal="right" vertical="center"/>
    </xf>
    <xf numFmtId="210" fontId="59" fillId="0" borderId="15" xfId="43" applyNumberFormat="1" applyFont="1" applyFill="1" applyBorder="1" applyAlignment="1" applyProtection="1">
      <alignment horizontal="right" vertical="center"/>
    </xf>
    <xf numFmtId="0" fontId="111" fillId="27" borderId="15" xfId="43" applyNumberFormat="1" applyFont="1" applyFill="1" applyBorder="1" applyAlignment="1" applyProtection="1">
      <alignment horizontal="left" vertical="center"/>
    </xf>
    <xf numFmtId="0" fontId="59" fillId="27" borderId="36" xfId="43" applyNumberFormat="1" applyFont="1" applyFill="1" applyBorder="1" applyAlignment="1" applyProtection="1">
      <alignment vertical="center"/>
    </xf>
    <xf numFmtId="170" fontId="59" fillId="27" borderId="36" xfId="43" applyNumberFormat="1" applyFont="1" applyFill="1" applyBorder="1" applyAlignment="1">
      <alignment vertical="center"/>
    </xf>
    <xf numFmtId="0" fontId="67" fillId="27" borderId="24" xfId="43" applyNumberFormat="1" applyFont="1" applyFill="1" applyBorder="1" applyAlignment="1" applyProtection="1">
      <alignment vertical="center"/>
    </xf>
    <xf numFmtId="0" fontId="59" fillId="27" borderId="32" xfId="43" applyNumberFormat="1" applyFont="1" applyFill="1" applyBorder="1" applyAlignment="1" applyProtection="1">
      <alignment vertical="center"/>
    </xf>
    <xf numFmtId="170" fontId="59" fillId="27" borderId="32" xfId="43" applyNumberFormat="1" applyFont="1" applyFill="1" applyBorder="1" applyAlignment="1">
      <alignment vertical="center"/>
    </xf>
    <xf numFmtId="170" fontId="80" fillId="29" borderId="16" xfId="43" applyNumberFormat="1" applyFont="1" applyFill="1" applyBorder="1" applyAlignment="1" applyProtection="1">
      <alignment horizontal="right" vertical="center"/>
    </xf>
    <xf numFmtId="0" fontId="61" fillId="27" borderId="15" xfId="43" applyNumberFormat="1" applyFont="1" applyFill="1" applyBorder="1" applyAlignment="1" applyProtection="1">
      <alignment vertical="center"/>
    </xf>
    <xf numFmtId="0" fontId="59" fillId="28" borderId="24" xfId="43" applyNumberFormat="1" applyFont="1" applyFill="1" applyBorder="1" applyAlignment="1" applyProtection="1">
      <alignment vertical="center"/>
    </xf>
    <xf numFmtId="3" fontId="59" fillId="28" borderId="24" xfId="43" applyNumberFormat="1" applyFont="1" applyFill="1" applyBorder="1" applyAlignment="1">
      <alignment vertical="center"/>
    </xf>
    <xf numFmtId="173" fontId="60" fillId="28" borderId="0" xfId="86" applyFont="1" applyFill="1"/>
    <xf numFmtId="3" fontId="59" fillId="28" borderId="0" xfId="43" applyNumberFormat="1" applyFont="1" applyFill="1" applyBorder="1"/>
    <xf numFmtId="174" fontId="59" fillId="28" borderId="0" xfId="85" applyFont="1" applyFill="1" applyBorder="1"/>
    <xf numFmtId="170" fontId="62" fillId="0" borderId="0" xfId="43" applyNumberFormat="1" applyFont="1" applyFill="1"/>
    <xf numFmtId="206" fontId="62" fillId="0" borderId="0" xfId="43" applyNumberFormat="1" applyFont="1" applyFill="1"/>
    <xf numFmtId="171" fontId="62" fillId="0" borderId="0" xfId="43" applyNumberFormat="1" applyFont="1" applyFill="1"/>
    <xf numFmtId="0" fontId="74" fillId="27" borderId="0" xfId="43" applyFont="1" applyFill="1"/>
    <xf numFmtId="0" fontId="61" fillId="27" borderId="0" xfId="91" applyFont="1" applyFill="1" applyAlignment="1">
      <alignment horizontal="center"/>
    </xf>
    <xf numFmtId="174" fontId="61" fillId="27" borderId="0" xfId="85" applyFont="1" applyFill="1" applyAlignment="1">
      <alignment horizontal="center"/>
    </xf>
    <xf numFmtId="188" fontId="60" fillId="27" borderId="0" xfId="86" applyNumberFormat="1" applyFont="1" applyFill="1" applyAlignment="1">
      <alignment horizontal="center"/>
    </xf>
    <xf numFmtId="1" fontId="60" fillId="27" borderId="0" xfId="43" applyNumberFormat="1" applyFont="1" applyFill="1" applyBorder="1" applyAlignment="1">
      <alignment horizontal="center" vertical="center"/>
    </xf>
    <xf numFmtId="213" fontId="60" fillId="0" borderId="0" xfId="85" applyNumberFormat="1" applyFont="1" applyFill="1" applyAlignment="1">
      <alignment horizontal="center"/>
    </xf>
    <xf numFmtId="0" fontId="83" fillId="0" borderId="0" xfId="43" applyFont="1" applyFill="1" applyAlignment="1">
      <alignment vertical="center"/>
    </xf>
    <xf numFmtId="3" fontId="66" fillId="27" borderId="0" xfId="43" applyNumberFormat="1" applyFont="1" applyFill="1" applyAlignment="1">
      <alignment horizontal="right" vertical="center"/>
    </xf>
    <xf numFmtId="3" fontId="60" fillId="0" borderId="86" xfId="370" applyNumberFormat="1" applyFont="1" applyFill="1" applyBorder="1" applyAlignment="1">
      <alignment vertical="center"/>
    </xf>
    <xf numFmtId="1" fontId="60" fillId="0" borderId="86" xfId="370" applyNumberFormat="1" applyFont="1" applyFill="1" applyBorder="1" applyAlignment="1">
      <alignment vertical="center"/>
    </xf>
    <xf numFmtId="3" fontId="60" fillId="0" borderId="86" xfId="370" applyNumberFormat="1" applyFont="1" applyFill="1" applyBorder="1" applyAlignment="1">
      <alignment horizontal="right" vertical="center"/>
    </xf>
    <xf numFmtId="1" fontId="60" fillId="0" borderId="86" xfId="43" applyNumberFormat="1" applyFont="1" applyFill="1" applyBorder="1" applyAlignment="1">
      <alignment vertical="center"/>
    </xf>
    <xf numFmtId="0" fontId="60" fillId="27" borderId="0" xfId="43" applyFont="1" applyFill="1" applyBorder="1" applyAlignment="1">
      <alignment vertical="center"/>
    </xf>
    <xf numFmtId="3" fontId="96" fillId="0" borderId="0" xfId="85" applyNumberFormat="1" applyFont="1" applyFill="1" applyAlignment="1">
      <alignment horizontal="center" vertical="center"/>
    </xf>
    <xf numFmtId="3" fontId="96" fillId="0" borderId="0" xfId="85" applyNumberFormat="1" applyFont="1" applyFill="1" applyBorder="1" applyAlignment="1">
      <alignment horizontal="center" vertical="center"/>
    </xf>
    <xf numFmtId="3" fontId="64" fillId="27" borderId="0" xfId="43" applyNumberFormat="1" applyFont="1" applyFill="1" applyAlignment="1">
      <alignment horizontal="left" vertical="center" indent="2"/>
    </xf>
    <xf numFmtId="0" fontId="64" fillId="27" borderId="0" xfId="370" applyFont="1" applyFill="1" applyAlignment="1">
      <alignment horizontal="left" vertical="center" indent="2"/>
    </xf>
    <xf numFmtId="3" fontId="60" fillId="0" borderId="47" xfId="91" applyNumberFormat="1" applyFont="1" applyFill="1" applyBorder="1" applyAlignment="1">
      <alignment vertical="center"/>
    </xf>
    <xf numFmtId="3" fontId="60" fillId="0" borderId="47" xfId="43" applyNumberFormat="1" applyFont="1" applyFill="1" applyBorder="1" applyAlignment="1">
      <alignment vertical="center"/>
    </xf>
    <xf numFmtId="0" fontId="60" fillId="0" borderId="25" xfId="370" applyFont="1" applyFill="1" applyBorder="1" applyAlignment="1">
      <alignment vertical="center"/>
    </xf>
    <xf numFmtId="0" fontId="60" fillId="0" borderId="47" xfId="43" applyFont="1" applyFill="1" applyBorder="1" applyAlignment="1">
      <alignment vertical="center"/>
    </xf>
    <xf numFmtId="0" fontId="66" fillId="0" borderId="0" xfId="43" applyFont="1" applyFill="1" applyBorder="1" applyAlignment="1">
      <alignment vertical="center"/>
    </xf>
    <xf numFmtId="3" fontId="66" fillId="0" borderId="0" xfId="43" applyNumberFormat="1" applyFont="1" applyFill="1" applyBorder="1" applyAlignment="1">
      <alignment horizontal="right" vertical="center"/>
    </xf>
    <xf numFmtId="0" fontId="60" fillId="0" borderId="0" xfId="91" applyFont="1" applyFill="1"/>
    <xf numFmtId="196" fontId="64" fillId="27" borderId="0" xfId="85" applyNumberFormat="1" applyFont="1" applyFill="1" applyAlignment="1">
      <alignment horizontal="center"/>
    </xf>
    <xf numFmtId="174" fontId="64" fillId="27" borderId="0" xfId="85" applyFont="1" applyFill="1" applyAlignment="1">
      <alignment horizontal="center"/>
    </xf>
    <xf numFmtId="203" fontId="60" fillId="27" borderId="0" xfId="85" applyNumberFormat="1" applyFont="1" applyFill="1" applyAlignment="1">
      <alignment horizontal="center"/>
    </xf>
    <xf numFmtId="205" fontId="61" fillId="27" borderId="0" xfId="85" applyNumberFormat="1" applyFont="1" applyFill="1" applyAlignment="1">
      <alignment horizontal="center"/>
    </xf>
    <xf numFmtId="190" fontId="60" fillId="27" borderId="48" xfId="43" applyNumberFormat="1" applyFont="1" applyFill="1" applyBorder="1" applyAlignment="1">
      <alignment horizontal="center" vertical="center"/>
    </xf>
    <xf numFmtId="1" fontId="60" fillId="27" borderId="0" xfId="43" applyNumberFormat="1" applyFont="1" applyFill="1" applyBorder="1" applyAlignment="1">
      <alignment horizontal="center"/>
    </xf>
    <xf numFmtId="213" fontId="60" fillId="0" borderId="0" xfId="85" applyNumberFormat="1" applyFont="1" applyFill="1" applyAlignment="1">
      <alignment horizontal="center" vertical="center"/>
    </xf>
    <xf numFmtId="217" fontId="66" fillId="0" borderId="0" xfId="85" applyNumberFormat="1" applyFont="1" applyFill="1" applyAlignment="1">
      <alignment horizontal="center" vertical="center"/>
    </xf>
    <xf numFmtId="216" fontId="60" fillId="0" borderId="0" xfId="85" applyNumberFormat="1" applyFont="1" applyFill="1" applyAlignment="1">
      <alignment horizontal="center" vertical="center"/>
    </xf>
    <xf numFmtId="0" fontId="64" fillId="27" borderId="0" xfId="43" applyFont="1" applyFill="1" applyAlignment="1">
      <alignment horizontal="left" vertical="center" indent="2"/>
    </xf>
    <xf numFmtId="216" fontId="60" fillId="27" borderId="0" xfId="85" applyNumberFormat="1" applyFont="1" applyFill="1" applyAlignment="1">
      <alignment horizontal="center"/>
    </xf>
    <xf numFmtId="205" fontId="60" fillId="27" borderId="0" xfId="85" applyNumberFormat="1" applyFont="1" applyFill="1" applyAlignment="1">
      <alignment horizontal="center"/>
    </xf>
    <xf numFmtId="0" fontId="60" fillId="27" borderId="0" xfId="91" applyFont="1" applyFill="1" applyAlignment="1">
      <alignment horizontal="left" vertical="center" wrapText="1"/>
    </xf>
    <xf numFmtId="0" fontId="59" fillId="27" borderId="0" xfId="43" applyFont="1" applyFill="1" applyAlignment="1">
      <alignment horizontal="right"/>
    </xf>
    <xf numFmtId="173" fontId="60" fillId="0" borderId="0" xfId="86" applyFont="1"/>
    <xf numFmtId="0" fontId="60" fillId="27" borderId="0" xfId="0" applyFont="1" applyFill="1"/>
    <xf numFmtId="0" fontId="80" fillId="29" borderId="23" xfId="43" applyFont="1" applyFill="1" applyBorder="1" applyAlignment="1">
      <alignment horizontal="center" vertical="center" wrapText="1"/>
    </xf>
    <xf numFmtId="0" fontId="69" fillId="27" borderId="15" xfId="43" applyFont="1" applyFill="1" applyBorder="1"/>
    <xf numFmtId="186" fontId="59" fillId="27" borderId="15" xfId="85" applyNumberFormat="1" applyFont="1" applyFill="1" applyBorder="1" applyAlignment="1">
      <alignment vertical="center"/>
    </xf>
    <xf numFmtId="193" fontId="59" fillId="27" borderId="15" xfId="85" applyNumberFormat="1" applyFont="1" applyFill="1" applyBorder="1" applyAlignment="1">
      <alignment vertical="center"/>
    </xf>
    <xf numFmtId="169" fontId="60" fillId="0" borderId="0" xfId="0" applyNumberFormat="1" applyFont="1"/>
    <xf numFmtId="0" fontId="59" fillId="27" borderId="24" xfId="43" applyFont="1" applyFill="1" applyBorder="1"/>
    <xf numFmtId="186" fontId="59" fillId="27" borderId="24" xfId="43" applyNumberFormat="1" applyFont="1" applyFill="1" applyBorder="1"/>
    <xf numFmtId="186" fontId="59" fillId="27" borderId="15" xfId="43" applyNumberFormat="1" applyFont="1" applyFill="1" applyBorder="1"/>
    <xf numFmtId="0" fontId="60" fillId="27" borderId="49" xfId="43" applyFont="1" applyFill="1" applyBorder="1" applyAlignment="1">
      <alignment vertical="center" wrapText="1"/>
    </xf>
    <xf numFmtId="0" fontId="77" fillId="29" borderId="22" xfId="43" applyFont="1" applyFill="1" applyBorder="1" applyAlignment="1">
      <alignment horizontal="center" vertical="center"/>
    </xf>
    <xf numFmtId="3" fontId="78" fillId="29" borderId="23" xfId="43" applyNumberFormat="1" applyFont="1" applyFill="1" applyBorder="1" applyAlignment="1">
      <alignment vertical="center"/>
    </xf>
    <xf numFmtId="0" fontId="60" fillId="27" borderId="0" xfId="43" applyFont="1" applyFill="1" applyBorder="1" applyAlignment="1">
      <alignment vertical="center" wrapText="1"/>
    </xf>
    <xf numFmtId="171" fontId="60" fillId="0" borderId="0" xfId="0" applyNumberFormat="1" applyFont="1"/>
    <xf numFmtId="0" fontId="60" fillId="27" borderId="0" xfId="43" applyFont="1" applyFill="1" applyBorder="1" applyAlignment="1">
      <alignment horizontal="left" vertical="center" wrapText="1"/>
    </xf>
    <xf numFmtId="0" fontId="61" fillId="28" borderId="0" xfId="364" applyFont="1" applyFill="1"/>
    <xf numFmtId="0" fontId="62" fillId="27" borderId="0" xfId="43" applyNumberFormat="1" applyFont="1" applyFill="1" applyBorder="1" applyAlignment="1" applyProtection="1"/>
    <xf numFmtId="0" fontId="62" fillId="27" borderId="0" xfId="43" applyFont="1" applyFill="1" applyAlignment="1">
      <alignment horizontal="left"/>
    </xf>
    <xf numFmtId="0" fontId="60" fillId="22" borderId="0" xfId="43" applyFont="1" applyFill="1"/>
    <xf numFmtId="173" fontId="129" fillId="0" borderId="0" xfId="86" applyFont="1"/>
    <xf numFmtId="0" fontId="130" fillId="29" borderId="32" xfId="43" applyFont="1" applyFill="1" applyBorder="1"/>
    <xf numFmtId="0" fontId="115" fillId="29" borderId="15" xfId="43" applyFont="1" applyFill="1" applyBorder="1" applyAlignment="1">
      <alignment horizontal="center" vertical="center"/>
    </xf>
    <xf numFmtId="0" fontId="130" fillId="29" borderId="24" xfId="43" applyFont="1" applyFill="1" applyBorder="1"/>
    <xf numFmtId="0" fontId="60" fillId="27" borderId="32" xfId="43" applyFont="1" applyFill="1" applyBorder="1"/>
    <xf numFmtId="0" fontId="131" fillId="29" borderId="15" xfId="43" applyFont="1" applyFill="1" applyBorder="1" applyAlignment="1">
      <alignment vertical="center"/>
    </xf>
    <xf numFmtId="0" fontId="68" fillId="27" borderId="15" xfId="43" applyFont="1" applyFill="1" applyBorder="1" applyAlignment="1">
      <alignment vertical="center"/>
    </xf>
    <xf numFmtId="3" fontId="60" fillId="22" borderId="15" xfId="43" applyNumberFormat="1" applyFont="1" applyFill="1" applyBorder="1" applyAlignment="1">
      <alignment vertical="center"/>
    </xf>
    <xf numFmtId="3" fontId="60" fillId="22" borderId="15" xfId="43" applyNumberFormat="1" applyFont="1" applyFill="1" applyBorder="1"/>
    <xf numFmtId="3" fontId="59" fillId="22" borderId="15" xfId="43" applyNumberFormat="1" applyFont="1" applyFill="1" applyBorder="1"/>
    <xf numFmtId="0" fontId="68" fillId="27" borderId="15" xfId="43" applyFont="1" applyFill="1" applyBorder="1"/>
    <xf numFmtId="0" fontId="60" fillId="0" borderId="15" xfId="43" applyFont="1" applyFill="1" applyBorder="1" applyAlignment="1">
      <alignment vertical="center"/>
    </xf>
    <xf numFmtId="0" fontId="131" fillId="29" borderId="15" xfId="43" applyFont="1" applyFill="1" applyBorder="1" applyAlignment="1">
      <alignment vertical="center" wrapText="1"/>
    </xf>
    <xf numFmtId="0" fontId="81" fillId="27" borderId="15" xfId="43" applyFont="1" applyFill="1" applyBorder="1"/>
    <xf numFmtId="0" fontId="80" fillId="29" borderId="15" xfId="43" applyFont="1" applyFill="1" applyBorder="1" applyAlignment="1">
      <alignment horizontal="left" vertical="center"/>
    </xf>
    <xf numFmtId="0" fontId="60" fillId="22" borderId="24" xfId="43" applyFont="1" applyFill="1" applyBorder="1"/>
    <xf numFmtId="3" fontId="60" fillId="22" borderId="24" xfId="43" applyNumberFormat="1" applyFont="1" applyFill="1" applyBorder="1"/>
    <xf numFmtId="0" fontId="132" fillId="0" borderId="0" xfId="43" applyFont="1"/>
    <xf numFmtId="0" fontId="59" fillId="27" borderId="0" xfId="43" applyFont="1" applyFill="1" applyAlignment="1">
      <alignment vertical="center" wrapText="1"/>
    </xf>
    <xf numFmtId="0" fontId="60" fillId="27" borderId="0" xfId="43" applyFont="1" applyFill="1" applyAlignment="1">
      <alignment horizontal="center"/>
    </xf>
    <xf numFmtId="0" fontId="80" fillId="29" borderId="15" xfId="43" applyFont="1" applyFill="1" applyBorder="1" applyAlignment="1">
      <alignment horizontal="center" vertical="center"/>
    </xf>
    <xf numFmtId="0" fontId="119" fillId="27" borderId="32" xfId="43" applyFont="1" applyFill="1" applyBorder="1"/>
    <xf numFmtId="0" fontId="131" fillId="29" borderId="14" xfId="43" applyFont="1" applyFill="1" applyBorder="1" applyAlignment="1">
      <alignment vertical="center"/>
    </xf>
    <xf numFmtId="0" fontId="68" fillId="27" borderId="14" xfId="43" applyFont="1" applyFill="1" applyBorder="1"/>
    <xf numFmtId="0" fontId="68" fillId="0" borderId="14" xfId="43" applyFont="1" applyFill="1" applyBorder="1" applyAlignment="1">
      <alignment vertical="center"/>
    </xf>
    <xf numFmtId="3" fontId="60" fillId="0" borderId="15" xfId="43" applyNumberFormat="1" applyFont="1" applyFill="1" applyBorder="1" applyAlignment="1" applyProtection="1">
      <alignment vertical="center"/>
      <protection locked="0"/>
    </xf>
    <xf numFmtId="0" fontId="68" fillId="0" borderId="14" xfId="43" applyFont="1" applyFill="1" applyBorder="1"/>
    <xf numFmtId="3" fontId="59" fillId="0" borderId="15" xfId="43" applyNumberFormat="1" applyFont="1" applyFill="1" applyBorder="1" applyProtection="1">
      <protection locked="0"/>
    </xf>
    <xf numFmtId="0" fontId="60" fillId="28" borderId="0" xfId="43" applyFont="1" applyFill="1"/>
    <xf numFmtId="173" fontId="60" fillId="28" borderId="0" xfId="86" applyFont="1" applyFill="1" applyBorder="1" applyAlignment="1" applyProtection="1">
      <alignment horizontal="center"/>
    </xf>
    <xf numFmtId="173" fontId="60" fillId="27" borderId="0" xfId="86" applyFont="1" applyFill="1" applyBorder="1" applyAlignment="1" applyProtection="1">
      <alignment horizontal="center"/>
    </xf>
    <xf numFmtId="173" fontId="63" fillId="27" borderId="0" xfId="86" applyFont="1" applyFill="1" applyAlignment="1"/>
    <xf numFmtId="15" fontId="61" fillId="0" borderId="0" xfId="86" applyNumberFormat="1" applyFont="1" applyFill="1" applyAlignment="1"/>
    <xf numFmtId="15" fontId="61" fillId="28" borderId="0" xfId="86" applyNumberFormat="1" applyFont="1" applyFill="1" applyAlignment="1">
      <alignment horizontal="center"/>
    </xf>
    <xf numFmtId="0" fontId="112" fillId="27" borderId="51" xfId="43" applyFont="1" applyFill="1" applyBorder="1" applyAlignment="1">
      <alignment horizontal="center"/>
    </xf>
    <xf numFmtId="3" fontId="60" fillId="27" borderId="59" xfId="43" applyNumberFormat="1" applyFont="1" applyFill="1" applyBorder="1" applyAlignment="1">
      <alignment horizontal="center" vertical="center" wrapText="1"/>
    </xf>
    <xf numFmtId="0" fontId="72" fillId="29" borderId="91" xfId="43" applyFont="1" applyFill="1" applyBorder="1" applyAlignment="1">
      <alignment vertical="center"/>
    </xf>
    <xf numFmtId="173" fontId="65" fillId="29" borderId="76" xfId="86" applyFont="1" applyFill="1" applyBorder="1" applyAlignment="1" applyProtection="1">
      <alignment horizontal="center" vertical="center"/>
    </xf>
    <xf numFmtId="173" fontId="60" fillId="0" borderId="0" xfId="364" applyNumberFormat="1" applyFont="1"/>
    <xf numFmtId="0" fontId="61" fillId="27" borderId="18" xfId="43" applyFont="1" applyFill="1" applyBorder="1"/>
    <xf numFmtId="173" fontId="61" fillId="27" borderId="20" xfId="86" applyFont="1" applyFill="1" applyBorder="1" applyProtection="1"/>
    <xf numFmtId="0" fontId="59" fillId="27" borderId="18" xfId="43" applyNumberFormat="1" applyFont="1" applyFill="1" applyBorder="1" applyAlignment="1">
      <alignment horizontal="left" vertical="center"/>
    </xf>
    <xf numFmtId="173" fontId="59" fillId="27" borderId="20" xfId="86" applyFont="1" applyFill="1" applyBorder="1" applyAlignment="1" applyProtection="1">
      <alignment horizontal="center" vertical="center"/>
    </xf>
    <xf numFmtId="0" fontId="59" fillId="27" borderId="18" xfId="85" applyNumberFormat="1" applyFont="1" applyFill="1" applyBorder="1" applyAlignment="1">
      <alignment horizontal="left" vertical="center"/>
    </xf>
    <xf numFmtId="0" fontId="60" fillId="27" borderId="30" xfId="43" applyFont="1" applyFill="1" applyBorder="1"/>
    <xf numFmtId="173" fontId="60" fillId="27" borderId="31" xfId="86" applyFont="1" applyFill="1" applyBorder="1" applyAlignment="1" applyProtection="1">
      <alignment horizontal="right"/>
    </xf>
    <xf numFmtId="0" fontId="64" fillId="27" borderId="0" xfId="43" applyFont="1" applyFill="1" applyAlignment="1">
      <alignment wrapText="1"/>
    </xf>
    <xf numFmtId="0" fontId="66" fillId="28" borderId="0" xfId="43" applyFont="1" applyFill="1" applyAlignment="1">
      <alignment horizontal="right"/>
    </xf>
    <xf numFmtId="0" fontId="63" fillId="28" borderId="0" xfId="43" applyFont="1" applyFill="1" applyAlignment="1">
      <alignment horizontal="center" vertical="center"/>
    </xf>
    <xf numFmtId="0" fontId="63" fillId="27" borderId="0" xfId="43" applyFont="1" applyFill="1" applyAlignment="1"/>
    <xf numFmtId="0" fontId="91" fillId="28" borderId="0" xfId="43" applyFont="1" applyFill="1" applyAlignment="1">
      <alignment horizontal="center" vertical="center"/>
    </xf>
    <xf numFmtId="0" fontId="83" fillId="0" borderId="0" xfId="43" applyFont="1" applyFill="1" applyAlignment="1"/>
    <xf numFmtId="170" fontId="60" fillId="28" borderId="0" xfId="43" applyNumberFormat="1" applyFont="1" applyFill="1"/>
    <xf numFmtId="0" fontId="60" fillId="28" borderId="0" xfId="43" applyFont="1" applyFill="1" applyAlignment="1">
      <alignment vertical="center"/>
    </xf>
    <xf numFmtId="0" fontId="80" fillId="29" borderId="33" xfId="43" applyFont="1" applyFill="1" applyBorder="1" applyAlignment="1">
      <alignment horizontal="center" vertical="center"/>
    </xf>
    <xf numFmtId="0" fontId="80" fillId="29" borderId="33" xfId="43" applyFont="1" applyFill="1" applyBorder="1" applyAlignment="1">
      <alignment horizontal="center" vertical="center" wrapText="1"/>
    </xf>
    <xf numFmtId="0" fontId="80" fillId="29" borderId="28" xfId="43" applyFont="1" applyFill="1" applyBorder="1" applyAlignment="1">
      <alignment horizontal="center" vertical="center" wrapText="1"/>
    </xf>
    <xf numFmtId="173" fontId="60" fillId="0" borderId="16" xfId="365" applyFont="1" applyFill="1" applyBorder="1"/>
    <xf numFmtId="0" fontId="59" fillId="27" borderId="52" xfId="43" applyFont="1" applyFill="1" applyBorder="1" applyAlignment="1">
      <alignment vertical="center"/>
    </xf>
    <xf numFmtId="170" fontId="59" fillId="27" borderId="52" xfId="86" applyNumberFormat="1" applyFont="1" applyFill="1" applyBorder="1" applyAlignment="1">
      <alignment vertical="center"/>
    </xf>
    <xf numFmtId="170" fontId="59" fillId="27" borderId="64" xfId="86" applyNumberFormat="1" applyFont="1" applyFill="1" applyBorder="1" applyAlignment="1">
      <alignment vertical="center"/>
    </xf>
    <xf numFmtId="170" fontId="59" fillId="27" borderId="47" xfId="86" applyNumberFormat="1" applyFont="1" applyFill="1" applyBorder="1" applyAlignment="1">
      <alignment vertical="center"/>
    </xf>
    <xf numFmtId="170" fontId="59" fillId="0" borderId="52" xfId="86" applyNumberFormat="1" applyFont="1" applyFill="1" applyBorder="1" applyAlignment="1">
      <alignment vertical="center"/>
    </xf>
    <xf numFmtId="170" fontId="61" fillId="27" borderId="59" xfId="86" applyNumberFormat="1" applyFont="1" applyFill="1" applyBorder="1" applyAlignment="1">
      <alignment horizontal="right" vertical="center"/>
    </xf>
    <xf numFmtId="0" fontId="60" fillId="0" borderId="16" xfId="43" applyFont="1" applyFill="1" applyBorder="1"/>
    <xf numFmtId="0" fontId="59" fillId="27" borderId="19" xfId="43" applyFont="1" applyFill="1" applyBorder="1" applyAlignment="1">
      <alignment vertical="center"/>
    </xf>
    <xf numFmtId="170" fontId="59" fillId="27" borderId="19" xfId="86" applyNumberFormat="1" applyFont="1" applyFill="1" applyBorder="1" applyAlignment="1">
      <alignment vertical="center"/>
    </xf>
    <xf numFmtId="170" fontId="59" fillId="27" borderId="62" xfId="86" applyNumberFormat="1" applyFont="1" applyFill="1" applyBorder="1" applyAlignment="1">
      <alignment vertical="center"/>
    </xf>
    <xf numFmtId="197" fontId="59" fillId="27" borderId="19" xfId="86" applyNumberFormat="1" applyFont="1" applyFill="1" applyBorder="1" applyAlignment="1">
      <alignment vertical="center"/>
    </xf>
    <xf numFmtId="170" fontId="59" fillId="27" borderId="0" xfId="86" applyNumberFormat="1" applyFont="1" applyFill="1" applyBorder="1" applyAlignment="1">
      <alignment vertical="center"/>
    </xf>
    <xf numFmtId="170" fontId="59" fillId="0" borderId="19" xfId="86" applyNumberFormat="1" applyFont="1" applyFill="1" applyBorder="1" applyAlignment="1">
      <alignment vertical="center"/>
    </xf>
    <xf numFmtId="170" fontId="61" fillId="27" borderId="20" xfId="86" applyNumberFormat="1" applyFont="1" applyFill="1" applyBorder="1" applyAlignment="1">
      <alignment horizontal="right" vertical="center"/>
    </xf>
    <xf numFmtId="0" fontId="61" fillId="27" borderId="40" xfId="43" applyFont="1" applyFill="1" applyBorder="1" applyAlignment="1">
      <alignment vertical="center"/>
    </xf>
    <xf numFmtId="170" fontId="61" fillId="27" borderId="40" xfId="86" applyNumberFormat="1" applyFont="1" applyFill="1" applyBorder="1" applyAlignment="1">
      <alignment vertical="center"/>
    </xf>
    <xf numFmtId="170" fontId="61" fillId="27" borderId="63" xfId="86" applyNumberFormat="1" applyFont="1" applyFill="1" applyBorder="1" applyAlignment="1">
      <alignment vertical="center"/>
    </xf>
    <xf numFmtId="197" fontId="61" fillId="27" borderId="40" xfId="86" applyNumberFormat="1" applyFont="1" applyFill="1" applyBorder="1" applyAlignment="1">
      <alignment vertical="center"/>
    </xf>
    <xf numFmtId="170" fontId="61" fillId="27" borderId="39" xfId="86" applyNumberFormat="1" applyFont="1" applyFill="1" applyBorder="1" applyAlignment="1">
      <alignment vertical="center"/>
    </xf>
    <xf numFmtId="170" fontId="61" fillId="0" borderId="40" xfId="86" applyNumberFormat="1" applyFont="1" applyFill="1" applyBorder="1" applyAlignment="1">
      <alignment vertical="center"/>
    </xf>
    <xf numFmtId="170" fontId="61" fillId="27" borderId="41" xfId="86" applyNumberFormat="1" applyFont="1" applyFill="1" applyBorder="1" applyAlignment="1">
      <alignment horizontal="right" vertical="center"/>
    </xf>
    <xf numFmtId="0" fontId="59" fillId="29" borderId="56" xfId="43" applyFont="1" applyFill="1" applyBorder="1" applyAlignment="1">
      <alignment vertical="center"/>
    </xf>
    <xf numFmtId="0" fontId="59" fillId="29" borderId="39" xfId="43" applyFont="1" applyFill="1" applyBorder="1" applyAlignment="1">
      <alignment vertical="center"/>
    </xf>
    <xf numFmtId="170" fontId="59" fillId="29" borderId="39" xfId="43" applyNumberFormat="1" applyFont="1" applyFill="1" applyBorder="1" applyAlignment="1">
      <alignment vertical="center"/>
    </xf>
    <xf numFmtId="170" fontId="61" fillId="29" borderId="39" xfId="43" applyNumberFormat="1" applyFont="1" applyFill="1" applyBorder="1" applyAlignment="1">
      <alignment horizontal="center" vertical="center"/>
    </xf>
    <xf numFmtId="170" fontId="61" fillId="29" borderId="40" xfId="43" applyNumberFormat="1" applyFont="1" applyFill="1" applyBorder="1" applyAlignment="1">
      <alignment horizontal="center" vertical="center"/>
    </xf>
    <xf numFmtId="170" fontId="61" fillId="29" borderId="41" xfId="43" applyNumberFormat="1" applyFont="1" applyFill="1" applyBorder="1" applyAlignment="1">
      <alignment horizontal="center" vertical="center"/>
    </xf>
    <xf numFmtId="170" fontId="61" fillId="27" borderId="0" xfId="86" applyNumberFormat="1" applyFont="1" applyFill="1" applyBorder="1" applyAlignment="1">
      <alignment horizontal="right" vertical="center"/>
    </xf>
    <xf numFmtId="170" fontId="61" fillId="0" borderId="19" xfId="86" applyNumberFormat="1" applyFont="1" applyFill="1" applyBorder="1" applyAlignment="1">
      <alignment horizontal="right" vertical="center"/>
    </xf>
    <xf numFmtId="0" fontId="61" fillId="27" borderId="19" xfId="43" applyFont="1" applyFill="1" applyBorder="1" applyAlignment="1">
      <alignment vertical="center"/>
    </xf>
    <xf numFmtId="170" fontId="61" fillId="27" borderId="19" xfId="86" applyNumberFormat="1" applyFont="1" applyFill="1" applyBorder="1" applyAlignment="1">
      <alignment vertical="center"/>
    </xf>
    <xf numFmtId="170" fontId="61" fillId="27" borderId="62" xfId="86" applyNumberFormat="1" applyFont="1" applyFill="1" applyBorder="1" applyAlignment="1">
      <alignment vertical="center"/>
    </xf>
    <xf numFmtId="0" fontId="59" fillId="29" borderId="70" xfId="43" applyFont="1" applyFill="1" applyBorder="1" applyAlignment="1">
      <alignment vertical="center"/>
    </xf>
    <xf numFmtId="0" fontId="59" fillId="29" borderId="25" xfId="43" applyFont="1" applyFill="1" applyBorder="1" applyAlignment="1">
      <alignment vertical="center"/>
    </xf>
    <xf numFmtId="170" fontId="59" fillId="29" borderId="25" xfId="43" applyNumberFormat="1" applyFont="1" applyFill="1" applyBorder="1" applyAlignment="1">
      <alignment vertical="center"/>
    </xf>
    <xf numFmtId="170" fontId="61" fillId="29" borderId="25" xfId="43" applyNumberFormat="1" applyFont="1" applyFill="1" applyBorder="1" applyAlignment="1">
      <alignment horizontal="center" vertical="center"/>
    </xf>
    <xf numFmtId="170" fontId="61" fillId="29" borderId="97" xfId="43" applyNumberFormat="1" applyFont="1" applyFill="1" applyBorder="1" applyAlignment="1">
      <alignment horizontal="center" vertical="center"/>
    </xf>
    <xf numFmtId="170" fontId="59" fillId="27" borderId="52" xfId="365" applyNumberFormat="1" applyFont="1" applyFill="1" applyBorder="1" applyAlignment="1">
      <alignment vertical="center"/>
    </xf>
    <xf numFmtId="170" fontId="59" fillId="27" borderId="64" xfId="365" applyNumberFormat="1" applyFont="1" applyFill="1" applyBorder="1" applyAlignment="1">
      <alignment vertical="center"/>
    </xf>
    <xf numFmtId="170" fontId="59" fillId="27" borderId="19" xfId="365" applyNumberFormat="1" applyFont="1" applyFill="1" applyBorder="1" applyAlignment="1">
      <alignment vertical="center"/>
    </xf>
    <xf numFmtId="170" fontId="61" fillId="27" borderId="0" xfId="365" applyNumberFormat="1" applyFont="1" applyFill="1" applyBorder="1" applyAlignment="1">
      <alignment vertical="center"/>
    </xf>
    <xf numFmtId="170" fontId="61" fillId="0" borderId="19" xfId="365" applyNumberFormat="1" applyFont="1" applyFill="1" applyBorder="1" applyAlignment="1">
      <alignment vertical="center"/>
    </xf>
    <xf numFmtId="170" fontId="61" fillId="27" borderId="20" xfId="365" applyNumberFormat="1" applyFont="1" applyFill="1" applyBorder="1" applyAlignment="1">
      <alignment vertical="center"/>
    </xf>
    <xf numFmtId="170" fontId="59" fillId="27" borderId="62" xfId="365" applyNumberFormat="1" applyFont="1" applyFill="1" applyBorder="1" applyAlignment="1">
      <alignment vertical="center"/>
    </xf>
    <xf numFmtId="170" fontId="61" fillId="27" borderId="40" xfId="365" applyNumberFormat="1" applyFont="1" applyFill="1" applyBorder="1" applyAlignment="1">
      <alignment vertical="center"/>
    </xf>
    <xf numFmtId="170" fontId="61" fillId="27" borderId="63" xfId="365" applyNumberFormat="1" applyFont="1" applyFill="1" applyBorder="1" applyAlignment="1">
      <alignment vertical="center"/>
    </xf>
    <xf numFmtId="170" fontId="61" fillId="29" borderId="76" xfId="43" applyNumberFormat="1" applyFont="1" applyFill="1" applyBorder="1" applyAlignment="1">
      <alignment horizontal="center" vertical="center"/>
    </xf>
    <xf numFmtId="170" fontId="61" fillId="27" borderId="20" xfId="86" applyNumberFormat="1" applyFont="1" applyFill="1" applyBorder="1" applyAlignment="1">
      <alignment vertical="center"/>
    </xf>
    <xf numFmtId="170" fontId="59" fillId="29" borderId="70" xfId="43" applyNumberFormat="1" applyFont="1" applyFill="1" applyBorder="1" applyAlignment="1">
      <alignment vertical="center"/>
    </xf>
    <xf numFmtId="170" fontId="61" fillId="27" borderId="63" xfId="86" applyNumberFormat="1" applyFont="1" applyFill="1" applyBorder="1" applyAlignment="1">
      <alignment horizontal="center" vertical="center"/>
    </xf>
    <xf numFmtId="170" fontId="61" fillId="27" borderId="40" xfId="86" applyNumberFormat="1" applyFont="1" applyFill="1" applyBorder="1" applyAlignment="1">
      <alignment horizontal="center" vertical="center"/>
    </xf>
    <xf numFmtId="170" fontId="61" fillId="27" borderId="41" xfId="86" applyNumberFormat="1" applyFont="1" applyFill="1" applyBorder="1" applyAlignment="1">
      <alignment horizontal="center" vertical="center"/>
    </xf>
    <xf numFmtId="170" fontId="61" fillId="27" borderId="61" xfId="86" applyNumberFormat="1" applyFont="1" applyFill="1" applyBorder="1" applyAlignment="1">
      <alignment horizontal="center" vertical="center"/>
    </xf>
    <xf numFmtId="170" fontId="61" fillId="27" borderId="34" xfId="86" applyNumberFormat="1" applyFont="1" applyFill="1" applyBorder="1" applyAlignment="1">
      <alignment horizontal="center" vertical="center"/>
    </xf>
    <xf numFmtId="170" fontId="61" fillId="27" borderId="31" xfId="86" applyNumberFormat="1" applyFont="1" applyFill="1" applyBorder="1" applyAlignment="1">
      <alignment horizontal="center" vertical="center"/>
    </xf>
    <xf numFmtId="170" fontId="60" fillId="0" borderId="0" xfId="43" applyNumberFormat="1" applyFont="1" applyFill="1"/>
    <xf numFmtId="0" fontId="59" fillId="0" borderId="0" xfId="373" applyFont="1" applyFill="1" applyAlignment="1">
      <alignment vertical="center"/>
    </xf>
    <xf numFmtId="0" fontId="60" fillId="0" borderId="0" xfId="373" applyFont="1" applyFill="1" applyAlignment="1">
      <alignment vertical="center"/>
    </xf>
    <xf numFmtId="0" fontId="59" fillId="0" borderId="0" xfId="43" applyFont="1" applyFill="1" applyAlignment="1">
      <alignment vertical="center"/>
    </xf>
    <xf numFmtId="0" fontId="60" fillId="27" borderId="0" xfId="373" applyFont="1" applyFill="1" applyAlignment="1">
      <alignment vertical="center"/>
    </xf>
    <xf numFmtId="0" fontId="60" fillId="27" borderId="0" xfId="373" applyFont="1" applyFill="1" applyBorder="1" applyAlignment="1">
      <alignment vertical="center"/>
    </xf>
    <xf numFmtId="0" fontId="80" fillId="29" borderId="57" xfId="43" applyFont="1" applyFill="1" applyBorder="1" applyAlignment="1">
      <alignment horizontal="center" vertical="center" wrapText="1"/>
    </xf>
    <xf numFmtId="0" fontId="80" fillId="29" borderId="55" xfId="43" applyFont="1" applyFill="1" applyBorder="1" applyAlignment="1">
      <alignment horizontal="center" vertical="center" wrapText="1"/>
    </xf>
    <xf numFmtId="0" fontId="80" fillId="29" borderId="58" xfId="43" applyFont="1" applyFill="1" applyBorder="1" applyAlignment="1">
      <alignment horizontal="center" vertical="center" wrapText="1"/>
    </xf>
    <xf numFmtId="17" fontId="60" fillId="27" borderId="18" xfId="43" applyNumberFormat="1" applyFont="1" applyFill="1" applyBorder="1" applyAlignment="1">
      <alignment horizontal="center" vertical="center"/>
    </xf>
    <xf numFmtId="187" fontId="66" fillId="27" borderId="19" xfId="43" applyNumberFormat="1" applyFont="1" applyFill="1" applyBorder="1" applyAlignment="1">
      <alignment horizontal="right" vertical="center"/>
    </xf>
    <xf numFmtId="187" fontId="60" fillId="27" borderId="19" xfId="43" applyNumberFormat="1" applyFont="1" applyFill="1" applyBorder="1" applyAlignment="1">
      <alignment horizontal="right" vertical="center"/>
    </xf>
    <xf numFmtId="179" fontId="60" fillId="27" borderId="20" xfId="97" applyNumberFormat="1" applyFont="1" applyFill="1" applyBorder="1" applyAlignment="1">
      <alignment horizontal="right" vertical="center"/>
    </xf>
    <xf numFmtId="187" fontId="60" fillId="0" borderId="0" xfId="373" applyNumberFormat="1" applyFont="1" applyFill="1" applyAlignment="1">
      <alignment vertical="center"/>
    </xf>
    <xf numFmtId="173" fontId="60" fillId="0" borderId="0" xfId="86" applyFont="1" applyFill="1" applyAlignment="1">
      <alignment vertical="center"/>
    </xf>
    <xf numFmtId="187" fontId="60" fillId="27" borderId="20" xfId="43" applyNumberFormat="1" applyFont="1" applyFill="1" applyBorder="1" applyAlignment="1">
      <alignment horizontal="right" vertical="center"/>
    </xf>
    <xf numFmtId="187" fontId="60" fillId="27" borderId="37" xfId="43" applyNumberFormat="1" applyFont="1" applyFill="1" applyBorder="1" applyAlignment="1">
      <alignment horizontal="right" vertical="center"/>
    </xf>
    <xf numFmtId="187" fontId="60" fillId="27" borderId="0" xfId="43" applyNumberFormat="1" applyFont="1" applyFill="1" applyBorder="1" applyAlignment="1">
      <alignment horizontal="right" vertical="center"/>
    </xf>
    <xf numFmtId="187" fontId="66" fillId="27" borderId="0" xfId="43" applyNumberFormat="1" applyFont="1" applyFill="1" applyBorder="1" applyAlignment="1">
      <alignment horizontal="right" vertical="center"/>
    </xf>
    <xf numFmtId="187" fontId="66" fillId="27" borderId="37" xfId="43" applyNumberFormat="1" applyFont="1" applyFill="1" applyBorder="1" applyAlignment="1">
      <alignment horizontal="right" vertical="center"/>
    </xf>
    <xf numFmtId="187" fontId="60" fillId="28" borderId="37" xfId="43" applyNumberFormat="1" applyFont="1" applyFill="1" applyBorder="1" applyAlignment="1">
      <alignment horizontal="right" vertical="center"/>
    </xf>
    <xf numFmtId="187" fontId="66" fillId="0" borderId="37" xfId="43" applyNumberFormat="1" applyFont="1" applyFill="1" applyBorder="1" applyAlignment="1">
      <alignment horizontal="right" vertical="center"/>
    </xf>
    <xf numFmtId="187" fontId="60" fillId="0" borderId="37" xfId="43" applyNumberFormat="1" applyFont="1" applyFill="1" applyBorder="1" applyAlignment="1">
      <alignment horizontal="right" vertical="center"/>
    </xf>
    <xf numFmtId="179" fontId="60" fillId="0" borderId="20" xfId="97" applyNumberFormat="1" applyFont="1" applyFill="1" applyBorder="1" applyAlignment="1">
      <alignment horizontal="right" vertical="center"/>
    </xf>
    <xf numFmtId="205" fontId="60" fillId="0" borderId="0" xfId="85" applyNumberFormat="1" applyFont="1" applyFill="1" applyAlignment="1">
      <alignment vertical="center"/>
    </xf>
    <xf numFmtId="208" fontId="60" fillId="0" borderId="0" xfId="85" applyNumberFormat="1" applyFont="1" applyFill="1" applyAlignment="1">
      <alignment vertical="center"/>
    </xf>
    <xf numFmtId="167" fontId="60" fillId="0" borderId="0" xfId="373" applyNumberFormat="1" applyFont="1" applyFill="1" applyAlignment="1">
      <alignment vertical="center"/>
    </xf>
    <xf numFmtId="208" fontId="60" fillId="0" borderId="0" xfId="43" applyNumberFormat="1" applyFont="1" applyFill="1" applyAlignment="1">
      <alignment vertical="center"/>
    </xf>
    <xf numFmtId="0" fontId="60" fillId="0" borderId="0" xfId="373" applyFont="1" applyFill="1" applyBorder="1" applyAlignment="1">
      <alignment vertical="center"/>
    </xf>
    <xf numFmtId="0" fontId="63" fillId="0" borderId="0" xfId="373" applyFont="1" applyFill="1" applyBorder="1" applyAlignment="1">
      <alignment vertical="center" wrapText="1"/>
    </xf>
    <xf numFmtId="0" fontId="60" fillId="0" borderId="0" xfId="374" applyFont="1" applyFill="1" applyBorder="1" applyAlignment="1">
      <alignment vertical="center"/>
    </xf>
    <xf numFmtId="0" fontId="66" fillId="0" borderId="0" xfId="374" applyFont="1" applyFill="1" applyBorder="1" applyAlignment="1">
      <alignment horizontal="centerContinuous" vertical="center"/>
    </xf>
    <xf numFmtId="0" fontId="133" fillId="29" borderId="23" xfId="374" quotePrefix="1" applyFont="1" applyFill="1" applyBorder="1" applyAlignment="1">
      <alignment horizontal="center" vertical="center" wrapText="1"/>
    </xf>
    <xf numFmtId="0" fontId="80" fillId="29" borderId="23" xfId="374" quotePrefix="1" applyFont="1" applyFill="1" applyBorder="1" applyAlignment="1">
      <alignment horizontal="center" vertical="center" wrapText="1"/>
    </xf>
    <xf numFmtId="0" fontId="80" fillId="29" borderId="23" xfId="374" applyFont="1" applyFill="1" applyBorder="1" applyAlignment="1">
      <alignment horizontal="center" vertical="center" wrapText="1"/>
    </xf>
    <xf numFmtId="0" fontId="66" fillId="0" borderId="15" xfId="374" applyFont="1" applyFill="1" applyBorder="1" applyAlignment="1">
      <alignment vertical="center"/>
    </xf>
    <xf numFmtId="0" fontId="66" fillId="0" borderId="32" xfId="374" applyFont="1" applyFill="1" applyBorder="1" applyAlignment="1">
      <alignment vertical="center"/>
    </xf>
    <xf numFmtId="3" fontId="80" fillId="29" borderId="23" xfId="374" applyNumberFormat="1" applyFont="1" applyFill="1" applyBorder="1" applyAlignment="1" applyProtection="1">
      <alignment horizontal="left" vertical="center"/>
    </xf>
    <xf numFmtId="196" fontId="80" fillId="29" borderId="23" xfId="85" applyNumberFormat="1" applyFont="1" applyFill="1" applyBorder="1" applyAlignment="1">
      <alignment horizontal="center" vertical="center"/>
    </xf>
    <xf numFmtId="3" fontId="80" fillId="29" borderId="23" xfId="374" applyNumberFormat="1" applyFont="1" applyFill="1" applyBorder="1" applyAlignment="1">
      <alignment horizontal="center" vertical="center"/>
    </xf>
    <xf numFmtId="3" fontId="73" fillId="27" borderId="32" xfId="374" applyNumberFormat="1" applyFont="1" applyFill="1" applyBorder="1" applyAlignment="1" applyProtection="1">
      <alignment horizontal="left" vertical="center"/>
    </xf>
    <xf numFmtId="196" fontId="73" fillId="27" borderId="32" xfId="85" applyNumberFormat="1" applyFont="1" applyFill="1" applyBorder="1" applyAlignment="1">
      <alignment horizontal="center" vertical="center"/>
    </xf>
    <xf numFmtId="3" fontId="73" fillId="27" borderId="32" xfId="374" applyNumberFormat="1" applyFont="1" applyFill="1" applyBorder="1" applyAlignment="1">
      <alignment horizontal="center" vertical="center"/>
    </xf>
    <xf numFmtId="3" fontId="61" fillId="27" borderId="15" xfId="374" applyNumberFormat="1" applyFont="1" applyFill="1" applyBorder="1" applyAlignment="1" applyProtection="1">
      <alignment horizontal="left" vertical="center"/>
    </xf>
    <xf numFmtId="196" fontId="61" fillId="27" borderId="15" xfId="85" applyNumberFormat="1" applyFont="1" applyFill="1" applyBorder="1" applyAlignment="1">
      <alignment horizontal="center" vertical="center"/>
    </xf>
    <xf numFmtId="196" fontId="61" fillId="0" borderId="15" xfId="85" applyNumberFormat="1" applyFont="1" applyFill="1" applyBorder="1" applyAlignment="1">
      <alignment horizontal="center" vertical="center"/>
    </xf>
    <xf numFmtId="187" fontId="66" fillId="27" borderId="15" xfId="374" applyNumberFormat="1" applyFont="1" applyFill="1" applyBorder="1" applyAlignment="1" applyProtection="1">
      <alignment horizontal="left" vertical="center"/>
    </xf>
    <xf numFmtId="196" fontId="60" fillId="27" borderId="15" xfId="85" applyNumberFormat="1" applyFont="1" applyFill="1" applyBorder="1" applyAlignment="1">
      <alignment horizontal="center" vertical="center"/>
    </xf>
    <xf numFmtId="196" fontId="60" fillId="0" borderId="15" xfId="85" applyNumberFormat="1" applyFont="1" applyFill="1" applyBorder="1" applyAlignment="1">
      <alignment horizontal="center" vertical="center"/>
    </xf>
    <xf numFmtId="0" fontId="60" fillId="27" borderId="15" xfId="374" applyFont="1" applyFill="1" applyBorder="1" applyAlignment="1">
      <alignment vertical="center"/>
    </xf>
    <xf numFmtId="3" fontId="66" fillId="27" borderId="15" xfId="374" applyNumberFormat="1" applyFont="1" applyFill="1" applyBorder="1" applyAlignment="1" applyProtection="1">
      <alignment horizontal="left" vertical="center"/>
    </xf>
    <xf numFmtId="3" fontId="66" fillId="27" borderId="24" xfId="374" applyNumberFormat="1" applyFont="1" applyFill="1" applyBorder="1" applyAlignment="1" applyProtection="1">
      <alignment horizontal="left" vertical="center"/>
    </xf>
    <xf numFmtId="3" fontId="66" fillId="27" borderId="24" xfId="374" applyNumberFormat="1" applyFont="1" applyFill="1" applyBorder="1" applyAlignment="1">
      <alignment horizontal="center" vertical="center"/>
    </xf>
    <xf numFmtId="0" fontId="64" fillId="0" borderId="0" xfId="373" applyFont="1" applyFill="1" applyAlignment="1">
      <alignment vertical="center" wrapText="1"/>
    </xf>
    <xf numFmtId="198" fontId="60" fillId="0" borderId="0" xfId="43" applyNumberFormat="1" applyFont="1" applyFill="1" applyAlignment="1">
      <alignment vertical="center"/>
    </xf>
    <xf numFmtId="0" fontId="134" fillId="0" borderId="0" xfId="79" applyFont="1" applyFill="1" applyAlignment="1" applyProtection="1">
      <alignment horizontal="center"/>
    </xf>
    <xf numFmtId="0" fontId="66" fillId="27" borderId="0" xfId="43" applyFont="1" applyFill="1"/>
    <xf numFmtId="0" fontId="66" fillId="27" borderId="0" xfId="43" applyFont="1" applyFill="1" applyAlignment="1">
      <alignment horizontal="center"/>
    </xf>
    <xf numFmtId="0" fontId="60" fillId="27" borderId="0" xfId="43" applyFont="1" applyFill="1" applyAlignment="1">
      <alignment horizontal="center" vertical="center" wrapText="1"/>
    </xf>
    <xf numFmtId="0" fontId="60" fillId="27" borderId="0" xfId="43" applyFont="1" applyFill="1" applyAlignment="1">
      <alignment horizontal="center" vertical="center"/>
    </xf>
    <xf numFmtId="0" fontId="66" fillId="27" borderId="0" xfId="43" applyFont="1" applyFill="1" applyAlignment="1">
      <alignment vertical="center"/>
    </xf>
    <xf numFmtId="0" fontId="133" fillId="29" borderId="43" xfId="43" applyFont="1" applyFill="1" applyBorder="1" applyAlignment="1">
      <alignment horizontal="center" vertical="center"/>
    </xf>
    <xf numFmtId="0" fontId="133" fillId="29" borderId="92" xfId="43" applyFont="1" applyFill="1" applyBorder="1" applyAlignment="1">
      <alignment horizontal="center" vertical="center"/>
    </xf>
    <xf numFmtId="0" fontId="133" fillId="29" borderId="65" xfId="43" applyFont="1" applyFill="1" applyBorder="1" applyAlignment="1">
      <alignment horizontal="center" vertical="center"/>
    </xf>
    <xf numFmtId="0" fontId="133" fillId="29" borderId="92" xfId="43" applyFont="1" applyFill="1" applyBorder="1" applyAlignment="1">
      <alignment horizontal="center" vertical="center" wrapText="1"/>
    </xf>
    <xf numFmtId="0" fontId="66" fillId="27" borderId="93" xfId="43" applyFont="1" applyFill="1" applyBorder="1" applyAlignment="1">
      <alignment vertical="center"/>
    </xf>
    <xf numFmtId="179" fontId="66" fillId="27" borderId="93" xfId="368" applyNumberFormat="1" applyFont="1" applyFill="1" applyBorder="1" applyAlignment="1">
      <alignment horizontal="center" vertical="center"/>
    </xf>
    <xf numFmtId="179" fontId="66" fillId="27" borderId="94" xfId="368" applyNumberFormat="1" applyFont="1" applyFill="1" applyBorder="1" applyAlignment="1">
      <alignment horizontal="center" vertical="center"/>
    </xf>
    <xf numFmtId="0" fontId="66" fillId="27" borderId="94" xfId="43" applyFont="1" applyFill="1" applyBorder="1" applyAlignment="1">
      <alignment vertical="center"/>
    </xf>
    <xf numFmtId="0" fontId="66" fillId="0" borderId="94" xfId="43" applyFont="1" applyFill="1" applyBorder="1" applyAlignment="1">
      <alignment vertical="center"/>
    </xf>
    <xf numFmtId="49" fontId="66" fillId="27" borderId="94" xfId="368" applyNumberFormat="1" applyFont="1" applyFill="1" applyBorder="1" applyAlignment="1">
      <alignment horizontal="center" vertical="center"/>
    </xf>
    <xf numFmtId="173" fontId="60" fillId="27" borderId="0" xfId="365" applyFont="1" applyFill="1"/>
    <xf numFmtId="0" fontId="66" fillId="0" borderId="95" xfId="43" applyFont="1" applyFill="1" applyBorder="1" applyAlignment="1">
      <alignment vertical="center"/>
    </xf>
    <xf numFmtId="179" fontId="66" fillId="27" borderId="95" xfId="368" applyNumberFormat="1" applyFont="1" applyFill="1" applyBorder="1" applyAlignment="1">
      <alignment horizontal="center" vertical="center"/>
    </xf>
    <xf numFmtId="49" fontId="66" fillId="27" borderId="95" xfId="368" applyNumberFormat="1" applyFont="1" applyFill="1" applyBorder="1" applyAlignment="1">
      <alignment horizontal="center" vertical="center"/>
    </xf>
    <xf numFmtId="0" fontId="66" fillId="0" borderId="93" xfId="43" applyFont="1" applyFill="1" applyBorder="1" applyAlignment="1">
      <alignment vertical="center"/>
    </xf>
    <xf numFmtId="179" fontId="66" fillId="27" borderId="0" xfId="368" applyNumberFormat="1" applyFont="1" applyFill="1" applyAlignment="1">
      <alignment horizontal="center"/>
    </xf>
    <xf numFmtId="202" fontId="66" fillId="27" borderId="92" xfId="366" applyNumberFormat="1" applyFont="1" applyFill="1" applyBorder="1" applyAlignment="1">
      <alignment horizontal="center" vertical="center"/>
    </xf>
    <xf numFmtId="0" fontId="66" fillId="28" borderId="93" xfId="43" applyFont="1" applyFill="1" applyBorder="1" applyAlignment="1">
      <alignment horizontal="left" vertical="center"/>
    </xf>
    <xf numFmtId="0" fontId="66" fillId="28" borderId="95" xfId="43" applyFont="1" applyFill="1" applyBorder="1" applyAlignment="1">
      <alignment horizontal="left" vertical="center"/>
    </xf>
    <xf numFmtId="0" fontId="66" fillId="28" borderId="0" xfId="43" applyFont="1" applyFill="1" applyBorder="1" applyAlignment="1">
      <alignment horizontal="left"/>
    </xf>
    <xf numFmtId="179" fontId="66" fillId="27" borderId="0" xfId="368" applyNumberFormat="1" applyFont="1" applyFill="1" applyBorder="1" applyAlignment="1">
      <alignment horizontal="center"/>
    </xf>
    <xf numFmtId="0" fontId="66" fillId="28" borderId="0" xfId="43" applyFont="1" applyFill="1" applyAlignment="1">
      <alignment horizontal="left"/>
    </xf>
    <xf numFmtId="202" fontId="66" fillId="27" borderId="0" xfId="366" applyNumberFormat="1" applyFont="1" applyFill="1" applyBorder="1" applyAlignment="1">
      <alignment horizontal="center"/>
    </xf>
    <xf numFmtId="179" fontId="66" fillId="0" borderId="94" xfId="368" applyNumberFormat="1" applyFont="1" applyFill="1" applyBorder="1" applyAlignment="1">
      <alignment horizontal="center" vertical="center"/>
    </xf>
    <xf numFmtId="179" fontId="66" fillId="0" borderId="93" xfId="368" applyNumberFormat="1" applyFont="1" applyFill="1" applyBorder="1" applyAlignment="1">
      <alignment horizontal="center" vertical="center"/>
    </xf>
    <xf numFmtId="179" fontId="66" fillId="0" borderId="95" xfId="368" applyNumberFormat="1" applyFont="1" applyFill="1" applyBorder="1" applyAlignment="1">
      <alignment horizontal="center" vertical="center"/>
    </xf>
    <xf numFmtId="179" fontId="66" fillId="0" borderId="0" xfId="368" applyNumberFormat="1" applyFont="1" applyFill="1" applyAlignment="1">
      <alignment horizontal="center"/>
    </xf>
    <xf numFmtId="202" fontId="66" fillId="0" borderId="92" xfId="366" applyNumberFormat="1" applyFont="1" applyFill="1" applyBorder="1" applyAlignment="1">
      <alignment horizontal="center" vertical="center"/>
    </xf>
    <xf numFmtId="0" fontId="73" fillId="27" borderId="0" xfId="465" applyFont="1" applyFill="1"/>
    <xf numFmtId="0" fontId="69" fillId="28" borderId="0" xfId="0" applyFont="1" applyFill="1"/>
    <xf numFmtId="0" fontId="73" fillId="27" borderId="0" xfId="465" applyFont="1" applyFill="1" applyAlignment="1"/>
    <xf numFmtId="167" fontId="64" fillId="0" borderId="0" xfId="364" applyNumberFormat="1" applyFont="1"/>
    <xf numFmtId="190" fontId="60" fillId="0" borderId="0" xfId="364" applyNumberFormat="1" applyFont="1" applyAlignment="1">
      <alignment vertical="center"/>
    </xf>
    <xf numFmtId="174" fontId="60" fillId="0" borderId="0" xfId="85" applyNumberFormat="1" applyFont="1" applyAlignment="1">
      <alignment vertical="center"/>
    </xf>
    <xf numFmtId="219" fontId="60" fillId="0" borderId="0" xfId="85" applyNumberFormat="1" applyFont="1"/>
    <xf numFmtId="219" fontId="69" fillId="0" borderId="0" xfId="85" applyNumberFormat="1" applyFont="1"/>
    <xf numFmtId="219" fontId="94" fillId="0" borderId="0" xfId="85" applyNumberFormat="1" applyFont="1"/>
    <xf numFmtId="0" fontId="80" fillId="29" borderId="22" xfId="43" applyFont="1" applyFill="1" applyBorder="1" applyAlignment="1">
      <alignment horizontal="center" vertical="center" wrapText="1"/>
    </xf>
    <xf numFmtId="0" fontId="60" fillId="0" borderId="85" xfId="43" applyFont="1" applyFill="1" applyBorder="1" applyAlignment="1">
      <alignment horizontal="left" vertical="center" indent="2"/>
    </xf>
    <xf numFmtId="3" fontId="60" fillId="0" borderId="103" xfId="91" applyNumberFormat="1" applyFont="1" applyFill="1" applyBorder="1" applyAlignment="1">
      <alignment vertical="center"/>
    </xf>
    <xf numFmtId="3" fontId="135" fillId="29" borderId="15" xfId="43" applyNumberFormat="1" applyFont="1" applyFill="1" applyBorder="1" applyAlignment="1">
      <alignment vertical="center"/>
    </xf>
    <xf numFmtId="203" fontId="61" fillId="27" borderId="0" xfId="85" applyNumberFormat="1" applyFont="1" applyFill="1" applyAlignment="1">
      <alignment horizontal="center"/>
    </xf>
    <xf numFmtId="208" fontId="60" fillId="27" borderId="0" xfId="85" applyNumberFormat="1" applyFont="1" applyFill="1" applyAlignment="1">
      <alignment horizontal="center"/>
    </xf>
    <xf numFmtId="218" fontId="60" fillId="27" borderId="0" xfId="85" applyNumberFormat="1" applyFont="1" applyFill="1" applyAlignment="1">
      <alignment horizontal="center"/>
    </xf>
    <xf numFmtId="215" fontId="60" fillId="27" borderId="0" xfId="85" applyNumberFormat="1" applyFont="1" applyFill="1" applyAlignment="1">
      <alignment horizontal="center"/>
    </xf>
    <xf numFmtId="3" fontId="60" fillId="28" borderId="85" xfId="43" applyNumberFormat="1" applyFont="1" applyFill="1" applyBorder="1" applyAlignment="1">
      <alignment vertical="center"/>
    </xf>
    <xf numFmtId="203" fontId="60" fillId="0" borderId="0" xfId="85" applyNumberFormat="1" applyFont="1" applyFill="1" applyAlignment="1">
      <alignment horizontal="center"/>
    </xf>
    <xf numFmtId="216" fontId="64" fillId="27" borderId="0" xfId="85" applyNumberFormat="1" applyFont="1" applyFill="1" applyAlignment="1">
      <alignment horizontal="center"/>
    </xf>
    <xf numFmtId="3" fontId="60" fillId="27" borderId="0" xfId="43" applyNumberFormat="1" applyFont="1" applyFill="1" applyAlignment="1">
      <alignment horizontal="center" vertical="center"/>
    </xf>
    <xf numFmtId="216" fontId="60" fillId="0" borderId="0" xfId="85" applyNumberFormat="1" applyFont="1" applyFill="1" applyAlignment="1">
      <alignment vertical="center"/>
    </xf>
    <xf numFmtId="203" fontId="60" fillId="0" borderId="0" xfId="85" applyNumberFormat="1" applyFont="1" applyFill="1" applyAlignment="1">
      <alignment horizontal="center" vertical="center"/>
    </xf>
    <xf numFmtId="217" fontId="60" fillId="0" borderId="0" xfId="85" applyNumberFormat="1" applyFont="1" applyFill="1" applyAlignment="1">
      <alignment horizontal="center" vertical="center"/>
    </xf>
    <xf numFmtId="1" fontId="60" fillId="28" borderId="25" xfId="91" applyNumberFormat="1" applyFont="1" applyFill="1" applyBorder="1" applyAlignment="1">
      <alignment vertical="center"/>
    </xf>
    <xf numFmtId="3" fontId="60" fillId="28" borderId="25" xfId="91" applyNumberFormat="1" applyFont="1" applyFill="1" applyBorder="1" applyAlignment="1">
      <alignment vertical="center"/>
    </xf>
    <xf numFmtId="3" fontId="60" fillId="28" borderId="0" xfId="43" applyNumberFormat="1" applyFont="1" applyFill="1" applyBorder="1" applyAlignment="1">
      <alignment vertical="center"/>
    </xf>
    <xf numFmtId="216" fontId="61" fillId="27" borderId="0" xfId="85" applyNumberFormat="1" applyFont="1" applyFill="1"/>
    <xf numFmtId="203" fontId="62" fillId="27" borderId="0" xfId="85" applyNumberFormat="1" applyFont="1" applyFill="1"/>
    <xf numFmtId="216" fontId="60" fillId="0" borderId="0" xfId="85" applyNumberFormat="1" applyFont="1"/>
    <xf numFmtId="172" fontId="60" fillId="28" borderId="19" xfId="86" applyNumberFormat="1" applyFont="1" applyFill="1" applyBorder="1" applyAlignment="1">
      <alignment horizontal="right" vertical="center"/>
    </xf>
    <xf numFmtId="15" fontId="59" fillId="0" borderId="38" xfId="43" applyNumberFormat="1" applyFont="1" applyFill="1" applyBorder="1" applyAlignment="1">
      <alignment horizontal="center" vertical="center" wrapText="1"/>
    </xf>
    <xf numFmtId="207" fontId="60" fillId="0" borderId="0" xfId="85" applyNumberFormat="1" applyFont="1"/>
    <xf numFmtId="3" fontId="61" fillId="0" borderId="20" xfId="365" applyNumberFormat="1" applyFont="1" applyFill="1" applyBorder="1" applyAlignment="1">
      <alignment horizontal="right" wrapText="1" indent="1"/>
    </xf>
    <xf numFmtId="3" fontId="65" fillId="29" borderId="100" xfId="43" applyNumberFormat="1" applyFont="1" applyFill="1" applyBorder="1" applyAlignment="1">
      <alignment horizontal="right" vertical="center" wrapText="1" indent="1"/>
    </xf>
    <xf numFmtId="0" fontId="59" fillId="28" borderId="0" xfId="364" applyFont="1" applyFill="1"/>
    <xf numFmtId="41" fontId="60" fillId="27" borderId="0" xfId="365" applyNumberFormat="1" applyFont="1" applyFill="1"/>
    <xf numFmtId="0" fontId="62" fillId="27" borderId="0" xfId="43" applyFont="1" applyFill="1" applyAlignment="1">
      <alignment horizontal="center"/>
    </xf>
    <xf numFmtId="0" fontId="61" fillId="27" borderId="0" xfId="43" applyFont="1" applyFill="1" applyAlignment="1">
      <alignment horizontal="center"/>
    </xf>
    <xf numFmtId="0" fontId="136" fillId="27" borderId="0" xfId="43" applyFont="1" applyFill="1" applyAlignment="1">
      <alignment horizontal="center"/>
    </xf>
    <xf numFmtId="0" fontId="73" fillId="27" borderId="0" xfId="43" applyFont="1" applyFill="1" applyAlignment="1">
      <alignment horizontal="center"/>
    </xf>
    <xf numFmtId="3" fontId="89" fillId="27" borderId="0" xfId="43" applyNumberFormat="1" applyFont="1" applyFill="1"/>
    <xf numFmtId="4" fontId="69" fillId="0" borderId="35" xfId="43" applyNumberFormat="1" applyFont="1" applyFill="1" applyBorder="1" applyAlignment="1">
      <alignment horizontal="center" vertical="center" wrapText="1"/>
    </xf>
    <xf numFmtId="15" fontId="69" fillId="0" borderId="24" xfId="43" applyNumberFormat="1" applyFont="1" applyFill="1" applyBorder="1" applyAlignment="1">
      <alignment horizontal="center" vertical="center" wrapText="1"/>
    </xf>
    <xf numFmtId="15" fontId="69" fillId="27" borderId="24" xfId="43" applyNumberFormat="1" applyFont="1" applyFill="1" applyBorder="1" applyAlignment="1">
      <alignment horizontal="center" vertical="center" wrapText="1"/>
    </xf>
    <xf numFmtId="0" fontId="60" fillId="0" borderId="26" xfId="43" applyFont="1" applyBorder="1"/>
    <xf numFmtId="3" fontId="69" fillId="0" borderId="32" xfId="43" applyNumberFormat="1" applyFont="1" applyFill="1" applyBorder="1"/>
    <xf numFmtId="220" fontId="69" fillId="0" borderId="32" xfId="366" applyNumberFormat="1" applyFont="1" applyFill="1" applyBorder="1"/>
    <xf numFmtId="3" fontId="137" fillId="29" borderId="15" xfId="43" applyNumberFormat="1" applyFont="1" applyFill="1" applyBorder="1" applyAlignment="1">
      <alignment vertical="center"/>
    </xf>
    <xf numFmtId="0" fontId="60" fillId="0" borderId="29" xfId="43" applyFont="1" applyBorder="1"/>
    <xf numFmtId="0" fontId="138" fillId="0" borderId="24" xfId="43" applyFont="1" applyFill="1" applyBorder="1"/>
    <xf numFmtId="0" fontId="95" fillId="29" borderId="14" xfId="43" applyFont="1" applyFill="1" applyBorder="1"/>
    <xf numFmtId="3" fontId="137" fillId="29" borderId="15" xfId="43" applyNumberFormat="1" applyFont="1" applyFill="1" applyBorder="1"/>
    <xf numFmtId="0" fontId="60" fillId="0" borderId="14" xfId="43" applyFont="1" applyBorder="1"/>
    <xf numFmtId="0" fontId="138" fillId="0" borderId="15" xfId="43" applyFont="1" applyFill="1" applyBorder="1"/>
    <xf numFmtId="0" fontId="117" fillId="29" borderId="14" xfId="43" applyFont="1" applyFill="1" applyBorder="1"/>
    <xf numFmtId="177" fontId="139" fillId="29" borderId="15" xfId="366" applyNumberFormat="1" applyFont="1" applyFill="1" applyBorder="1"/>
    <xf numFmtId="0" fontId="59" fillId="27" borderId="14" xfId="43" applyFont="1" applyFill="1" applyBorder="1"/>
    <xf numFmtId="0" fontId="138" fillId="27" borderId="15" xfId="43" applyFont="1" applyFill="1" applyBorder="1"/>
    <xf numFmtId="0" fontId="81" fillId="27" borderId="14" xfId="43" applyFont="1" applyFill="1" applyBorder="1"/>
    <xf numFmtId="3" fontId="140" fillId="27" borderId="15" xfId="43" applyNumberFormat="1" applyFont="1" applyFill="1" applyBorder="1"/>
    <xf numFmtId="3" fontId="140" fillId="28" borderId="15" xfId="43" applyNumberFormat="1" applyFont="1" applyFill="1" applyBorder="1"/>
    <xf numFmtId="3" fontId="138" fillId="27" borderId="15" xfId="43" applyNumberFormat="1" applyFont="1" applyFill="1" applyBorder="1"/>
    <xf numFmtId="3" fontId="61" fillId="27" borderId="15" xfId="43" applyNumberFormat="1" applyFont="1" applyFill="1" applyBorder="1"/>
    <xf numFmtId="43" fontId="140" fillId="27" borderId="15" xfId="366" applyNumberFormat="1" applyFont="1" applyFill="1" applyBorder="1"/>
    <xf numFmtId="3" fontId="138" fillId="28" borderId="15" xfId="43" applyNumberFormat="1" applyFont="1" applyFill="1" applyBorder="1"/>
    <xf numFmtId="3" fontId="139" fillId="29" borderId="15" xfId="43" applyNumberFormat="1" applyFont="1" applyFill="1" applyBorder="1"/>
    <xf numFmtId="43" fontId="139" fillId="29" borderId="15" xfId="366" applyNumberFormat="1" applyFont="1" applyFill="1" applyBorder="1"/>
    <xf numFmtId="0" fontId="59" fillId="27" borderId="29" xfId="43" applyFont="1" applyFill="1" applyBorder="1"/>
    <xf numFmtId="3" fontId="138" fillId="27" borderId="24" xfId="43" applyNumberFormat="1" applyFont="1" applyFill="1" applyBorder="1"/>
    <xf numFmtId="0" fontId="116" fillId="27" borderId="14" xfId="43" applyFont="1" applyFill="1" applyBorder="1"/>
    <xf numFmtId="177" fontId="140" fillId="27" borderId="15" xfId="366" applyNumberFormat="1" applyFont="1" applyFill="1" applyBorder="1"/>
    <xf numFmtId="177" fontId="140" fillId="27" borderId="15" xfId="43" applyNumberFormat="1" applyFont="1" applyFill="1" applyBorder="1"/>
    <xf numFmtId="3" fontId="138" fillId="27" borderId="32" xfId="43" applyNumberFormat="1" applyFont="1" applyFill="1" applyBorder="1"/>
    <xf numFmtId="177" fontId="141" fillId="29" borderId="15" xfId="366" applyNumberFormat="1" applyFont="1" applyFill="1" applyBorder="1"/>
    <xf numFmtId="3" fontId="60" fillId="28" borderId="0" xfId="364" applyNumberFormat="1" applyFont="1" applyFill="1"/>
    <xf numFmtId="3" fontId="138" fillId="27" borderId="0" xfId="43" applyNumberFormat="1" applyFont="1" applyFill="1" applyBorder="1"/>
    <xf numFmtId="0" fontId="59" fillId="0" borderId="0" xfId="43" applyFont="1" applyFill="1" applyAlignment="1">
      <alignment horizontal="left"/>
    </xf>
    <xf numFmtId="0" fontId="59" fillId="0" borderId="0" xfId="364" applyFont="1" applyFill="1" applyAlignment="1">
      <alignment horizontal="left"/>
    </xf>
    <xf numFmtId="0" fontId="61" fillId="27" borderId="14" xfId="43" applyFont="1" applyFill="1" applyBorder="1" applyAlignment="1">
      <alignment horizontal="left" vertical="center" wrapText="1"/>
    </xf>
    <xf numFmtId="43" fontId="61" fillId="27" borderId="14" xfId="366" applyNumberFormat="1" applyFont="1" applyFill="1" applyBorder="1"/>
    <xf numFmtId="0" fontId="90" fillId="27" borderId="14" xfId="43" applyFont="1" applyFill="1" applyBorder="1"/>
    <xf numFmtId="0" fontId="59" fillId="0" borderId="36" xfId="464" applyNumberFormat="1" applyFont="1" applyFill="1" applyBorder="1" applyAlignment="1" applyProtection="1">
      <alignment vertical="center"/>
    </xf>
    <xf numFmtId="172" fontId="61" fillId="0" borderId="36" xfId="464" applyNumberFormat="1" applyFont="1" applyFill="1" applyBorder="1" applyAlignment="1">
      <alignment horizontal="center" vertical="center"/>
    </xf>
    <xf numFmtId="15" fontId="60" fillId="0" borderId="18" xfId="43" applyNumberFormat="1" applyFont="1" applyFill="1" applyBorder="1" applyAlignment="1">
      <alignment horizontal="center" vertical="center" wrapText="1"/>
    </xf>
    <xf numFmtId="0" fontId="87" fillId="0" borderId="19" xfId="43" applyFont="1" applyFill="1" applyBorder="1" applyAlignment="1">
      <alignment horizontal="left" wrapText="1"/>
    </xf>
    <xf numFmtId="49" fontId="82" fillId="0" borderId="19" xfId="43" applyNumberFormat="1" applyFont="1" applyFill="1" applyBorder="1" applyAlignment="1">
      <alignment horizontal="center" vertical="center" wrapText="1"/>
    </xf>
    <xf numFmtId="10" fontId="60" fillId="0" borderId="19" xfId="368" applyNumberFormat="1" applyFont="1" applyFill="1" applyBorder="1" applyAlignment="1">
      <alignment horizontal="center"/>
    </xf>
    <xf numFmtId="0" fontId="71" fillId="29" borderId="53" xfId="43" applyFont="1" applyFill="1" applyBorder="1" applyAlignment="1">
      <alignment horizontal="center" vertical="center" wrapText="1"/>
    </xf>
    <xf numFmtId="0" fontId="71" fillId="29" borderId="54" xfId="43" applyFont="1" applyFill="1" applyBorder="1" applyAlignment="1">
      <alignment horizontal="center" vertical="center" wrapText="1"/>
    </xf>
    <xf numFmtId="0" fontId="71" fillId="29" borderId="98" xfId="43" applyFont="1" applyFill="1" applyBorder="1" applyAlignment="1">
      <alignment horizontal="center" vertical="center" wrapText="1"/>
    </xf>
    <xf numFmtId="0" fontId="71" fillId="29" borderId="96" xfId="43" applyFont="1" applyFill="1" applyBorder="1" applyAlignment="1">
      <alignment horizontal="center" vertical="center" wrapText="1"/>
    </xf>
    <xf numFmtId="0" fontId="65" fillId="29" borderId="53" xfId="43" applyFont="1" applyFill="1" applyBorder="1" applyAlignment="1">
      <alignment horizontal="left" vertical="center"/>
    </xf>
    <xf numFmtId="0" fontId="65" fillId="29" borderId="54" xfId="43" applyFont="1" applyFill="1" applyBorder="1" applyAlignment="1">
      <alignment horizontal="left" vertical="center"/>
    </xf>
    <xf numFmtId="0" fontId="65" fillId="29" borderId="77" xfId="43" applyFont="1" applyFill="1" applyBorder="1" applyAlignment="1">
      <alignment horizontal="left" vertical="center"/>
    </xf>
    <xf numFmtId="0" fontId="65" fillId="29" borderId="78" xfId="43" applyFont="1" applyFill="1" applyBorder="1" applyAlignment="1">
      <alignment horizontal="left" vertical="center"/>
    </xf>
    <xf numFmtId="0" fontId="73" fillId="27" borderId="43" xfId="43" applyFont="1" applyFill="1" applyBorder="1" applyAlignment="1">
      <alignment horizontal="center" vertical="center" wrapText="1"/>
    </xf>
    <xf numFmtId="0" fontId="73" fillId="27" borderId="65" xfId="43" applyFont="1" applyFill="1" applyBorder="1" applyAlignment="1">
      <alignment horizontal="center" vertical="center" wrapText="1"/>
    </xf>
    <xf numFmtId="0" fontId="60" fillId="28" borderId="0" xfId="43" applyFont="1" applyFill="1" applyAlignment="1">
      <alignment horizontal="left" vertical="center" wrapText="1"/>
    </xf>
    <xf numFmtId="0" fontId="63" fillId="27" borderId="0" xfId="43" applyFont="1" applyFill="1" applyAlignment="1">
      <alignment horizontal="center" vertical="center"/>
    </xf>
    <xf numFmtId="0" fontId="73" fillId="27" borderId="0" xfId="43" applyFont="1" applyFill="1" applyAlignment="1">
      <alignment horizontal="center" vertical="center"/>
    </xf>
    <xf numFmtId="0" fontId="60" fillId="27" borderId="0" xfId="43" applyFont="1" applyFill="1" applyAlignment="1">
      <alignment horizontal="left" wrapText="1"/>
    </xf>
    <xf numFmtId="0" fontId="60" fillId="28" borderId="0" xfId="43" applyFont="1" applyFill="1" applyAlignment="1">
      <alignment horizontal="left" wrapText="1"/>
    </xf>
    <xf numFmtId="0" fontId="60" fillId="0" borderId="0" xfId="364" applyFont="1" applyFill="1" applyAlignment="1">
      <alignment horizontal="left" vertical="center" wrapText="1"/>
    </xf>
    <xf numFmtId="0" fontId="60" fillId="0" borderId="0" xfId="43" applyFont="1" applyFill="1" applyBorder="1" applyAlignment="1">
      <alignment horizontal="left" vertical="center" wrapText="1"/>
    </xf>
    <xf numFmtId="10" fontId="59" fillId="27" borderId="32" xfId="97" applyNumberFormat="1" applyFont="1" applyFill="1" applyBorder="1" applyAlignment="1">
      <alignment horizontal="center" vertical="center" wrapText="1"/>
    </xf>
    <xf numFmtId="10" fontId="59" fillId="27" borderId="24" xfId="97" applyNumberFormat="1" applyFont="1" applyFill="1" applyBorder="1" applyAlignment="1">
      <alignment horizontal="center" vertical="center" wrapText="1"/>
    </xf>
    <xf numFmtId="174" fontId="60" fillId="27" borderId="0" xfId="371" applyNumberFormat="1" applyFont="1" applyFill="1" applyAlignment="1">
      <alignment horizontal="left" wrapText="1"/>
    </xf>
    <xf numFmtId="178" fontId="63" fillId="28" borderId="0" xfId="43" applyNumberFormat="1" applyFont="1" applyFill="1" applyBorder="1" applyAlignment="1" applyProtection="1">
      <alignment horizontal="center" vertical="center"/>
    </xf>
    <xf numFmtId="178" fontId="73" fillId="28" borderId="0" xfId="43" applyNumberFormat="1" applyFont="1" applyFill="1" applyBorder="1" applyAlignment="1" applyProtection="1">
      <alignment horizontal="center" vertical="center"/>
    </xf>
    <xf numFmtId="0" fontId="86" fillId="29" borderId="22" xfId="43" applyFont="1" applyFill="1" applyBorder="1" applyAlignment="1">
      <alignment horizontal="center" vertical="center"/>
    </xf>
    <xf numFmtId="0" fontId="86" fillId="29" borderId="48" xfId="43" applyFont="1" applyFill="1" applyBorder="1" applyAlignment="1">
      <alignment horizontal="center" vertical="center"/>
    </xf>
    <xf numFmtId="0" fontId="86" fillId="29" borderId="73" xfId="43" applyFont="1" applyFill="1" applyBorder="1" applyAlignment="1">
      <alignment horizontal="center" vertical="center"/>
    </xf>
    <xf numFmtId="178" fontId="86" fillId="29" borderId="26" xfId="43" applyNumberFormat="1" applyFont="1" applyFill="1" applyBorder="1" applyAlignment="1" applyProtection="1">
      <alignment horizontal="center" vertical="center" wrapText="1"/>
    </xf>
    <xf numFmtId="178" fontId="86" fillId="29" borderId="42" xfId="43" applyNumberFormat="1" applyFont="1" applyFill="1" applyBorder="1" applyAlignment="1" applyProtection="1">
      <alignment horizontal="center" vertical="center" wrapText="1"/>
    </xf>
    <xf numFmtId="178" fontId="86" fillId="29" borderId="56" xfId="43" applyNumberFormat="1" applyFont="1" applyFill="1" applyBorder="1" applyAlignment="1" applyProtection="1">
      <alignment horizontal="center" vertical="center" wrapText="1"/>
    </xf>
    <xf numFmtId="178" fontId="86" fillId="29" borderId="75" xfId="43" applyNumberFormat="1" applyFont="1" applyFill="1" applyBorder="1" applyAlignment="1" applyProtection="1">
      <alignment horizontal="center" vertical="center" wrapText="1"/>
    </xf>
    <xf numFmtId="178" fontId="86" fillId="29" borderId="26" xfId="43" applyNumberFormat="1" applyFont="1" applyFill="1" applyBorder="1" applyAlignment="1" applyProtection="1">
      <alignment horizontal="center" vertical="center"/>
    </xf>
    <xf numFmtId="178" fontId="86" fillId="29" borderId="42" xfId="43" applyNumberFormat="1" applyFont="1" applyFill="1" applyBorder="1" applyAlignment="1" applyProtection="1">
      <alignment horizontal="center" vertical="center"/>
    </xf>
    <xf numFmtId="178" fontId="86" fillId="29" borderId="56" xfId="43" applyNumberFormat="1" applyFont="1" applyFill="1" applyBorder="1" applyAlignment="1" applyProtection="1">
      <alignment horizontal="center" vertical="center"/>
    </xf>
    <xf numFmtId="178" fontId="86" fillId="29" borderId="75" xfId="43" applyNumberFormat="1" applyFont="1" applyFill="1" applyBorder="1" applyAlignment="1" applyProtection="1">
      <alignment horizontal="center" vertical="center"/>
    </xf>
    <xf numFmtId="0" fontId="63" fillId="0" borderId="0" xfId="43" applyFont="1" applyFill="1" applyAlignment="1">
      <alignment horizontal="center" vertical="center"/>
    </xf>
    <xf numFmtId="0" fontId="61" fillId="27" borderId="0" xfId="43" applyFont="1" applyFill="1" applyAlignment="1">
      <alignment horizontal="center" vertical="center"/>
    </xf>
    <xf numFmtId="0" fontId="68" fillId="0" borderId="0" xfId="43" applyFont="1" applyFill="1" applyAlignment="1">
      <alignment horizontal="left" vertical="center" wrapText="1"/>
    </xf>
    <xf numFmtId="0" fontId="60" fillId="0" borderId="0" xfId="43" applyFont="1" applyFill="1" applyAlignment="1">
      <alignment horizontal="left" wrapText="1"/>
    </xf>
    <xf numFmtId="3" fontId="106" fillId="29" borderId="17" xfId="43" applyNumberFormat="1" applyFont="1" applyFill="1" applyBorder="1" applyAlignment="1">
      <alignment horizontal="center" vertical="center"/>
    </xf>
    <xf numFmtId="3" fontId="106" fillId="29" borderId="101" xfId="43" applyNumberFormat="1" applyFont="1" applyFill="1" applyBorder="1" applyAlignment="1">
      <alignment horizontal="center" vertical="center"/>
    </xf>
    <xf numFmtId="3" fontId="106" fillId="29" borderId="83" xfId="43" applyNumberFormat="1" applyFont="1" applyFill="1" applyBorder="1" applyAlignment="1">
      <alignment horizontal="center" vertical="center"/>
    </xf>
    <xf numFmtId="14" fontId="61" fillId="27" borderId="0" xfId="43" applyNumberFormat="1" applyFont="1" applyFill="1" applyAlignment="1">
      <alignment horizontal="center" vertical="center"/>
    </xf>
    <xf numFmtId="0" fontId="98" fillId="29" borderId="27" xfId="43" applyFont="1" applyFill="1" applyBorder="1" applyAlignment="1">
      <alignment horizontal="center" vertical="center" wrapText="1"/>
    </xf>
    <xf numFmtId="0" fontId="98" fillId="29" borderId="18" xfId="43" applyFont="1" applyFill="1" applyBorder="1" applyAlignment="1">
      <alignment horizontal="center" vertical="center" wrapText="1"/>
    </xf>
    <xf numFmtId="0" fontId="98" fillId="29" borderId="38" xfId="43" applyFont="1" applyFill="1" applyBorder="1" applyAlignment="1">
      <alignment horizontal="center" vertical="center" wrapText="1"/>
    </xf>
    <xf numFmtId="0" fontId="98" fillId="29" borderId="33" xfId="43" applyFont="1" applyFill="1" applyBorder="1" applyAlignment="1">
      <alignment horizontal="center" vertical="center"/>
    </xf>
    <xf numFmtId="0" fontId="98" fillId="29" borderId="19" xfId="43" applyFont="1" applyFill="1" applyBorder="1" applyAlignment="1">
      <alignment horizontal="center" vertical="center"/>
    </xf>
    <xf numFmtId="0" fontId="98" fillId="29" borderId="40" xfId="43" applyFont="1" applyFill="1" applyBorder="1" applyAlignment="1">
      <alignment horizontal="center" vertical="center"/>
    </xf>
    <xf numFmtId="3" fontId="98" fillId="29" borderId="33" xfId="43" applyNumberFormat="1" applyFont="1" applyFill="1" applyBorder="1" applyAlignment="1">
      <alignment horizontal="center" vertical="center" wrapText="1"/>
    </xf>
    <xf numFmtId="3" fontId="98" fillId="29" borderId="19" xfId="43" applyNumberFormat="1" applyFont="1" applyFill="1" applyBorder="1" applyAlignment="1">
      <alignment horizontal="center" vertical="center" wrapText="1"/>
    </xf>
    <xf numFmtId="3" fontId="98" fillId="29" borderId="40" xfId="43" applyNumberFormat="1" applyFont="1" applyFill="1" applyBorder="1" applyAlignment="1">
      <alignment horizontal="center" vertical="center" wrapText="1"/>
    </xf>
    <xf numFmtId="3" fontId="98" fillId="29" borderId="28" xfId="43" applyNumberFormat="1" applyFont="1" applyFill="1" applyBorder="1" applyAlignment="1">
      <alignment horizontal="center" vertical="center" wrapText="1"/>
    </xf>
    <xf numFmtId="3" fontId="98" fillId="29" borderId="20" xfId="43" applyNumberFormat="1" applyFont="1" applyFill="1" applyBorder="1" applyAlignment="1">
      <alignment horizontal="center" vertical="center" wrapText="1"/>
    </xf>
    <xf numFmtId="3" fontId="98" fillId="29" borderId="41" xfId="43" applyNumberFormat="1" applyFont="1" applyFill="1" applyBorder="1" applyAlignment="1">
      <alignment horizontal="center" vertical="center" wrapText="1"/>
    </xf>
    <xf numFmtId="0" fontId="65" fillId="29" borderId="17" xfId="43" applyFont="1" applyFill="1" applyBorder="1" applyAlignment="1">
      <alignment horizontal="center"/>
    </xf>
    <xf numFmtId="0" fontId="65" fillId="29" borderId="101" xfId="43" applyFont="1" applyFill="1" applyBorder="1" applyAlignment="1">
      <alignment horizontal="center"/>
    </xf>
    <xf numFmtId="191" fontId="63" fillId="27" borderId="0" xfId="86" applyNumberFormat="1" applyFont="1" applyFill="1" applyAlignment="1">
      <alignment horizontal="center" vertical="center"/>
    </xf>
    <xf numFmtId="0" fontId="98" fillId="29" borderId="26" xfId="43" applyFont="1" applyFill="1" applyBorder="1" applyAlignment="1">
      <alignment horizontal="center" vertical="center" wrapText="1"/>
    </xf>
    <xf numFmtId="0" fontId="98" fillId="29" borderId="14" xfId="43" applyFont="1" applyFill="1" applyBorder="1" applyAlignment="1">
      <alignment horizontal="center" vertical="center" wrapText="1"/>
    </xf>
    <xf numFmtId="0" fontId="98" fillId="29" borderId="56" xfId="43" applyFont="1" applyFill="1" applyBorder="1" applyAlignment="1">
      <alignment horizontal="center" vertical="center" wrapText="1"/>
    </xf>
    <xf numFmtId="0" fontId="98" fillId="29" borderId="33" xfId="43" applyFont="1" applyFill="1" applyBorder="1" applyAlignment="1">
      <alignment horizontal="center" vertical="center" wrapText="1"/>
    </xf>
    <xf numFmtId="0" fontId="98" fillId="29" borderId="19" xfId="43" applyFont="1" applyFill="1" applyBorder="1" applyAlignment="1">
      <alignment horizontal="center" vertical="center" wrapText="1"/>
    </xf>
    <xf numFmtId="0" fontId="98" fillId="29" borderId="40" xfId="43" applyFont="1" applyFill="1" applyBorder="1" applyAlignment="1">
      <alignment horizontal="center" vertical="center" wrapText="1"/>
    </xf>
    <xf numFmtId="0" fontId="65" fillId="29" borderId="17" xfId="43" applyFont="1" applyFill="1" applyBorder="1" applyAlignment="1">
      <alignment horizontal="center" vertical="center" wrapText="1"/>
    </xf>
    <xf numFmtId="0" fontId="65" fillId="29" borderId="101" xfId="43" applyFont="1" applyFill="1" applyBorder="1" applyAlignment="1">
      <alignment horizontal="center" vertical="center" wrapText="1"/>
    </xf>
    <xf numFmtId="0" fontId="65" fillId="29" borderId="83" xfId="43" applyFont="1" applyFill="1" applyBorder="1" applyAlignment="1">
      <alignment horizontal="center" vertical="center" wrapText="1"/>
    </xf>
    <xf numFmtId="173" fontId="63" fillId="27" borderId="0" xfId="86" applyFont="1" applyFill="1" applyAlignment="1">
      <alignment horizontal="center" vertical="center"/>
    </xf>
    <xf numFmtId="0" fontId="65" fillId="29" borderId="22" xfId="43" applyFont="1" applyFill="1" applyBorder="1" applyAlignment="1">
      <alignment horizontal="center" vertical="center"/>
    </xf>
    <xf numFmtId="0" fontId="65" fillId="29" borderId="48" xfId="43" applyFont="1" applyFill="1" applyBorder="1" applyAlignment="1">
      <alignment horizontal="center" vertical="center"/>
    </xf>
    <xf numFmtId="0" fontId="60" fillId="27" borderId="0" xfId="43" applyFont="1" applyFill="1" applyAlignment="1">
      <alignment horizontal="left" vertical="center"/>
    </xf>
    <xf numFmtId="172" fontId="63" fillId="27" borderId="0" xfId="86" applyNumberFormat="1" applyFont="1" applyFill="1" applyBorder="1" applyAlignment="1">
      <alignment horizontal="center" vertical="center"/>
    </xf>
    <xf numFmtId="15" fontId="61" fillId="27" borderId="0" xfId="86" applyNumberFormat="1" applyFont="1" applyFill="1" applyAlignment="1">
      <alignment horizontal="center" vertical="center"/>
    </xf>
    <xf numFmtId="0" fontId="98" fillId="29" borderId="27" xfId="43" applyFont="1" applyFill="1" applyBorder="1" applyAlignment="1">
      <alignment horizontal="center" vertical="center"/>
    </xf>
    <xf numFmtId="0" fontId="98" fillId="29" borderId="18" xfId="43" applyFont="1" applyFill="1" applyBorder="1" applyAlignment="1">
      <alignment horizontal="center" vertical="center"/>
    </xf>
    <xf numFmtId="0" fontId="98" fillId="29" borderId="30" xfId="43" applyFont="1" applyFill="1" applyBorder="1" applyAlignment="1">
      <alignment horizontal="center" vertical="center"/>
    </xf>
    <xf numFmtId="0" fontId="98" fillId="29" borderId="28" xfId="43" applyFont="1" applyFill="1" applyBorder="1" applyAlignment="1">
      <alignment horizontal="center" vertical="center" wrapText="1"/>
    </xf>
    <xf numFmtId="0" fontId="98" fillId="29" borderId="20" xfId="43" applyFont="1" applyFill="1" applyBorder="1" applyAlignment="1">
      <alignment horizontal="center" vertical="center" wrapText="1"/>
    </xf>
    <xf numFmtId="0" fontId="98" fillId="29" borderId="31" xfId="43" applyFont="1" applyFill="1" applyBorder="1" applyAlignment="1">
      <alignment horizontal="center" vertical="center" wrapText="1"/>
    </xf>
    <xf numFmtId="3" fontId="98" fillId="29" borderId="27" xfId="43" applyNumberFormat="1" applyFont="1" applyFill="1" applyBorder="1" applyAlignment="1">
      <alignment horizontal="center" vertical="center" wrapText="1"/>
    </xf>
    <xf numFmtId="3" fontId="98" fillId="29" borderId="18" xfId="43" applyNumberFormat="1" applyFont="1" applyFill="1" applyBorder="1" applyAlignment="1">
      <alignment horizontal="center" vertical="center" wrapText="1"/>
    </xf>
    <xf numFmtId="3" fontId="98" fillId="29" borderId="30" xfId="43" applyNumberFormat="1" applyFont="1" applyFill="1" applyBorder="1" applyAlignment="1">
      <alignment horizontal="center" vertical="center" wrapText="1"/>
    </xf>
    <xf numFmtId="3" fontId="98" fillId="29" borderId="34" xfId="43" applyNumberFormat="1" applyFont="1" applyFill="1" applyBorder="1" applyAlignment="1">
      <alignment horizontal="center" vertical="center" wrapText="1"/>
    </xf>
    <xf numFmtId="3" fontId="115" fillId="29" borderId="28" xfId="43" applyNumberFormat="1" applyFont="1" applyFill="1" applyBorder="1" applyAlignment="1">
      <alignment horizontal="center" vertical="center" wrapText="1"/>
    </xf>
    <xf numFmtId="3" fontId="115" fillId="29" borderId="20" xfId="43" applyNumberFormat="1" applyFont="1" applyFill="1" applyBorder="1" applyAlignment="1">
      <alignment horizontal="center" vertical="center" wrapText="1"/>
    </xf>
    <xf numFmtId="3" fontId="115" fillId="29" borderId="31" xfId="43" applyNumberFormat="1" applyFont="1" applyFill="1" applyBorder="1" applyAlignment="1">
      <alignment horizontal="center" vertical="center" wrapText="1"/>
    </xf>
    <xf numFmtId="3" fontId="98" fillId="29" borderId="32" xfId="43" applyNumberFormat="1" applyFont="1" applyFill="1" applyBorder="1" applyAlignment="1">
      <alignment horizontal="center" vertical="center" wrapText="1"/>
    </xf>
    <xf numFmtId="3" fontId="98" fillId="29" borderId="15" xfId="43" applyNumberFormat="1" applyFont="1" applyFill="1" applyBorder="1" applyAlignment="1">
      <alignment horizontal="center" vertical="center" wrapText="1"/>
    </xf>
    <xf numFmtId="3" fontId="98" fillId="29" borderId="24" xfId="43" applyNumberFormat="1" applyFont="1" applyFill="1" applyBorder="1" applyAlignment="1">
      <alignment horizontal="center" vertical="center" wrapText="1"/>
    </xf>
    <xf numFmtId="172" fontId="63" fillId="27" borderId="0" xfId="86" applyNumberFormat="1" applyFont="1" applyFill="1" applyAlignment="1">
      <alignment horizontal="center" vertical="center"/>
    </xf>
    <xf numFmtId="0" fontId="115" fillId="29" borderId="27" xfId="43" applyFont="1" applyFill="1" applyBorder="1" applyAlignment="1">
      <alignment horizontal="center" vertical="center"/>
    </xf>
    <xf numFmtId="0" fontId="115" fillId="29" borderId="18" xfId="43" applyFont="1" applyFill="1" applyBorder="1" applyAlignment="1">
      <alignment horizontal="center" vertical="center"/>
    </xf>
    <xf numFmtId="0" fontId="115" fillId="29" borderId="30" xfId="43" applyFont="1" applyFill="1" applyBorder="1" applyAlignment="1">
      <alignment horizontal="center" vertical="center"/>
    </xf>
    <xf numFmtId="0" fontId="115" fillId="29" borderId="28" xfId="43" applyFont="1" applyFill="1" applyBorder="1" applyAlignment="1">
      <alignment horizontal="center" vertical="center" wrapText="1"/>
    </xf>
    <xf numFmtId="0" fontId="115" fillId="29" borderId="20" xfId="43" applyFont="1" applyFill="1" applyBorder="1" applyAlignment="1">
      <alignment horizontal="center" vertical="center" wrapText="1"/>
    </xf>
    <xf numFmtId="0" fontId="115" fillId="29" borderId="31" xfId="43" applyFont="1" applyFill="1" applyBorder="1" applyAlignment="1">
      <alignment horizontal="center" vertical="center" wrapText="1"/>
    </xf>
    <xf numFmtId="3" fontId="115" fillId="29" borderId="27" xfId="43" applyNumberFormat="1" applyFont="1" applyFill="1" applyBorder="1" applyAlignment="1">
      <alignment horizontal="center" vertical="center" wrapText="1"/>
    </xf>
    <xf numFmtId="3" fontId="115" fillId="29" borderId="18" xfId="43" applyNumberFormat="1" applyFont="1" applyFill="1" applyBorder="1" applyAlignment="1">
      <alignment horizontal="center" vertical="center" wrapText="1"/>
    </xf>
    <xf numFmtId="3" fontId="115" fillId="29" borderId="30" xfId="43" applyNumberFormat="1" applyFont="1" applyFill="1" applyBorder="1" applyAlignment="1">
      <alignment horizontal="center" vertical="center" wrapText="1"/>
    </xf>
    <xf numFmtId="3" fontId="115" fillId="29" borderId="33" xfId="43" applyNumberFormat="1" applyFont="1" applyFill="1" applyBorder="1" applyAlignment="1">
      <alignment horizontal="center" vertical="center" wrapText="1"/>
    </xf>
    <xf numFmtId="3" fontId="115" fillId="29" borderId="19" xfId="43" applyNumberFormat="1" applyFont="1" applyFill="1" applyBorder="1" applyAlignment="1">
      <alignment horizontal="center" vertical="center" wrapText="1"/>
    </xf>
    <xf numFmtId="3" fontId="115" fillId="29" borderId="34" xfId="43" applyNumberFormat="1" applyFont="1" applyFill="1" applyBorder="1" applyAlignment="1">
      <alignment horizontal="center" vertical="center" wrapText="1"/>
    </xf>
    <xf numFmtId="3" fontId="115" fillId="29" borderId="32" xfId="43" applyNumberFormat="1" applyFont="1" applyFill="1" applyBorder="1" applyAlignment="1">
      <alignment horizontal="center" vertical="center" wrapText="1"/>
    </xf>
    <xf numFmtId="3" fontId="115" fillId="29" borderId="15" xfId="43" applyNumberFormat="1" applyFont="1" applyFill="1" applyBorder="1" applyAlignment="1">
      <alignment horizontal="center" vertical="center" wrapText="1"/>
    </xf>
    <xf numFmtId="3" fontId="115" fillId="29" borderId="24" xfId="43" applyNumberFormat="1" applyFont="1" applyFill="1" applyBorder="1" applyAlignment="1">
      <alignment horizontal="center" vertical="center" wrapText="1"/>
    </xf>
    <xf numFmtId="0" fontId="80" fillId="29" borderId="26" xfId="43" applyFont="1" applyFill="1" applyBorder="1" applyAlignment="1">
      <alignment horizontal="center" vertical="center" wrapText="1"/>
    </xf>
    <xf numFmtId="0" fontId="80" fillId="29" borderId="29" xfId="43" applyFont="1" applyFill="1" applyBorder="1" applyAlignment="1">
      <alignment horizontal="center" vertical="center" wrapText="1"/>
    </xf>
    <xf numFmtId="0" fontId="80" fillId="29" borderId="22" xfId="43" applyFont="1" applyFill="1" applyBorder="1" applyAlignment="1">
      <alignment horizontal="center" vertical="center" wrapText="1"/>
    </xf>
    <xf numFmtId="0" fontId="80" fillId="29" borderId="48" xfId="43" applyFont="1" applyFill="1" applyBorder="1" applyAlignment="1">
      <alignment horizontal="center" vertical="center" wrapText="1"/>
    </xf>
    <xf numFmtId="0" fontId="80" fillId="29" borderId="73" xfId="43" applyFont="1" applyFill="1" applyBorder="1" applyAlignment="1">
      <alignment horizontal="center" vertical="center" wrapText="1"/>
    </xf>
    <xf numFmtId="170" fontId="63" fillId="27" borderId="0" xfId="85" applyNumberFormat="1" applyFont="1" applyFill="1" applyBorder="1" applyAlignment="1">
      <alignment horizontal="center" vertical="center"/>
    </xf>
    <xf numFmtId="49" fontId="120" fillId="27" borderId="0" xfId="85" applyNumberFormat="1" applyFont="1" applyFill="1" applyAlignment="1">
      <alignment horizontal="center" vertical="center"/>
    </xf>
    <xf numFmtId="49" fontId="123" fillId="27" borderId="0" xfId="85" applyNumberFormat="1" applyFont="1" applyFill="1" applyAlignment="1">
      <alignment horizontal="center" vertical="center"/>
    </xf>
    <xf numFmtId="0" fontId="66" fillId="27" borderId="32" xfId="43" applyFont="1" applyFill="1" applyBorder="1" applyAlignment="1">
      <alignment horizontal="center" vertical="center"/>
    </xf>
    <xf numFmtId="0" fontId="66" fillId="27" borderId="24" xfId="43" applyFont="1" applyFill="1" applyBorder="1" applyAlignment="1">
      <alignment horizontal="center" vertical="center"/>
    </xf>
    <xf numFmtId="0" fontId="66" fillId="27" borderId="79" xfId="43" applyFont="1" applyFill="1" applyBorder="1" applyAlignment="1">
      <alignment horizontal="center"/>
    </xf>
    <xf numFmtId="0" fontId="66" fillId="27" borderId="80" xfId="43" applyFont="1" applyFill="1" applyBorder="1" applyAlignment="1">
      <alignment horizontal="center"/>
    </xf>
    <xf numFmtId="0" fontId="66" fillId="27" borderId="99" xfId="43" applyFont="1" applyFill="1" applyBorder="1" applyAlignment="1">
      <alignment horizontal="center"/>
    </xf>
    <xf numFmtId="0" fontId="60" fillId="27" borderId="0" xfId="43" applyFont="1" applyFill="1" applyBorder="1" applyAlignment="1">
      <alignment horizontal="left" vertical="center" wrapText="1"/>
    </xf>
    <xf numFmtId="0" fontId="136" fillId="27" borderId="0" xfId="43" applyFont="1" applyFill="1" applyAlignment="1">
      <alignment horizontal="center"/>
    </xf>
    <xf numFmtId="0" fontId="73" fillId="27" borderId="0" xfId="43" applyFont="1" applyFill="1" applyAlignment="1">
      <alignment horizontal="center"/>
    </xf>
    <xf numFmtId="0" fontId="60" fillId="27" borderId="0" xfId="43" applyFont="1" applyFill="1" applyAlignment="1">
      <alignment horizontal="center"/>
    </xf>
    <xf numFmtId="0" fontId="66" fillId="0" borderId="32" xfId="43" applyFont="1" applyBorder="1" applyAlignment="1">
      <alignment horizontal="center" vertical="center" wrapText="1"/>
    </xf>
    <xf numFmtId="0" fontId="66" fillId="0" borderId="24" xfId="43" applyFont="1" applyBorder="1" applyAlignment="1">
      <alignment horizontal="center" vertical="center" wrapText="1"/>
    </xf>
    <xf numFmtId="3" fontId="60" fillId="0" borderId="22" xfId="43" applyNumberFormat="1" applyFont="1" applyBorder="1" applyAlignment="1">
      <alignment horizontal="center"/>
    </xf>
    <xf numFmtId="3" fontId="60" fillId="0" borderId="48" xfId="43" applyNumberFormat="1" applyFont="1" applyBorder="1" applyAlignment="1">
      <alignment horizontal="center"/>
    </xf>
    <xf numFmtId="3" fontId="60" fillId="0" borderId="73" xfId="43" applyNumberFormat="1" applyFont="1" applyBorder="1" applyAlignment="1">
      <alignment horizontal="center"/>
    </xf>
    <xf numFmtId="0" fontId="98" fillId="29" borderId="32" xfId="464" applyNumberFormat="1" applyFont="1" applyFill="1" applyBorder="1" applyAlignment="1">
      <alignment horizontal="center" vertical="center" wrapText="1"/>
    </xf>
    <xf numFmtId="0" fontId="98" fillId="29" borderId="24" xfId="464" applyNumberFormat="1" applyFont="1" applyFill="1" applyBorder="1" applyAlignment="1">
      <alignment horizontal="center" vertical="center" wrapText="1"/>
    </xf>
    <xf numFmtId="0" fontId="63" fillId="27" borderId="0" xfId="43" applyNumberFormat="1" applyFont="1" applyFill="1" applyAlignment="1" applyProtection="1">
      <alignment horizontal="center" vertical="center"/>
    </xf>
    <xf numFmtId="0" fontId="63" fillId="0" borderId="0" xfId="43" applyNumberFormat="1" applyFont="1" applyFill="1" applyAlignment="1" applyProtection="1">
      <alignment horizontal="center" vertical="center"/>
    </xf>
    <xf numFmtId="0" fontId="73" fillId="27" borderId="0" xfId="43" applyNumberFormat="1" applyFont="1" applyFill="1" applyAlignment="1" applyProtection="1">
      <alignment horizontal="center" vertical="center"/>
    </xf>
    <xf numFmtId="0" fontId="86" fillId="29" borderId="32" xfId="464" quotePrefix="1" applyNumberFormat="1" applyFont="1" applyFill="1" applyBorder="1" applyAlignment="1" applyProtection="1">
      <alignment horizontal="center" vertical="center"/>
    </xf>
    <xf numFmtId="0" fontId="86" fillId="29" borderId="24" xfId="464" quotePrefix="1" applyNumberFormat="1" applyFont="1" applyFill="1" applyBorder="1" applyAlignment="1" applyProtection="1">
      <alignment horizontal="center" vertical="center"/>
    </xf>
    <xf numFmtId="0" fontId="98" fillId="29" borderId="22" xfId="464" applyNumberFormat="1" applyFont="1" applyFill="1" applyBorder="1" applyAlignment="1">
      <alignment horizontal="center"/>
    </xf>
    <xf numFmtId="0" fontId="98" fillId="29" borderId="48" xfId="464" applyNumberFormat="1" applyFont="1" applyFill="1" applyBorder="1" applyAlignment="1">
      <alignment horizontal="center"/>
    </xf>
    <xf numFmtId="0" fontId="98" fillId="29" borderId="73" xfId="464" applyNumberFormat="1" applyFont="1" applyFill="1" applyBorder="1" applyAlignment="1">
      <alignment horizontal="center"/>
    </xf>
    <xf numFmtId="3" fontId="66" fillId="27" borderId="43" xfId="43" applyNumberFormat="1" applyFont="1" applyFill="1" applyBorder="1" applyAlignment="1">
      <alignment horizontal="center" vertical="center"/>
    </xf>
    <xf numFmtId="3" fontId="66" fillId="27" borderId="44" xfId="43" applyNumberFormat="1" applyFont="1" applyFill="1" applyBorder="1" applyAlignment="1">
      <alignment horizontal="center" vertical="center"/>
    </xf>
    <xf numFmtId="3" fontId="66" fillId="27" borderId="65" xfId="43" applyNumberFormat="1" applyFont="1" applyFill="1" applyBorder="1" applyAlignment="1">
      <alignment horizontal="center" vertical="center"/>
    </xf>
    <xf numFmtId="0" fontId="63" fillId="27" borderId="43" xfId="43" applyFont="1" applyFill="1" applyBorder="1" applyAlignment="1">
      <alignment horizontal="center" vertical="center"/>
    </xf>
    <xf numFmtId="0" fontId="63" fillId="27" borderId="44" xfId="43" applyFont="1" applyFill="1" applyBorder="1" applyAlignment="1">
      <alignment horizontal="center" vertical="center"/>
    </xf>
    <xf numFmtId="0" fontId="63" fillId="27" borderId="65" xfId="43" applyFont="1" applyFill="1" applyBorder="1" applyAlignment="1">
      <alignment horizontal="center" vertical="center"/>
    </xf>
    <xf numFmtId="0" fontId="127" fillId="28" borderId="0" xfId="43" applyNumberFormat="1" applyFont="1" applyFill="1" applyAlignment="1" applyProtection="1">
      <alignment horizontal="center" vertical="center"/>
    </xf>
    <xf numFmtId="0" fontId="115" fillId="29" borderId="81" xfId="43" quotePrefix="1" applyNumberFormat="1" applyFont="1" applyFill="1" applyBorder="1" applyAlignment="1" applyProtection="1">
      <alignment horizontal="center" vertical="center"/>
    </xf>
    <xf numFmtId="0" fontId="115" fillId="29" borderId="82" xfId="43" quotePrefix="1" applyNumberFormat="1" applyFont="1" applyFill="1" applyBorder="1" applyAlignment="1" applyProtection="1">
      <alignment horizontal="center" vertical="center"/>
    </xf>
    <xf numFmtId="0" fontId="115" fillId="29" borderId="32" xfId="43" quotePrefix="1" applyNumberFormat="1" applyFont="1" applyFill="1" applyBorder="1" applyAlignment="1" applyProtection="1">
      <alignment horizontal="center" vertical="center"/>
    </xf>
    <xf numFmtId="0" fontId="115" fillId="29" borderId="24" xfId="43" quotePrefix="1" applyNumberFormat="1" applyFont="1" applyFill="1" applyBorder="1" applyAlignment="1" applyProtection="1">
      <alignment horizontal="center" vertical="center"/>
    </xf>
    <xf numFmtId="0" fontId="63" fillId="27" borderId="0" xfId="43" applyFont="1" applyFill="1" applyAlignment="1">
      <alignment horizontal="center"/>
    </xf>
    <xf numFmtId="0" fontId="80" fillId="29" borderId="32" xfId="43" applyFont="1" applyFill="1" applyBorder="1" applyAlignment="1">
      <alignment horizontal="center" vertical="center" wrapText="1"/>
    </xf>
    <xf numFmtId="0" fontId="80" fillId="29" borderId="24" xfId="43" applyFont="1" applyFill="1" applyBorder="1" applyAlignment="1">
      <alignment horizontal="center" vertical="center" wrapText="1"/>
    </xf>
    <xf numFmtId="0" fontId="80" fillId="29" borderId="42" xfId="43" applyFont="1" applyFill="1" applyBorder="1" applyAlignment="1">
      <alignment horizontal="center" vertical="center" wrapText="1"/>
    </xf>
    <xf numFmtId="0" fontId="80" fillId="29" borderId="35" xfId="43" applyFont="1" applyFill="1" applyBorder="1" applyAlignment="1">
      <alignment horizontal="center" vertical="center" wrapText="1"/>
    </xf>
    <xf numFmtId="0" fontId="60" fillId="27" borderId="0" xfId="43" applyFont="1" applyFill="1" applyBorder="1" applyAlignment="1">
      <alignment horizontal="justify" vertical="center"/>
    </xf>
    <xf numFmtId="0" fontId="60" fillId="27" borderId="0" xfId="43" applyFont="1" applyFill="1" applyBorder="1" applyAlignment="1">
      <alignment horizontal="justify" vertical="center" wrapText="1"/>
    </xf>
    <xf numFmtId="0" fontId="66" fillId="27" borderId="0" xfId="43" applyFont="1" applyFill="1" applyAlignment="1" applyProtection="1">
      <alignment horizontal="center" vertical="center"/>
      <protection locked="0"/>
    </xf>
    <xf numFmtId="0" fontId="60" fillId="27" borderId="0" xfId="43" applyFont="1" applyFill="1" applyAlignment="1">
      <alignment horizontal="justify" vertical="center" wrapText="1"/>
    </xf>
    <xf numFmtId="15" fontId="61" fillId="0" borderId="0" xfId="86" applyNumberFormat="1" applyFont="1" applyFill="1" applyAlignment="1">
      <alignment horizontal="center" vertical="center"/>
    </xf>
    <xf numFmtId="0" fontId="80" fillId="29" borderId="27" xfId="43" applyFont="1" applyFill="1" applyBorder="1" applyAlignment="1">
      <alignment horizontal="center" vertical="center" wrapText="1"/>
    </xf>
    <xf numFmtId="0" fontId="80" fillId="29" borderId="18" xfId="43" applyFont="1" applyFill="1" applyBorder="1" applyAlignment="1">
      <alignment horizontal="center" vertical="center" wrapText="1"/>
    </xf>
    <xf numFmtId="0" fontId="80" fillId="29" borderId="38" xfId="43" applyFont="1" applyFill="1" applyBorder="1" applyAlignment="1">
      <alignment horizontal="center" vertical="center" wrapText="1"/>
    </xf>
    <xf numFmtId="3" fontId="80" fillId="29" borderId="28" xfId="43" applyNumberFormat="1" applyFont="1" applyFill="1" applyBorder="1" applyAlignment="1">
      <alignment horizontal="center" vertical="center" wrapText="1"/>
    </xf>
    <xf numFmtId="3" fontId="80" fillId="29" borderId="20" xfId="43" applyNumberFormat="1" applyFont="1" applyFill="1" applyBorder="1" applyAlignment="1">
      <alignment horizontal="center" vertical="center" wrapText="1"/>
    </xf>
    <xf numFmtId="3" fontId="80" fillId="29" borderId="41" xfId="43" applyNumberFormat="1" applyFont="1" applyFill="1" applyBorder="1" applyAlignment="1">
      <alignment horizontal="center" vertical="center" wrapText="1"/>
    </xf>
    <xf numFmtId="0" fontId="60" fillId="27" borderId="0" xfId="43" applyFont="1" applyFill="1" applyAlignment="1">
      <alignment horizontal="left" vertical="center" wrapText="1"/>
    </xf>
    <xf numFmtId="0" fontId="61" fillId="27" borderId="17" xfId="43" applyFont="1" applyFill="1" applyBorder="1" applyAlignment="1">
      <alignment horizontal="center" vertical="center"/>
    </xf>
    <xf numFmtId="0" fontId="61" fillId="27" borderId="83" xfId="43" applyFont="1" applyFill="1" applyBorder="1" applyAlignment="1">
      <alignment horizontal="center" vertical="center"/>
    </xf>
    <xf numFmtId="0" fontId="63" fillId="28" borderId="0" xfId="43" applyFont="1" applyFill="1" applyAlignment="1">
      <alignment horizontal="center" vertical="center"/>
    </xf>
    <xf numFmtId="0" fontId="91" fillId="28" borderId="0" xfId="43" applyFont="1" applyFill="1" applyAlignment="1">
      <alignment horizontal="center" vertical="center"/>
    </xf>
    <xf numFmtId="0" fontId="80" fillId="29" borderId="27" xfId="43" applyFont="1" applyFill="1" applyBorder="1" applyAlignment="1">
      <alignment horizontal="center" vertical="center"/>
    </xf>
    <xf numFmtId="0" fontId="80" fillId="29" borderId="33" xfId="43" applyFont="1" applyFill="1" applyBorder="1" applyAlignment="1">
      <alignment horizontal="center" vertical="center"/>
    </xf>
    <xf numFmtId="0" fontId="61" fillId="27" borderId="51" xfId="43" applyFont="1" applyFill="1" applyBorder="1" applyAlignment="1">
      <alignment horizontal="center" vertical="center"/>
    </xf>
    <xf numFmtId="0" fontId="61" fillId="27" borderId="18" xfId="43" applyFont="1" applyFill="1" applyBorder="1" applyAlignment="1">
      <alignment horizontal="center" vertical="center"/>
    </xf>
    <xf numFmtId="0" fontId="61" fillId="27" borderId="38" xfId="43" applyFont="1" applyFill="1" applyBorder="1" applyAlignment="1">
      <alignment horizontal="center" vertical="center"/>
    </xf>
    <xf numFmtId="0" fontId="61" fillId="0" borderId="51" xfId="43" applyFont="1" applyFill="1" applyBorder="1" applyAlignment="1">
      <alignment horizontal="center" vertical="center"/>
    </xf>
    <xf numFmtId="0" fontId="61" fillId="0" borderId="18" xfId="43" applyFont="1" applyFill="1" applyBorder="1" applyAlignment="1">
      <alignment horizontal="center" vertical="center"/>
    </xf>
    <xf numFmtId="0" fontId="61" fillId="0" borderId="38" xfId="43" applyFont="1" applyFill="1" applyBorder="1" applyAlignment="1">
      <alignment horizontal="center" vertical="center"/>
    </xf>
    <xf numFmtId="0" fontId="61" fillId="27" borderId="56" xfId="43" applyFont="1" applyFill="1" applyBorder="1" applyAlignment="1">
      <alignment horizontal="center" vertical="center"/>
    </xf>
    <xf numFmtId="0" fontId="61" fillId="27" borderId="89" xfId="43" applyFont="1" applyFill="1" applyBorder="1" applyAlignment="1">
      <alignment horizontal="center" vertical="center"/>
    </xf>
    <xf numFmtId="0" fontId="61" fillId="27" borderId="70" xfId="43" applyFont="1" applyFill="1" applyBorder="1" applyAlignment="1">
      <alignment horizontal="center" vertical="center"/>
    </xf>
    <xf numFmtId="0" fontId="61" fillId="27" borderId="72" xfId="43" applyFont="1" applyFill="1" applyBorder="1" applyAlignment="1">
      <alignment horizontal="center" vertical="center"/>
    </xf>
    <xf numFmtId="0" fontId="63" fillId="27" borderId="0" xfId="373" applyFont="1" applyFill="1" applyBorder="1" applyAlignment="1">
      <alignment horizontal="center" vertical="center" wrapText="1"/>
    </xf>
    <xf numFmtId="0" fontId="61" fillId="27" borderId="0" xfId="373" applyFont="1" applyFill="1" applyBorder="1" applyAlignment="1">
      <alignment horizontal="center" vertical="center"/>
    </xf>
    <xf numFmtId="0" fontId="60" fillId="27" borderId="49" xfId="373" applyFont="1" applyFill="1" applyBorder="1" applyAlignment="1">
      <alignment horizontal="justify" vertical="center" wrapText="1"/>
    </xf>
    <xf numFmtId="0" fontId="60" fillId="27" borderId="0" xfId="373" applyFont="1" applyFill="1" applyBorder="1" applyAlignment="1">
      <alignment horizontal="justify" vertical="center" wrapText="1"/>
    </xf>
    <xf numFmtId="0" fontId="63" fillId="0" borderId="0" xfId="373" applyFont="1" applyFill="1" applyBorder="1" applyAlignment="1">
      <alignment horizontal="center" vertical="center" wrapText="1"/>
    </xf>
    <xf numFmtId="0" fontId="60" fillId="0" borderId="0" xfId="373" applyFont="1" applyFill="1" applyAlignment="1">
      <alignment horizontal="left" vertical="center" wrapText="1"/>
    </xf>
    <xf numFmtId="0" fontId="66" fillId="27" borderId="93" xfId="43" applyFont="1" applyFill="1" applyBorder="1" applyAlignment="1">
      <alignment horizontal="center" vertical="center" wrapText="1" shrinkToFit="1"/>
    </xf>
    <xf numFmtId="0" fontId="66" fillId="27" borderId="95" xfId="43" applyFont="1" applyFill="1" applyBorder="1" applyAlignment="1">
      <alignment horizontal="center" vertical="center" wrapText="1" shrinkToFit="1"/>
    </xf>
    <xf numFmtId="0" fontId="66" fillId="27" borderId="53" xfId="43" applyFont="1" applyFill="1" applyBorder="1" applyAlignment="1">
      <alignment horizontal="center" vertical="center" wrapText="1"/>
    </xf>
    <xf numFmtId="0" fontId="66" fillId="27" borderId="90" xfId="43" applyFont="1" applyFill="1" applyBorder="1" applyAlignment="1">
      <alignment horizontal="center" vertical="center" wrapText="1"/>
    </xf>
    <xf numFmtId="0" fontId="66" fillId="27" borderId="93" xfId="370" applyFont="1" applyFill="1" applyBorder="1" applyAlignment="1">
      <alignment horizontal="center" vertical="center" wrapText="1"/>
    </xf>
    <xf numFmtId="0" fontId="66" fillId="27" borderId="94" xfId="370" applyFont="1" applyFill="1" applyBorder="1" applyAlignment="1">
      <alignment horizontal="center" vertical="center" wrapText="1"/>
    </xf>
    <xf numFmtId="0" fontId="66" fillId="27" borderId="95" xfId="370" applyFont="1" applyFill="1" applyBorder="1" applyAlignment="1">
      <alignment horizontal="center" vertical="center" wrapText="1"/>
    </xf>
  </cellXfs>
  <cellStyles count="570">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5" xfId="440"/>
    <cellStyle name="Millares [0] 5 2" xfId="483"/>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1" xfId="439"/>
    <cellStyle name="Millares 11 2" xfId="482"/>
    <cellStyle name="Millares 12" xfId="446"/>
    <cellStyle name="Millares 12 2" xfId="489"/>
    <cellStyle name="Millares 13" xfId="453"/>
    <cellStyle name="Millares 13 2" xfId="491"/>
    <cellStyle name="Millares 14" xfId="451"/>
    <cellStyle name="Millares 15" xfId="372"/>
    <cellStyle name="Millares 16" xfId="445"/>
    <cellStyle name="Millares 16 2" xfId="488"/>
    <cellStyle name="Millares 17" xfId="428"/>
    <cellStyle name="Millares 18" xfId="441"/>
    <cellStyle name="Millares 18 2" xfId="484"/>
    <cellStyle name="Millares 19" xfId="507"/>
    <cellStyle name="Millares 19 2" xfId="550"/>
    <cellStyle name="Millares 19 3" xfId="566"/>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3" xfId="552"/>
    <cellStyle name="Millares 24" xfId="553"/>
    <cellStyle name="Millares 25" xfId="554"/>
    <cellStyle name="Millares 3" xfId="369"/>
    <cellStyle name="Millares 3 2" xfId="432"/>
    <cellStyle name="Millares 3 2 2" xfId="477"/>
    <cellStyle name="Millares 3 3" xfId="442"/>
    <cellStyle name="Millares 3 3 2" xfId="485"/>
    <cellStyle name="Millares 3 4" xfId="455"/>
    <cellStyle name="Millares 3 4 2" xfId="493"/>
    <cellStyle name="Millares 3 5" xfId="468"/>
    <cellStyle name="Millares 4" xfId="371"/>
    <cellStyle name="Millares 4 2" xfId="394"/>
    <cellStyle name="Millares 4 2 2" xfId="395"/>
    <cellStyle name="Millares 4 2 2 2" xfId="396"/>
    <cellStyle name="Millares 4 3" xfId="397"/>
    <cellStyle name="Millares 5" xfId="398"/>
    <cellStyle name="Millares 5 2" xfId="399"/>
    <cellStyle name="Millares 5 2 2" xfId="400"/>
    <cellStyle name="Millares 5 2 2 2" xfId="401"/>
    <cellStyle name="Millares 5 3" xfId="402"/>
    <cellStyle name="Millares 5 4" xfId="436"/>
    <cellStyle name="Millares 5 5" xfId="459"/>
    <cellStyle name="Millares 5 5 2" xfId="496"/>
    <cellStyle name="Millares 5 6" xfId="469"/>
    <cellStyle name="Millares 6" xfId="403"/>
    <cellStyle name="Millares 6 2" xfId="404"/>
    <cellStyle name="Millares 7" xfId="405"/>
    <cellStyle name="Millares 7 2" xfId="406"/>
    <cellStyle name="Millares 7 3" xfId="407"/>
    <cellStyle name="Millares 7 3 2" xfId="460"/>
    <cellStyle name="Millares 7 3 2 2" xfId="497"/>
    <cellStyle name="Millares 7 3 3" xfId="470"/>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1" xfId="410"/>
    <cellStyle name="Normal 12" xfId="438"/>
    <cellStyle name="Normal 12 2" xfId="481"/>
    <cellStyle name="Normal 13" xfId="454"/>
    <cellStyle name="Normal 13 2" xfId="492"/>
    <cellStyle name="Normal 2" xfId="364"/>
    <cellStyle name="Normal 2 2" xfId="411"/>
    <cellStyle name="Normal 2 2 2" xfId="448"/>
    <cellStyle name="Normal 2 2 3" xfId="461"/>
    <cellStyle name="Normal 2 2 3 2" xfId="498"/>
    <cellStyle name="Normal 2 2 4" xfId="471"/>
    <cellStyle name="Normal 2 3" xfId="412"/>
    <cellStyle name="Normal 2 3 2" xfId="462"/>
    <cellStyle name="Normal 2 3 2 2" xfId="499"/>
    <cellStyle name="Normal 2 3 3" xfId="472"/>
    <cellStyle name="Normal 3" xfId="367"/>
    <cellStyle name="Normal 3 2" xfId="450"/>
    <cellStyle name="Normal 3 3" xfId="556"/>
    <cellStyle name="Normal 3_A.1.4" xfId="502"/>
    <cellStyle name="Normal 4" xfId="413"/>
    <cellStyle name="Normal 5" xfId="280"/>
    <cellStyle name="Normal 5 2" xfId="414"/>
    <cellStyle name="Normal 5 2 2" xfId="415"/>
    <cellStyle name="Normal 5 2 2 2" xfId="416"/>
    <cellStyle name="Normal 5 3" xfId="417"/>
    <cellStyle name="Normal 5 4" xfId="433"/>
    <cellStyle name="Normal 5 4 2" xfId="478"/>
    <cellStyle name="Normal 5 5" xfId="443"/>
    <cellStyle name="Normal 5 5 2" xfId="486"/>
    <cellStyle name="Normal 5 6" xfId="456"/>
    <cellStyle name="Normal 5 6 2" xfId="494"/>
    <cellStyle name="Normal 5 7" xfId="466"/>
    <cellStyle name="Normal 5_CUADRO 8 - Bonos y Prestamos Garantizados en Pesos 2do. Trim-15 (A 1.8) Mari en construcción" xfId="418"/>
    <cellStyle name="Normal 6" xfId="419"/>
    <cellStyle name="Normal 7" xfId="281"/>
    <cellStyle name="Normal 7 2" xfId="434"/>
    <cellStyle name="Normal 7 2 2" xfId="479"/>
    <cellStyle name="Normal 7 3" xfId="444"/>
    <cellStyle name="Normal 7 3 2" xfId="487"/>
    <cellStyle name="Normal 7 4" xfId="457"/>
    <cellStyle name="Normal 7 4 2" xfId="495"/>
    <cellStyle name="Normal 7 5" xfId="467"/>
    <cellStyle name="Normal 8" xfId="420"/>
    <cellStyle name="Normal 8 2" xfId="421"/>
    <cellStyle name="Normal 9" xfId="422"/>
    <cellStyle name="Normal 9 2" xfId="463"/>
    <cellStyle name="Normal 9 2 2" xfId="500"/>
    <cellStyle name="Normal 9 3" xfId="473"/>
    <cellStyle name="Normal_2012 envío (Enero a Diciembre)" xfId="465"/>
    <cellStyle name="Normal_deuda_publica_31-03-2010 re-tuneado" xfId="373"/>
    <cellStyle name="Normal_Flujo Trimestral" xfId="569"/>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4" xfId="447"/>
    <cellStyle name="Porcentaje 4 2" xfId="490"/>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Perfil Final Sigade"/>
      <sheetName val="2004_K"/>
      <sheetName val="2004_Int"/>
      <sheetName val="2005_K"/>
      <sheetName val="2005_Int"/>
      <sheetName val="Resto_K"/>
      <sheetName val="Resto_Int"/>
      <sheetName val="Amort_Títulos"/>
      <sheetName val="INT__2006"/>
      <sheetName val="INT__2007"/>
      <sheetName val="int__2008"/>
      <sheetName val="int__resto"/>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onfiguración"/>
      <sheetName val="Capit_Pmos_Gdos"/>
      <sheetName val="S_Publico"/>
      <sheetName val="Cia_Seguros"/>
      <sheetName val="Rentabilidad_T_E_A_"/>
      <sheetName val="CarteraResidentes_xls"/>
      <sheetName val="Fto__a_partir_del_impuesto"/>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s>
    <definedNames>
      <definedName name="SIGADERED"/>
    </defined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2060"/>
    <pageSetUpPr fitToPage="1"/>
  </sheetPr>
  <dimension ref="A2:P63"/>
  <sheetViews>
    <sheetView showGridLines="0" tabSelected="1" zoomScale="70" zoomScaleNormal="70" zoomScaleSheetLayoutView="85" workbookViewId="0">
      <selection activeCell="B5" sqref="B5:C6"/>
    </sheetView>
  </sheetViews>
  <sheetFormatPr baseColWidth="10" defaultColWidth="9.21875" defaultRowHeight="16.2" x14ac:dyDescent="0.3"/>
  <cols>
    <col min="1" max="1" width="13" style="38" customWidth="1"/>
    <col min="2" max="2" width="15.5546875" style="38" customWidth="1"/>
    <col min="3" max="3" width="143.7773437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21875" style="47" customWidth="1"/>
    <col min="17" max="16384" width="9.21875" style="38"/>
  </cols>
  <sheetData>
    <row r="2" spans="2:16" x14ac:dyDescent="0.3">
      <c r="B2" s="1206" t="s">
        <v>693</v>
      </c>
      <c r="C2" s="1207"/>
      <c r="F2" s="38"/>
      <c r="G2" s="38"/>
      <c r="H2" s="38"/>
      <c r="I2" s="38"/>
      <c r="J2" s="38"/>
      <c r="K2" s="38"/>
      <c r="L2" s="38"/>
      <c r="M2" s="38"/>
      <c r="N2" s="38"/>
      <c r="O2" s="38"/>
      <c r="P2" s="38"/>
    </row>
    <row r="3" spans="2:16" x14ac:dyDescent="0.3">
      <c r="B3" s="1208" t="s">
        <v>299</v>
      </c>
      <c r="C3" s="1207"/>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294" t="s">
        <v>480</v>
      </c>
      <c r="C5" s="1295"/>
      <c r="F5" s="38"/>
      <c r="G5" s="38"/>
      <c r="H5" s="38"/>
      <c r="I5" s="38"/>
      <c r="J5" s="38"/>
      <c r="K5" s="38"/>
      <c r="L5" s="38"/>
      <c r="M5" s="38"/>
      <c r="N5" s="38"/>
      <c r="O5" s="38"/>
      <c r="P5" s="38"/>
    </row>
    <row r="6" spans="2:16" ht="16.8" thickBot="1" x14ac:dyDescent="0.35">
      <c r="B6" s="1296"/>
      <c r="C6" s="1297"/>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302" t="s">
        <v>164</v>
      </c>
      <c r="C8" s="1303"/>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165</v>
      </c>
      <c r="C10" s="41" t="s">
        <v>166</v>
      </c>
      <c r="F10" s="38"/>
      <c r="G10" s="38"/>
      <c r="H10" s="38"/>
      <c r="I10" s="38"/>
      <c r="J10" s="38"/>
      <c r="K10" s="38"/>
      <c r="L10" s="38"/>
      <c r="M10" s="38"/>
      <c r="N10" s="38"/>
      <c r="O10" s="38"/>
      <c r="P10" s="38"/>
    </row>
    <row r="11" spans="2:16" x14ac:dyDescent="0.3">
      <c r="B11" s="1300" t="s">
        <v>857</v>
      </c>
      <c r="C11" s="1301"/>
      <c r="F11" s="38"/>
      <c r="G11" s="38"/>
      <c r="H11" s="38"/>
      <c r="I11" s="38"/>
      <c r="J11" s="38"/>
      <c r="K11" s="38"/>
      <c r="L11" s="38"/>
      <c r="M11" s="38"/>
      <c r="N11" s="38"/>
      <c r="O11" s="38"/>
      <c r="P11" s="38"/>
    </row>
    <row r="12" spans="2:16" x14ac:dyDescent="0.3">
      <c r="B12" s="42" t="s">
        <v>167</v>
      </c>
      <c r="C12" s="43" t="s">
        <v>602</v>
      </c>
      <c r="F12" s="38"/>
      <c r="G12" s="38"/>
      <c r="H12" s="38"/>
      <c r="I12" s="38"/>
      <c r="J12" s="38"/>
      <c r="K12" s="38"/>
      <c r="L12" s="38"/>
      <c r="M12" s="38"/>
      <c r="N12" s="38"/>
      <c r="O12" s="38"/>
      <c r="P12" s="38"/>
    </row>
    <row r="13" spans="2:16" x14ac:dyDescent="0.3">
      <c r="B13" s="42" t="s">
        <v>221</v>
      </c>
      <c r="C13" s="43" t="s">
        <v>636</v>
      </c>
      <c r="F13" s="38"/>
      <c r="G13" s="38"/>
      <c r="H13" s="38"/>
      <c r="I13" s="38"/>
      <c r="J13" s="38"/>
      <c r="K13" s="38"/>
      <c r="L13" s="38"/>
      <c r="M13" s="38"/>
      <c r="N13" s="38"/>
      <c r="O13" s="38"/>
      <c r="P13" s="38"/>
    </row>
    <row r="14" spans="2:16" x14ac:dyDescent="0.3">
      <c r="B14" s="42" t="s">
        <v>256</v>
      </c>
      <c r="C14" s="43" t="s">
        <v>637</v>
      </c>
      <c r="F14" s="38"/>
      <c r="G14" s="38"/>
      <c r="H14" s="38"/>
      <c r="I14" s="38"/>
      <c r="J14" s="38"/>
      <c r="K14" s="38"/>
      <c r="L14" s="38"/>
      <c r="M14" s="38"/>
      <c r="N14" s="38"/>
      <c r="O14" s="38"/>
      <c r="P14" s="38"/>
    </row>
    <row r="15" spans="2:16" x14ac:dyDescent="0.3">
      <c r="B15" s="42" t="s">
        <v>112</v>
      </c>
      <c r="C15" s="43" t="s">
        <v>638</v>
      </c>
      <c r="E15" s="44"/>
      <c r="F15" s="38"/>
      <c r="G15" s="38"/>
      <c r="H15" s="38"/>
      <c r="I15" s="38"/>
      <c r="J15" s="38"/>
      <c r="K15" s="38"/>
      <c r="L15" s="38"/>
      <c r="M15" s="38"/>
      <c r="N15" s="38"/>
      <c r="O15" s="38"/>
      <c r="P15" s="38"/>
    </row>
    <row r="16" spans="2:16" x14ac:dyDescent="0.3">
      <c r="B16" s="42" t="s">
        <v>113</v>
      </c>
      <c r="C16" s="43" t="s">
        <v>639</v>
      </c>
      <c r="E16" s="44"/>
      <c r="F16" s="38"/>
      <c r="G16" s="38"/>
      <c r="H16" s="38"/>
      <c r="I16" s="38"/>
      <c r="J16" s="38"/>
      <c r="K16" s="38"/>
      <c r="L16" s="38"/>
      <c r="M16" s="38"/>
      <c r="N16" s="38"/>
      <c r="O16" s="38"/>
      <c r="P16" s="38"/>
    </row>
    <row r="17" spans="1:16" x14ac:dyDescent="0.3">
      <c r="B17" s="42" t="s">
        <v>114</v>
      </c>
      <c r="C17" s="43" t="s">
        <v>640</v>
      </c>
      <c r="E17" s="44"/>
      <c r="F17" s="38"/>
      <c r="G17" s="38"/>
      <c r="H17" s="38"/>
      <c r="I17" s="38"/>
      <c r="J17" s="38"/>
      <c r="K17" s="38"/>
      <c r="L17" s="38"/>
      <c r="M17" s="38"/>
      <c r="N17" s="38"/>
      <c r="O17" s="38"/>
      <c r="P17" s="38"/>
    </row>
    <row r="18" spans="1:16" x14ac:dyDescent="0.3">
      <c r="B18" s="42" t="s">
        <v>115</v>
      </c>
      <c r="C18" s="43" t="s">
        <v>603</v>
      </c>
      <c r="E18" s="44"/>
      <c r="F18" s="38"/>
      <c r="G18" s="38"/>
      <c r="H18" s="38"/>
      <c r="I18" s="38"/>
      <c r="J18" s="38"/>
      <c r="K18" s="38"/>
      <c r="L18" s="38"/>
      <c r="M18" s="38"/>
      <c r="N18" s="38"/>
      <c r="O18" s="38"/>
      <c r="P18" s="38"/>
    </row>
    <row r="19" spans="1:16" x14ac:dyDescent="0.3">
      <c r="B19" s="42" t="s">
        <v>116</v>
      </c>
      <c r="C19" s="43" t="s">
        <v>604</v>
      </c>
      <c r="E19" s="44"/>
      <c r="F19" s="38"/>
      <c r="G19" s="38"/>
      <c r="H19" s="38"/>
      <c r="I19" s="38"/>
      <c r="J19" s="38"/>
      <c r="K19" s="38"/>
      <c r="L19" s="38"/>
      <c r="M19" s="38"/>
      <c r="N19" s="38"/>
      <c r="O19" s="38"/>
      <c r="P19" s="38"/>
    </row>
    <row r="20" spans="1:16" x14ac:dyDescent="0.3">
      <c r="B20" s="42" t="s">
        <v>117</v>
      </c>
      <c r="C20" s="43" t="s">
        <v>605</v>
      </c>
      <c r="E20" s="44"/>
      <c r="F20" s="38"/>
      <c r="G20" s="38"/>
      <c r="H20" s="38"/>
      <c r="I20" s="38"/>
      <c r="J20" s="38"/>
      <c r="K20" s="38"/>
      <c r="L20" s="38"/>
      <c r="M20" s="38"/>
      <c r="N20" s="38"/>
      <c r="O20" s="38"/>
      <c r="P20" s="38"/>
    </row>
    <row r="21" spans="1:16" ht="16.8" thickBot="1" x14ac:dyDescent="0.35">
      <c r="B21" s="45" t="s">
        <v>118</v>
      </c>
      <c r="C21" s="46" t="s">
        <v>642</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300" t="s">
        <v>86</v>
      </c>
      <c r="C23" s="1301"/>
      <c r="F23" s="38"/>
      <c r="G23" s="38"/>
      <c r="H23" s="38"/>
      <c r="I23" s="38"/>
      <c r="J23" s="38"/>
      <c r="K23" s="38"/>
      <c r="L23" s="38"/>
      <c r="M23" s="38"/>
      <c r="N23" s="38"/>
      <c r="O23" s="38"/>
      <c r="P23" s="38"/>
    </row>
    <row r="24" spans="1:16" x14ac:dyDescent="0.3">
      <c r="B24" s="48" t="s">
        <v>156</v>
      </c>
      <c r="C24" s="43" t="s">
        <v>879</v>
      </c>
      <c r="F24" s="38"/>
      <c r="G24" s="38"/>
      <c r="H24" s="38"/>
      <c r="I24" s="38"/>
      <c r="J24" s="38"/>
      <c r="K24" s="38"/>
      <c r="L24" s="38"/>
      <c r="M24" s="38"/>
      <c r="N24" s="38"/>
      <c r="O24" s="38"/>
      <c r="P24" s="38"/>
    </row>
    <row r="25" spans="1:16" x14ac:dyDescent="0.3">
      <c r="B25" s="48" t="s">
        <v>157</v>
      </c>
      <c r="C25" s="43" t="s">
        <v>880</v>
      </c>
      <c r="F25" s="38"/>
      <c r="G25" s="38"/>
      <c r="H25" s="38"/>
      <c r="I25" s="38"/>
      <c r="J25" s="38"/>
      <c r="K25" s="38"/>
      <c r="L25" s="38"/>
      <c r="M25" s="38"/>
      <c r="N25" s="38"/>
      <c r="O25" s="38"/>
      <c r="P25" s="38"/>
    </row>
    <row r="26" spans="1:16" x14ac:dyDescent="0.3">
      <c r="B26" s="42" t="s">
        <v>75</v>
      </c>
      <c r="C26" s="43" t="s">
        <v>829</v>
      </c>
      <c r="F26" s="38"/>
      <c r="G26" s="38"/>
      <c r="H26" s="38"/>
      <c r="I26" s="38"/>
      <c r="J26" s="38"/>
      <c r="K26" s="38"/>
      <c r="L26" s="38"/>
      <c r="M26" s="38"/>
      <c r="N26" s="38"/>
      <c r="O26" s="38"/>
      <c r="P26" s="38"/>
    </row>
    <row r="27" spans="1:16" x14ac:dyDescent="0.3">
      <c r="B27" s="42" t="s">
        <v>828</v>
      </c>
      <c r="C27" s="43" t="s">
        <v>606</v>
      </c>
      <c r="F27" s="38"/>
      <c r="G27" s="38"/>
      <c r="H27" s="38"/>
      <c r="I27" s="38"/>
      <c r="J27" s="38"/>
      <c r="K27" s="38"/>
      <c r="L27" s="38"/>
      <c r="M27" s="38"/>
      <c r="N27" s="38"/>
      <c r="O27" s="38"/>
      <c r="P27" s="38"/>
    </row>
    <row r="28" spans="1:16" ht="16.8" thickBot="1" x14ac:dyDescent="0.35">
      <c r="B28" s="45" t="s">
        <v>860</v>
      </c>
      <c r="C28" s="49" t="s">
        <v>861</v>
      </c>
      <c r="F28" s="38"/>
      <c r="G28" s="38"/>
      <c r="H28" s="38"/>
      <c r="I28" s="38"/>
      <c r="J28" s="38"/>
      <c r="K28" s="38"/>
      <c r="L28" s="38"/>
      <c r="M28" s="38"/>
      <c r="N28" s="38"/>
      <c r="O28" s="38"/>
      <c r="P28" s="38"/>
    </row>
    <row r="29" spans="1:16" ht="16.8" thickBot="1" x14ac:dyDescent="0.35">
      <c r="A29" s="47"/>
      <c r="B29" s="47"/>
      <c r="C29" s="47"/>
      <c r="D29" s="47"/>
      <c r="E29" s="47"/>
      <c r="F29" s="38"/>
      <c r="G29" s="38"/>
      <c r="H29" s="38"/>
      <c r="I29" s="38"/>
      <c r="J29" s="38"/>
      <c r="K29" s="38"/>
      <c r="L29" s="38"/>
      <c r="M29" s="38"/>
      <c r="N29" s="38"/>
      <c r="O29" s="38"/>
      <c r="P29" s="38"/>
    </row>
    <row r="30" spans="1:16" x14ac:dyDescent="0.3">
      <c r="B30" s="1298" t="s">
        <v>881</v>
      </c>
      <c r="C30" s="1299"/>
      <c r="D30" s="50"/>
      <c r="F30" s="38"/>
      <c r="G30" s="38"/>
      <c r="H30" s="38"/>
      <c r="I30" s="38"/>
      <c r="J30" s="38"/>
      <c r="K30" s="38"/>
      <c r="L30" s="38"/>
      <c r="M30" s="38"/>
      <c r="N30" s="38"/>
      <c r="O30" s="38"/>
      <c r="P30" s="38"/>
    </row>
    <row r="31" spans="1:16" x14ac:dyDescent="0.3">
      <c r="B31" s="42" t="s">
        <v>119</v>
      </c>
      <c r="C31" s="43" t="s">
        <v>882</v>
      </c>
      <c r="D31" s="51"/>
      <c r="F31" s="38"/>
      <c r="G31" s="38"/>
      <c r="H31" s="38"/>
      <c r="I31" s="38"/>
      <c r="J31" s="38"/>
      <c r="K31" s="38"/>
      <c r="L31" s="38"/>
      <c r="M31" s="38"/>
      <c r="N31" s="38"/>
      <c r="O31" s="38"/>
      <c r="P31" s="38"/>
    </row>
    <row r="32" spans="1:16" x14ac:dyDescent="0.3">
      <c r="B32" s="42" t="s">
        <v>120</v>
      </c>
      <c r="C32" s="43" t="s">
        <v>798</v>
      </c>
      <c r="F32" s="38"/>
      <c r="G32" s="38"/>
      <c r="H32" s="38"/>
      <c r="I32" s="38"/>
      <c r="J32" s="38"/>
      <c r="K32" s="38"/>
      <c r="L32" s="38"/>
      <c r="M32" s="38"/>
      <c r="N32" s="38"/>
      <c r="O32" s="38"/>
      <c r="P32" s="38"/>
    </row>
    <row r="33" spans="1:16" x14ac:dyDescent="0.3">
      <c r="B33" s="42" t="s">
        <v>121</v>
      </c>
      <c r="C33" s="43" t="s">
        <v>799</v>
      </c>
      <c r="F33" s="38"/>
      <c r="G33" s="38"/>
      <c r="H33" s="38"/>
      <c r="I33" s="38"/>
      <c r="J33" s="38"/>
      <c r="K33" s="38"/>
      <c r="L33" s="38"/>
      <c r="M33" s="38"/>
      <c r="N33" s="38"/>
      <c r="O33" s="38"/>
      <c r="P33" s="38"/>
    </row>
    <row r="34" spans="1:16" x14ac:dyDescent="0.3">
      <c r="B34" s="42" t="s">
        <v>122</v>
      </c>
      <c r="C34" s="43" t="s">
        <v>883</v>
      </c>
      <c r="F34" s="38"/>
      <c r="G34" s="38"/>
      <c r="H34" s="38"/>
      <c r="I34" s="38"/>
      <c r="J34" s="38"/>
      <c r="K34" s="38"/>
      <c r="L34" s="38"/>
      <c r="M34" s="38"/>
      <c r="N34" s="38"/>
      <c r="O34" s="38"/>
      <c r="P34" s="38"/>
    </row>
    <row r="35" spans="1:16" x14ac:dyDescent="0.3">
      <c r="B35" s="42" t="s">
        <v>123</v>
      </c>
      <c r="C35" s="43" t="s">
        <v>884</v>
      </c>
      <c r="F35" s="38"/>
      <c r="G35" s="38"/>
      <c r="H35" s="38"/>
      <c r="I35" s="38"/>
      <c r="J35" s="38"/>
      <c r="K35" s="38"/>
      <c r="L35" s="38"/>
      <c r="M35" s="38"/>
      <c r="N35" s="38"/>
      <c r="O35" s="38"/>
      <c r="P35" s="38"/>
    </row>
    <row r="36" spans="1:16" x14ac:dyDescent="0.3">
      <c r="B36" s="42" t="s">
        <v>124</v>
      </c>
      <c r="C36" s="43" t="s">
        <v>644</v>
      </c>
      <c r="F36" s="38"/>
      <c r="G36" s="38"/>
      <c r="H36" s="38"/>
      <c r="I36" s="38"/>
      <c r="J36" s="38"/>
      <c r="K36" s="38"/>
      <c r="L36" s="38"/>
      <c r="M36" s="38"/>
      <c r="N36" s="38"/>
      <c r="O36" s="38"/>
      <c r="P36" s="38"/>
    </row>
    <row r="37" spans="1:16" x14ac:dyDescent="0.3">
      <c r="B37" s="42" t="s">
        <v>125</v>
      </c>
      <c r="C37" s="43" t="s">
        <v>645</v>
      </c>
      <c r="F37" s="38"/>
      <c r="G37" s="38"/>
      <c r="H37" s="38"/>
      <c r="I37" s="38"/>
      <c r="J37" s="38"/>
      <c r="K37" s="38"/>
      <c r="L37" s="38"/>
      <c r="M37" s="38"/>
      <c r="N37" s="38"/>
      <c r="O37" s="38"/>
      <c r="P37" s="38"/>
    </row>
    <row r="38" spans="1:16" ht="16.8" thickBot="1" x14ac:dyDescent="0.35">
      <c r="B38" s="45" t="s">
        <v>126</v>
      </c>
      <c r="C38" s="49" t="s">
        <v>646</v>
      </c>
      <c r="F38" s="38"/>
      <c r="G38" s="38"/>
      <c r="H38" s="38"/>
      <c r="I38" s="38"/>
      <c r="J38" s="38"/>
      <c r="K38" s="38"/>
      <c r="L38" s="38"/>
      <c r="M38" s="38"/>
      <c r="N38" s="38"/>
      <c r="O38" s="38"/>
      <c r="P38" s="38"/>
    </row>
    <row r="39" spans="1:16" ht="16.8" thickBot="1" x14ac:dyDescent="0.35">
      <c r="A39" s="47"/>
      <c r="B39" s="47"/>
      <c r="C39" s="47"/>
      <c r="D39" s="47"/>
      <c r="E39" s="47"/>
      <c r="F39" s="38"/>
      <c r="G39" s="38"/>
      <c r="H39" s="38"/>
      <c r="I39" s="38"/>
      <c r="J39" s="38"/>
      <c r="K39" s="38"/>
      <c r="L39" s="38"/>
      <c r="M39" s="38"/>
      <c r="N39" s="38"/>
      <c r="O39" s="38"/>
      <c r="P39" s="38"/>
    </row>
    <row r="40" spans="1:16" x14ac:dyDescent="0.3">
      <c r="B40" s="1300" t="s">
        <v>110</v>
      </c>
      <c r="C40" s="1301"/>
      <c r="F40" s="38"/>
      <c r="G40" s="38"/>
      <c r="H40" s="38"/>
      <c r="I40" s="38"/>
      <c r="J40" s="38"/>
      <c r="K40" s="38"/>
      <c r="L40" s="38"/>
      <c r="M40" s="38"/>
      <c r="N40" s="38"/>
      <c r="O40" s="38"/>
      <c r="P40" s="38"/>
    </row>
    <row r="41" spans="1:16" x14ac:dyDescent="0.3">
      <c r="B41" s="42" t="s">
        <v>127</v>
      </c>
      <c r="C41" s="43" t="s">
        <v>111</v>
      </c>
      <c r="F41" s="38"/>
      <c r="G41" s="38"/>
      <c r="H41" s="38"/>
      <c r="I41" s="38"/>
      <c r="J41" s="38"/>
      <c r="K41" s="38"/>
      <c r="L41" s="38"/>
      <c r="M41" s="38"/>
      <c r="N41" s="38"/>
      <c r="O41" s="38"/>
      <c r="P41" s="38"/>
    </row>
    <row r="42" spans="1:16" x14ac:dyDescent="0.3">
      <c r="B42" s="42" t="s">
        <v>128</v>
      </c>
      <c r="C42" s="43" t="s">
        <v>607</v>
      </c>
      <c r="F42" s="38"/>
      <c r="G42" s="38"/>
      <c r="H42" s="38"/>
      <c r="I42" s="38"/>
      <c r="J42" s="38"/>
      <c r="K42" s="38"/>
      <c r="L42" s="38"/>
      <c r="M42" s="38"/>
      <c r="N42" s="38"/>
      <c r="O42" s="38"/>
      <c r="P42" s="38"/>
    </row>
    <row r="43" spans="1:16" x14ac:dyDescent="0.3">
      <c r="B43" s="42" t="s">
        <v>129</v>
      </c>
      <c r="C43" s="43" t="s">
        <v>252</v>
      </c>
      <c r="F43" s="38"/>
      <c r="G43" s="38"/>
      <c r="H43" s="38"/>
      <c r="I43" s="38"/>
      <c r="J43" s="38"/>
      <c r="K43" s="38"/>
      <c r="L43" s="38"/>
      <c r="M43" s="38"/>
      <c r="N43" s="38"/>
      <c r="O43" s="38"/>
      <c r="P43" s="38"/>
    </row>
    <row r="44" spans="1:16" x14ac:dyDescent="0.3">
      <c r="B44" s="42" t="s">
        <v>130</v>
      </c>
      <c r="C44" s="43" t="s">
        <v>608</v>
      </c>
      <c r="F44" s="38"/>
      <c r="G44" s="38"/>
      <c r="H44" s="38"/>
      <c r="I44" s="38"/>
      <c r="J44" s="38"/>
      <c r="K44" s="38"/>
      <c r="L44" s="38"/>
      <c r="M44" s="38"/>
      <c r="N44" s="38"/>
      <c r="O44" s="38"/>
      <c r="P44" s="38"/>
    </row>
    <row r="45" spans="1:16" x14ac:dyDescent="0.3">
      <c r="B45" s="42" t="s">
        <v>131</v>
      </c>
      <c r="C45" s="52" t="s">
        <v>647</v>
      </c>
      <c r="F45" s="38"/>
      <c r="G45" s="38"/>
      <c r="H45" s="38"/>
      <c r="I45" s="38"/>
      <c r="J45" s="38"/>
      <c r="K45" s="38"/>
      <c r="L45" s="38"/>
      <c r="M45" s="38"/>
      <c r="N45" s="38"/>
      <c r="O45" s="38"/>
      <c r="P45" s="38"/>
    </row>
    <row r="46" spans="1:16" x14ac:dyDescent="0.3">
      <c r="B46" s="42" t="s">
        <v>76</v>
      </c>
      <c r="C46" s="52" t="s">
        <v>648</v>
      </c>
      <c r="F46" s="38"/>
      <c r="G46" s="38"/>
      <c r="H46" s="38"/>
      <c r="I46" s="38"/>
      <c r="J46" s="38"/>
      <c r="K46" s="38"/>
      <c r="L46" s="38"/>
      <c r="M46" s="38"/>
      <c r="N46" s="38"/>
      <c r="O46" s="38"/>
      <c r="P46" s="38"/>
    </row>
    <row r="47" spans="1:16" ht="16.8" thickBot="1" x14ac:dyDescent="0.35">
      <c r="B47" s="45" t="s">
        <v>77</v>
      </c>
      <c r="C47" s="53" t="s">
        <v>649</v>
      </c>
      <c r="F47" s="38"/>
      <c r="G47" s="38"/>
      <c r="H47" s="38"/>
      <c r="I47" s="38"/>
      <c r="J47" s="38"/>
      <c r="K47" s="38"/>
      <c r="L47" s="38"/>
      <c r="M47" s="38"/>
      <c r="N47" s="38"/>
      <c r="O47" s="38"/>
      <c r="P47" s="38"/>
    </row>
    <row r="50" s="38" customFormat="1" x14ac:dyDescent="0.3"/>
    <row r="63" s="38" customFormat="1" x14ac:dyDescent="0.3"/>
  </sheetData>
  <mergeCells count="6">
    <mergeCell ref="B5:C6"/>
    <mergeCell ref="B30:C30"/>
    <mergeCell ref="B40:C40"/>
    <mergeCell ref="B8:C8"/>
    <mergeCell ref="B11:C11"/>
    <mergeCell ref="B23:C23"/>
  </mergeCells>
  <phoneticPr fontId="18" type="noConversion"/>
  <hyperlinks>
    <hyperlink ref="B41" location="A.4.1!A1" display="A.4.1"/>
    <hyperlink ref="B31" location="A.3.1!A1" display="A.3.1"/>
    <hyperlink ref="B32:B38" location="A.16.1!A1" display="A.16.1!A1"/>
    <hyperlink ref="B42" location="A.4.2!A1" display="A.4.2"/>
    <hyperlink ref="B43" location="A.4.3!A1" display="A.4.3"/>
    <hyperlink ref="B24" location="A.2.1!A1" display="A.2.1"/>
    <hyperlink ref="B32" location="A.3.2!A1" display="A.3.2"/>
    <hyperlink ref="B33" location="A.3.3!A1" display="A.3.3"/>
    <hyperlink ref="B34" location="A.3.4!A1" display="A.3.4"/>
    <hyperlink ref="B35" location="A.3.5!A1" display="A.3.5"/>
    <hyperlink ref="B36" location="A.3.6!A1" display="A.3.6"/>
    <hyperlink ref="B37" location="A.3.7!A1" display="A.3.7"/>
    <hyperlink ref="B38" location="A.3.8!A1" display="A.3.8"/>
    <hyperlink ref="B44" location="A.4.4!A1" display="A.4.4"/>
    <hyperlink ref="B45" location="A.4.5!A1" display="A.4.5"/>
    <hyperlink ref="B46" location="A.4.6!A1" display="A.4.6"/>
    <hyperlink ref="B47"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5" location="A.2.2!A1" display="A.2.2"/>
    <hyperlink ref="B28" location="A.2.5!A1" display="A.2.5"/>
    <hyperlink ref="B26" location="A.2.3!A1" display="A.2.3"/>
    <hyperlink ref="B27" location="A.2.4!A1" display="A.2.4"/>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F152"/>
  <sheetViews>
    <sheetView showGridLines="0" showRuler="0" zoomScale="85" zoomScaleNormal="85" zoomScaleSheetLayoutView="85" workbookViewId="0"/>
  </sheetViews>
  <sheetFormatPr baseColWidth="10" defaultColWidth="11.44140625" defaultRowHeight="14.4" x14ac:dyDescent="0.25"/>
  <cols>
    <col min="1" max="1" width="6.77734375" style="56" customWidth="1"/>
    <col min="2" max="2" width="94" style="56" customWidth="1"/>
    <col min="3" max="3" width="19.5546875" style="56" customWidth="1"/>
    <col min="4" max="4" width="21.21875" style="56" bestFit="1" customWidth="1"/>
    <col min="5" max="5" width="18.77734375" style="107" customWidth="1"/>
    <col min="6" max="6" width="10.44140625" style="56" bestFit="1" customWidth="1"/>
    <col min="7" max="7" width="12.44140625" style="56" bestFit="1" customWidth="1"/>
    <col min="8" max="16384" width="11.44140625" style="56"/>
  </cols>
  <sheetData>
    <row r="1" spans="1:5" ht="15" x14ac:dyDescent="0.25">
      <c r="A1" s="54" t="s">
        <v>216</v>
      </c>
      <c r="B1" s="55"/>
      <c r="E1" s="57"/>
    </row>
    <row r="2" spans="1:5" ht="15" customHeight="1" x14ac:dyDescent="0.25">
      <c r="A2" s="54"/>
      <c r="B2" s="4" t="s">
        <v>693</v>
      </c>
      <c r="C2" s="58"/>
      <c r="D2" s="59"/>
      <c r="E2" s="57"/>
    </row>
    <row r="3" spans="1:5" ht="15" customHeight="1" x14ac:dyDescent="0.25">
      <c r="A3" s="60"/>
      <c r="B3" s="61" t="s">
        <v>299</v>
      </c>
      <c r="C3" s="59"/>
      <c r="D3" s="62"/>
      <c r="E3" s="57"/>
    </row>
    <row r="4" spans="1:5" s="63" customFormat="1" ht="11.4" x14ac:dyDescent="0.25">
      <c r="B4" s="64"/>
      <c r="C4" s="65"/>
      <c r="D4" s="65"/>
      <c r="E4" s="57"/>
    </row>
    <row r="5" spans="1:5" s="63" customFormat="1" ht="11.4" x14ac:dyDescent="0.25">
      <c r="B5" s="66"/>
      <c r="C5" s="66"/>
      <c r="D5" s="67"/>
      <c r="E5" s="57"/>
    </row>
    <row r="6" spans="1:5" ht="18" x14ac:dyDescent="0.25">
      <c r="B6" s="1305" t="s">
        <v>480</v>
      </c>
      <c r="C6" s="1305"/>
      <c r="D6" s="1305"/>
      <c r="E6" s="57"/>
    </row>
    <row r="7" spans="1:5" ht="16.2" x14ac:dyDescent="0.25">
      <c r="B7" s="1306" t="s">
        <v>272</v>
      </c>
      <c r="C7" s="1306"/>
      <c r="D7" s="1306"/>
      <c r="E7" s="57"/>
    </row>
    <row r="8" spans="1:5" s="63" customFormat="1" ht="11.4" x14ac:dyDescent="0.25">
      <c r="B8" s="66"/>
      <c r="C8" s="68"/>
      <c r="D8" s="68"/>
      <c r="E8" s="57"/>
    </row>
    <row r="9" spans="1:5" s="63" customFormat="1" ht="11.4" x14ac:dyDescent="0.25">
      <c r="B9" s="65"/>
      <c r="C9" s="65"/>
      <c r="D9" s="65"/>
      <c r="E9" s="57"/>
    </row>
    <row r="10" spans="1:5" ht="15" thickBot="1" x14ac:dyDescent="0.3">
      <c r="B10" s="59" t="s">
        <v>858</v>
      </c>
      <c r="C10" s="62"/>
      <c r="D10" s="62"/>
      <c r="E10" s="57"/>
    </row>
    <row r="11" spans="1:5" ht="16.2" thickTop="1" thickBot="1" x14ac:dyDescent="0.3">
      <c r="B11" s="69"/>
      <c r="C11" s="70" t="s">
        <v>269</v>
      </c>
      <c r="D11" s="70" t="s">
        <v>270</v>
      </c>
      <c r="E11" s="57"/>
    </row>
    <row r="12" spans="1:5" ht="15" thickTop="1" x14ac:dyDescent="0.25">
      <c r="B12" s="71"/>
      <c r="C12" s="72"/>
      <c r="D12" s="72"/>
      <c r="E12" s="57"/>
    </row>
    <row r="13" spans="1:5" ht="18" x14ac:dyDescent="0.25">
      <c r="B13" s="73" t="s">
        <v>609</v>
      </c>
      <c r="C13" s="74">
        <f>+C16+C84</f>
        <v>376214952.24697506</v>
      </c>
      <c r="D13" s="74">
        <f>+D16+D84</f>
        <v>38656086343.376694</v>
      </c>
      <c r="E13" s="75"/>
    </row>
    <row r="14" spans="1:5" ht="15" thickBot="1" x14ac:dyDescent="0.3">
      <c r="B14" s="76"/>
      <c r="C14" s="77"/>
      <c r="D14" s="77"/>
      <c r="E14" s="75"/>
    </row>
    <row r="15" spans="1:5" ht="15" thickTop="1" x14ac:dyDescent="0.25">
      <c r="B15" s="71"/>
      <c r="C15" s="72"/>
      <c r="D15" s="72"/>
      <c r="E15" s="75"/>
    </row>
    <row r="16" spans="1:5" ht="16.2" x14ac:dyDescent="0.25">
      <c r="B16" s="78" t="s">
        <v>625</v>
      </c>
      <c r="C16" s="79">
        <f>+C19+C61+C66</f>
        <v>363232609.17977554</v>
      </c>
      <c r="D16" s="79">
        <f>+D19+D61+D66</f>
        <v>37322150593.221939</v>
      </c>
      <c r="E16" s="75"/>
    </row>
    <row r="17" spans="2:5" ht="15" thickBot="1" x14ac:dyDescent="0.3">
      <c r="B17" s="76"/>
      <c r="C17" s="77"/>
      <c r="D17" s="77"/>
      <c r="E17" s="75"/>
    </row>
    <row r="18" spans="2:5" s="82" customFormat="1" ht="12.75" customHeight="1" thickTop="1" x14ac:dyDescent="0.25">
      <c r="B18" s="80"/>
      <c r="C18" s="81"/>
      <c r="D18" s="81"/>
      <c r="E18" s="75"/>
    </row>
    <row r="19" spans="2:5" s="84" customFormat="1" ht="16.2" x14ac:dyDescent="0.25">
      <c r="B19" s="78" t="s">
        <v>626</v>
      </c>
      <c r="C19" s="83">
        <f>+C21+C54</f>
        <v>360688744.15022278</v>
      </c>
      <c r="D19" s="83">
        <f>+D21+D54</f>
        <v>37060768461.435394</v>
      </c>
      <c r="E19" s="75"/>
    </row>
    <row r="20" spans="2:5" x14ac:dyDescent="0.25">
      <c r="B20" s="22"/>
      <c r="C20" s="85"/>
      <c r="D20" s="85"/>
      <c r="E20" s="75"/>
    </row>
    <row r="21" spans="2:5" s="60" customFormat="1" ht="15" x14ac:dyDescent="0.25">
      <c r="B21" s="86" t="s">
        <v>222</v>
      </c>
      <c r="C21" s="87">
        <f>+C23+C27+C29+C52</f>
        <v>325767712.36216724</v>
      </c>
      <c r="D21" s="87">
        <f>+D23+D27+D29+D52</f>
        <v>33472632445.212685</v>
      </c>
      <c r="E21" s="75"/>
    </row>
    <row r="22" spans="2:5" x14ac:dyDescent="0.25">
      <c r="B22" s="88"/>
      <c r="C22" s="89"/>
      <c r="D22" s="89"/>
      <c r="E22" s="75"/>
    </row>
    <row r="23" spans="2:5" ht="15" x14ac:dyDescent="0.25">
      <c r="B23" s="90" t="s">
        <v>300</v>
      </c>
      <c r="C23" s="91">
        <f>+C24+C25</f>
        <v>230369009.20414138</v>
      </c>
      <c r="D23" s="91">
        <f>+D24+D25</f>
        <v>23670415695.725529</v>
      </c>
      <c r="E23" s="75"/>
    </row>
    <row r="24" spans="2:5" x14ac:dyDescent="0.25">
      <c r="B24" s="22" t="s">
        <v>267</v>
      </c>
      <c r="C24" s="92">
        <v>60334299.229536504</v>
      </c>
      <c r="D24" s="92">
        <v>6199349245.8348761</v>
      </c>
      <c r="E24" s="75"/>
    </row>
    <row r="25" spans="2:5" x14ac:dyDescent="0.25">
      <c r="B25" s="25" t="s">
        <v>107</v>
      </c>
      <c r="C25" s="92">
        <v>170034709.97460487</v>
      </c>
      <c r="D25" s="92">
        <v>17471066449.890652</v>
      </c>
      <c r="E25" s="75"/>
    </row>
    <row r="26" spans="2:5" x14ac:dyDescent="0.25">
      <c r="B26" s="93"/>
      <c r="C26" s="89"/>
      <c r="D26" s="89"/>
      <c r="E26" s="75"/>
    </row>
    <row r="27" spans="2:5" ht="15" x14ac:dyDescent="0.25">
      <c r="B27" s="90" t="s">
        <v>400</v>
      </c>
      <c r="C27" s="94">
        <v>9432983.5779982805</v>
      </c>
      <c r="D27" s="94">
        <v>969239062.63932335</v>
      </c>
      <c r="E27" s="75"/>
    </row>
    <row r="28" spans="2:5" x14ac:dyDescent="0.25">
      <c r="B28" s="93"/>
      <c r="C28" s="89"/>
      <c r="D28" s="89"/>
      <c r="E28" s="75"/>
    </row>
    <row r="29" spans="2:5" ht="15" x14ac:dyDescent="0.25">
      <c r="B29" s="90" t="s">
        <v>52</v>
      </c>
      <c r="C29" s="94">
        <f>+C31+C33+C44+C46+C48+C50</f>
        <v>78101972.621390104</v>
      </c>
      <c r="D29" s="94">
        <f>+D31+D33+D44+D46+D48+D50</f>
        <v>8024977686.8478336</v>
      </c>
      <c r="E29" s="75"/>
    </row>
    <row r="30" spans="2:5" x14ac:dyDescent="0.25">
      <c r="B30" s="93"/>
      <c r="C30" s="89"/>
      <c r="D30" s="89"/>
      <c r="E30" s="75"/>
    </row>
    <row r="31" spans="2:5" x14ac:dyDescent="0.25">
      <c r="B31" s="93" t="s">
        <v>257</v>
      </c>
      <c r="C31" s="95">
        <v>751015.36872733664</v>
      </c>
      <c r="D31" s="95">
        <v>77166829.136733845</v>
      </c>
      <c r="E31" s="75"/>
    </row>
    <row r="32" spans="2:5" x14ac:dyDescent="0.25">
      <c r="B32" s="93"/>
      <c r="C32" s="89"/>
      <c r="D32" s="89"/>
      <c r="E32" s="75"/>
    </row>
    <row r="33" spans="2:5" x14ac:dyDescent="0.25">
      <c r="B33" s="93" t="s">
        <v>265</v>
      </c>
      <c r="C33" s="89">
        <f>SUM(C34:C42)</f>
        <v>68065416.412906617</v>
      </c>
      <c r="D33" s="89">
        <f>SUM(D34:D42)</f>
        <v>6993721536.4261551</v>
      </c>
      <c r="E33" s="75"/>
    </row>
    <row r="34" spans="2:5" x14ac:dyDescent="0.25">
      <c r="B34" s="22" t="s">
        <v>524</v>
      </c>
      <c r="C34" s="92">
        <v>79285.844870000001</v>
      </c>
      <c r="D34" s="92">
        <v>8146620.5603924999</v>
      </c>
      <c r="E34" s="75"/>
    </row>
    <row r="35" spans="2:5" x14ac:dyDescent="0.25">
      <c r="B35" s="22" t="s">
        <v>261</v>
      </c>
      <c r="C35" s="92">
        <v>8517392.9526040014</v>
      </c>
      <c r="D35" s="92">
        <v>875162125.88006115</v>
      </c>
      <c r="E35" s="75"/>
    </row>
    <row r="36" spans="2:5" x14ac:dyDescent="0.25">
      <c r="B36" s="22" t="s">
        <v>260</v>
      </c>
      <c r="C36" s="92">
        <v>14051576.594236</v>
      </c>
      <c r="D36" s="92">
        <v>1443799495.057749</v>
      </c>
      <c r="E36" s="75"/>
    </row>
    <row r="37" spans="2:5" x14ac:dyDescent="0.25">
      <c r="B37" s="22" t="s">
        <v>262</v>
      </c>
      <c r="C37" s="92">
        <v>404331.29771999997</v>
      </c>
      <c r="D37" s="92">
        <v>41545040.840729997</v>
      </c>
      <c r="E37" s="75"/>
    </row>
    <row r="38" spans="2:5" x14ac:dyDescent="0.25">
      <c r="B38" s="22" t="s">
        <v>263</v>
      </c>
      <c r="C38" s="92">
        <v>33561.959356723593</v>
      </c>
      <c r="D38" s="92">
        <v>3448491.3239033492</v>
      </c>
      <c r="E38" s="75"/>
    </row>
    <row r="39" spans="2:5" x14ac:dyDescent="0.25">
      <c r="B39" s="22" t="s">
        <v>276</v>
      </c>
      <c r="C39" s="92">
        <v>3781438.8981399997</v>
      </c>
      <c r="D39" s="92">
        <v>388542846.78388494</v>
      </c>
      <c r="E39" s="75"/>
    </row>
    <row r="40" spans="2:5" x14ac:dyDescent="0.25">
      <c r="B40" s="22" t="s">
        <v>481</v>
      </c>
      <c r="C40" s="92">
        <v>123824.49632999998</v>
      </c>
      <c r="D40" s="92">
        <v>12722966.997907499</v>
      </c>
      <c r="E40" s="75"/>
    </row>
    <row r="41" spans="2:5" x14ac:dyDescent="0.25">
      <c r="B41" s="22" t="s">
        <v>575</v>
      </c>
      <c r="C41" s="92">
        <v>40952109.867039889</v>
      </c>
      <c r="D41" s="92">
        <v>4207829288.8383484</v>
      </c>
      <c r="E41" s="75"/>
    </row>
    <row r="42" spans="2:5" x14ac:dyDescent="0.25">
      <c r="B42" s="22" t="s">
        <v>593</v>
      </c>
      <c r="C42" s="92">
        <v>121894.50261000001</v>
      </c>
      <c r="D42" s="92">
        <v>12524660.143177502</v>
      </c>
      <c r="E42" s="75"/>
    </row>
    <row r="43" spans="2:5" x14ac:dyDescent="0.25">
      <c r="B43" s="96"/>
      <c r="C43" s="97"/>
      <c r="D43" s="97"/>
      <c r="E43" s="75"/>
    </row>
    <row r="44" spans="2:5" x14ac:dyDescent="0.25">
      <c r="B44" s="93" t="s">
        <v>264</v>
      </c>
      <c r="C44" s="95">
        <v>4709868.6097969459</v>
      </c>
      <c r="D44" s="89">
        <v>483938999.65663618</v>
      </c>
      <c r="E44" s="75"/>
    </row>
    <row r="45" spans="2:5" x14ac:dyDescent="0.25">
      <c r="B45" s="96"/>
      <c r="C45" s="98"/>
      <c r="D45" s="98"/>
      <c r="E45" s="75"/>
    </row>
    <row r="46" spans="2:5" x14ac:dyDescent="0.25">
      <c r="B46" s="93" t="s">
        <v>266</v>
      </c>
      <c r="C46" s="95">
        <v>2530002.0371214976</v>
      </c>
      <c r="D46" s="95">
        <v>259957709.31423387</v>
      </c>
      <c r="E46" s="75"/>
    </row>
    <row r="47" spans="2:5" x14ac:dyDescent="0.25">
      <c r="B47" s="96"/>
      <c r="C47" s="98"/>
      <c r="D47" s="98"/>
      <c r="E47" s="75"/>
    </row>
    <row r="48" spans="2:5" x14ac:dyDescent="0.25">
      <c r="B48" s="93" t="s">
        <v>346</v>
      </c>
      <c r="C48" s="95">
        <v>1667070.6368930382</v>
      </c>
      <c r="D48" s="95">
        <v>171291507.94075966</v>
      </c>
      <c r="E48" s="75"/>
    </row>
    <row r="49" spans="2:5" x14ac:dyDescent="0.25">
      <c r="B49" s="96"/>
      <c r="C49" s="99"/>
      <c r="D49" s="99"/>
      <c r="E49" s="75"/>
    </row>
    <row r="50" spans="2:5" x14ac:dyDescent="0.25">
      <c r="B50" s="93" t="s">
        <v>364</v>
      </c>
      <c r="C50" s="95">
        <v>378599.55594466877</v>
      </c>
      <c r="D50" s="95">
        <v>38901104.373314716</v>
      </c>
      <c r="E50" s="75"/>
    </row>
    <row r="51" spans="2:5" x14ac:dyDescent="0.25">
      <c r="B51" s="93"/>
      <c r="C51" s="95"/>
      <c r="D51" s="95"/>
      <c r="E51" s="75"/>
    </row>
    <row r="52" spans="2:5" ht="15" x14ac:dyDescent="0.25">
      <c r="B52" s="90" t="s">
        <v>235</v>
      </c>
      <c r="C52" s="94">
        <v>7863746.9586374694</v>
      </c>
      <c r="D52" s="94">
        <v>808000000</v>
      </c>
      <c r="E52" s="75"/>
    </row>
    <row r="53" spans="2:5" ht="15" x14ac:dyDescent="0.25">
      <c r="B53" s="100"/>
      <c r="C53" s="101"/>
      <c r="D53" s="101"/>
      <c r="E53" s="75"/>
    </row>
    <row r="54" spans="2:5" s="60" customFormat="1" ht="16.2" x14ac:dyDescent="0.25">
      <c r="B54" s="102" t="s">
        <v>338</v>
      </c>
      <c r="C54" s="83">
        <f>SUM(C55:C59)</f>
        <v>34921031.788055554</v>
      </c>
      <c r="D54" s="83">
        <f>SUM(D55:D59)</f>
        <v>3588136016.2227073</v>
      </c>
      <c r="E54" s="75"/>
    </row>
    <row r="55" spans="2:5" x14ac:dyDescent="0.25">
      <c r="B55" s="93"/>
      <c r="C55" s="103"/>
      <c r="D55" s="89"/>
      <c r="E55" s="75"/>
    </row>
    <row r="56" spans="2:5" x14ac:dyDescent="0.25">
      <c r="B56" s="93" t="s">
        <v>273</v>
      </c>
      <c r="C56" s="103">
        <v>13285151.764369829</v>
      </c>
      <c r="D56" s="89">
        <v>1365049343.7889998</v>
      </c>
      <c r="E56" s="75"/>
    </row>
    <row r="57" spans="2:5" x14ac:dyDescent="0.25">
      <c r="B57" s="104" t="s">
        <v>596</v>
      </c>
      <c r="C57" s="105">
        <v>20687534.335908502</v>
      </c>
      <c r="D57" s="95">
        <v>2125644153.0145986</v>
      </c>
      <c r="E57" s="75"/>
    </row>
    <row r="58" spans="2:5" x14ac:dyDescent="0.25">
      <c r="B58" s="104" t="s">
        <v>346</v>
      </c>
      <c r="C58" s="105">
        <v>121095.07950471021</v>
      </c>
      <c r="D58" s="95">
        <v>12442519.419108974</v>
      </c>
      <c r="E58" s="75"/>
    </row>
    <row r="59" spans="2:5" x14ac:dyDescent="0.25">
      <c r="B59" s="104" t="s">
        <v>859</v>
      </c>
      <c r="C59" s="105">
        <v>827250.60827250604</v>
      </c>
      <c r="D59" s="95">
        <v>85000000</v>
      </c>
      <c r="E59" s="75"/>
    </row>
    <row r="60" spans="2:5" x14ac:dyDescent="0.25">
      <c r="B60" s="93"/>
      <c r="C60" s="103"/>
      <c r="D60" s="89"/>
      <c r="E60" s="75"/>
    </row>
    <row r="61" spans="2:5" ht="16.2" x14ac:dyDescent="0.25">
      <c r="B61" s="106" t="s">
        <v>698</v>
      </c>
      <c r="C61" s="83">
        <f>+C63+C64</f>
        <v>104561.85965651557</v>
      </c>
      <c r="D61" s="83">
        <f>+D63+D64</f>
        <v>10743731.079706974</v>
      </c>
      <c r="E61" s="75"/>
    </row>
    <row r="62" spans="2:5" x14ac:dyDescent="0.25">
      <c r="B62" s="93"/>
      <c r="C62" s="89"/>
      <c r="D62" s="89"/>
      <c r="E62" s="75"/>
    </row>
    <row r="63" spans="2:5" x14ac:dyDescent="0.25">
      <c r="B63" s="93" t="s">
        <v>271</v>
      </c>
      <c r="C63" s="89">
        <v>96201.23588999483</v>
      </c>
      <c r="D63" s="89">
        <v>9884676.987696968</v>
      </c>
      <c r="E63" s="75"/>
    </row>
    <row r="64" spans="2:5" x14ac:dyDescent="0.25">
      <c r="B64" s="93" t="s">
        <v>711</v>
      </c>
      <c r="C64" s="89">
        <v>8360.6237665207482</v>
      </c>
      <c r="D64" s="89">
        <v>859054.09201000689</v>
      </c>
      <c r="E64" s="75"/>
    </row>
    <row r="65" spans="2:6" x14ac:dyDescent="0.25">
      <c r="B65" s="93"/>
      <c r="C65" s="89"/>
      <c r="D65" s="89"/>
      <c r="E65" s="75"/>
    </row>
    <row r="66" spans="2:6" ht="16.2" x14ac:dyDescent="0.25">
      <c r="B66" s="106" t="s">
        <v>712</v>
      </c>
      <c r="C66" s="83">
        <f>+C68+C73+C78</f>
        <v>2439303.1698962622</v>
      </c>
      <c r="D66" s="83">
        <f>+D68+D73+D78</f>
        <v>250638400.70684096</v>
      </c>
      <c r="E66" s="1211"/>
      <c r="F66" s="1210"/>
    </row>
    <row r="67" spans="2:6" ht="16.2" x14ac:dyDescent="0.25">
      <c r="B67" s="108"/>
      <c r="C67" s="109"/>
      <c r="D67" s="109"/>
    </row>
    <row r="68" spans="2:6" s="111" customFormat="1" ht="12.75" customHeight="1" x14ac:dyDescent="0.25">
      <c r="B68" s="102" t="s">
        <v>394</v>
      </c>
      <c r="C68" s="110">
        <f>+C70+C71</f>
        <v>1059021.0425543317</v>
      </c>
      <c r="D68" s="110">
        <f>+D70+D71</f>
        <v>108814412.12245758</v>
      </c>
    </row>
    <row r="69" spans="2:6" s="82" customFormat="1" x14ac:dyDescent="0.25">
      <c r="B69" s="112"/>
      <c r="C69" s="113"/>
      <c r="D69" s="114"/>
    </row>
    <row r="70" spans="2:6" s="82" customFormat="1" ht="12.75" customHeight="1" x14ac:dyDescent="0.3">
      <c r="B70" s="112" t="s">
        <v>267</v>
      </c>
      <c r="C70" s="115">
        <v>48187.35421919568</v>
      </c>
      <c r="D70" s="116">
        <v>4951250.6460223561</v>
      </c>
    </row>
    <row r="71" spans="2:6" s="82" customFormat="1" x14ac:dyDescent="0.3">
      <c r="B71" s="112" t="s">
        <v>395</v>
      </c>
      <c r="C71" s="115">
        <v>1010833.688335136</v>
      </c>
      <c r="D71" s="116">
        <v>103863161.47643523</v>
      </c>
    </row>
    <row r="72" spans="2:6" s="82" customFormat="1" x14ac:dyDescent="0.25">
      <c r="B72" s="117"/>
      <c r="C72" s="118"/>
      <c r="D72" s="119"/>
      <c r="E72" s="107"/>
    </row>
    <row r="73" spans="2:6" s="111" customFormat="1" ht="12.75" customHeight="1" x14ac:dyDescent="0.25">
      <c r="B73" s="120" t="s">
        <v>502</v>
      </c>
      <c r="C73" s="110">
        <f>+C75+C76</f>
        <v>865683.3229451112</v>
      </c>
      <c r="D73" s="110">
        <f>+D75+D76</f>
        <v>88948961.432610184</v>
      </c>
      <c r="E73" s="107"/>
    </row>
    <row r="74" spans="2:6" s="82" customFormat="1" x14ac:dyDescent="0.25">
      <c r="B74" s="112"/>
      <c r="C74" s="113"/>
      <c r="D74" s="114"/>
      <c r="E74" s="107"/>
    </row>
    <row r="75" spans="2:6" s="82" customFormat="1" ht="12.75" customHeight="1" x14ac:dyDescent="0.25">
      <c r="B75" s="112" t="s">
        <v>267</v>
      </c>
      <c r="C75" s="118">
        <v>1436.1102936630102</v>
      </c>
      <c r="D75" s="119">
        <v>147560.33267387431</v>
      </c>
      <c r="E75" s="107"/>
    </row>
    <row r="76" spans="2:6" s="82" customFormat="1" x14ac:dyDescent="0.25">
      <c r="B76" s="112" t="s">
        <v>395</v>
      </c>
      <c r="C76" s="118">
        <v>864247.21265144821</v>
      </c>
      <c r="D76" s="119">
        <v>88801401.099936306</v>
      </c>
      <c r="E76" s="107"/>
    </row>
    <row r="77" spans="2:6" s="82" customFormat="1" x14ac:dyDescent="0.25">
      <c r="B77" s="22"/>
      <c r="C77" s="89"/>
      <c r="D77" s="89"/>
      <c r="E77" s="107"/>
    </row>
    <row r="78" spans="2:6" s="111" customFormat="1" ht="15" x14ac:dyDescent="0.25">
      <c r="B78" s="120" t="s">
        <v>713</v>
      </c>
      <c r="C78" s="110">
        <f>+C80+C81</f>
        <v>514598.80439681938</v>
      </c>
      <c r="D78" s="110">
        <f>+D80+D81</f>
        <v>52875027.151773192</v>
      </c>
      <c r="E78" s="107"/>
    </row>
    <row r="79" spans="2:6" s="82" customFormat="1" x14ac:dyDescent="0.25">
      <c r="B79" s="22"/>
      <c r="C79" s="89"/>
      <c r="D79" s="89"/>
      <c r="E79" s="107"/>
    </row>
    <row r="80" spans="2:6" s="82" customFormat="1" x14ac:dyDescent="0.25">
      <c r="B80" s="112" t="s">
        <v>267</v>
      </c>
      <c r="C80" s="121">
        <v>6744.3311222137108</v>
      </c>
      <c r="D80" s="99">
        <v>692980.02280745876</v>
      </c>
      <c r="E80" s="107"/>
    </row>
    <row r="81" spans="2:5" s="82" customFormat="1" x14ac:dyDescent="0.25">
      <c r="B81" s="112" t="s">
        <v>395</v>
      </c>
      <c r="C81" s="121">
        <v>507854.4732746057</v>
      </c>
      <c r="D81" s="99">
        <v>52182047.128965735</v>
      </c>
      <c r="E81" s="107"/>
    </row>
    <row r="82" spans="2:5" s="82" customFormat="1" ht="15" thickBot="1" x14ac:dyDescent="0.3">
      <c r="B82" s="76"/>
      <c r="C82" s="122"/>
      <c r="D82" s="122"/>
      <c r="E82" s="107"/>
    </row>
    <row r="83" spans="2:5" ht="12.75" customHeight="1" thickTop="1" x14ac:dyDescent="0.25">
      <c r="B83" s="22"/>
      <c r="C83" s="89"/>
      <c r="D83" s="89"/>
    </row>
    <row r="84" spans="2:5" ht="12.75" customHeight="1" x14ac:dyDescent="0.25">
      <c r="B84" s="78" t="s">
        <v>714</v>
      </c>
      <c r="C84" s="79">
        <v>12982343.067199551</v>
      </c>
      <c r="D84" s="79">
        <v>1333935750.1547539</v>
      </c>
    </row>
    <row r="85" spans="2:5" ht="15" thickBot="1" x14ac:dyDescent="0.3">
      <c r="B85" s="76"/>
      <c r="C85" s="122"/>
      <c r="D85" s="122"/>
    </row>
    <row r="86" spans="2:5" ht="15" thickTop="1" x14ac:dyDescent="0.25">
      <c r="B86" s="22"/>
      <c r="C86" s="89"/>
      <c r="D86" s="89"/>
    </row>
    <row r="87" spans="2:5" ht="12.75" customHeight="1" x14ac:dyDescent="0.25">
      <c r="B87" s="78" t="s">
        <v>715</v>
      </c>
      <c r="C87" s="1218">
        <v>1764372.5178651579</v>
      </c>
      <c r="D87" s="1218">
        <v>181289276.21064499</v>
      </c>
    </row>
    <row r="88" spans="2:5" ht="18" x14ac:dyDescent="0.25">
      <c r="B88" s="123"/>
      <c r="C88" s="124"/>
      <c r="D88" s="124"/>
    </row>
    <row r="89" spans="2:5" ht="12.75" customHeight="1" x14ac:dyDescent="0.25">
      <c r="B89" s="13" t="s">
        <v>627</v>
      </c>
      <c r="C89" s="83">
        <f>+C16-C87</f>
        <v>361468236.66191036</v>
      </c>
      <c r="D89" s="83">
        <f>+D16-D87</f>
        <v>37140861317.011292</v>
      </c>
    </row>
    <row r="90" spans="2:5" ht="16.8" thickBot="1" x14ac:dyDescent="0.3">
      <c r="B90" s="125"/>
      <c r="C90" s="126"/>
      <c r="D90" s="126"/>
    </row>
    <row r="91" spans="2:5" s="130" customFormat="1" ht="12.75" customHeight="1" thickTop="1" x14ac:dyDescent="0.25">
      <c r="B91" s="127"/>
      <c r="C91" s="128"/>
      <c r="D91" s="129"/>
      <c r="E91" s="57"/>
    </row>
    <row r="92" spans="2:5" ht="12.75" customHeight="1" x14ac:dyDescent="0.25">
      <c r="B92" s="1304" t="s">
        <v>522</v>
      </c>
      <c r="C92" s="1304"/>
      <c r="D92" s="1304"/>
      <c r="E92" s="57"/>
    </row>
    <row r="93" spans="2:5" ht="12.75" customHeight="1" x14ac:dyDescent="0.25">
      <c r="B93" s="1304" t="s">
        <v>594</v>
      </c>
      <c r="C93" s="1304"/>
      <c r="D93" s="1304"/>
      <c r="E93" s="57"/>
    </row>
    <row r="94" spans="2:5" ht="12.75" customHeight="1" x14ac:dyDescent="0.25">
      <c r="B94" s="1304" t="s">
        <v>700</v>
      </c>
      <c r="C94" s="1304"/>
      <c r="D94" s="1304"/>
      <c r="E94" s="57"/>
    </row>
    <row r="95" spans="2:5" ht="12.75" customHeight="1" x14ac:dyDescent="0.3">
      <c r="B95" s="131" t="s">
        <v>720</v>
      </c>
      <c r="C95" s="132"/>
      <c r="D95" s="132"/>
      <c r="E95" s="57"/>
    </row>
    <row r="96" spans="2:5" ht="30.75" customHeight="1" x14ac:dyDescent="0.25">
      <c r="B96" s="1304" t="s">
        <v>716</v>
      </c>
      <c r="C96" s="1304"/>
      <c r="D96" s="1304"/>
      <c r="E96" s="57"/>
    </row>
    <row r="97" spans="2:5" ht="12.75" customHeight="1" x14ac:dyDescent="0.25">
      <c r="B97" s="1304" t="s">
        <v>717</v>
      </c>
      <c r="C97" s="1304"/>
      <c r="D97" s="1304"/>
      <c r="E97" s="57"/>
    </row>
    <row r="98" spans="2:5" ht="25.5" customHeight="1" x14ac:dyDescent="0.25">
      <c r="B98" s="1304" t="s">
        <v>718</v>
      </c>
      <c r="C98" s="1304"/>
      <c r="D98" s="1304"/>
      <c r="E98" s="57"/>
    </row>
    <row r="99" spans="2:5" ht="12.75" customHeight="1" x14ac:dyDescent="0.25">
      <c r="B99" s="1304" t="s">
        <v>719</v>
      </c>
      <c r="C99" s="1304"/>
      <c r="D99" s="1304"/>
      <c r="E99" s="57"/>
    </row>
    <row r="100" spans="2:5" ht="12.75" customHeight="1" x14ac:dyDescent="0.25">
      <c r="B100" s="1304"/>
      <c r="C100" s="1304"/>
      <c r="D100" s="1304"/>
      <c r="E100" s="57"/>
    </row>
    <row r="101" spans="2:5" x14ac:dyDescent="0.25">
      <c r="E101" s="57"/>
    </row>
    <row r="102" spans="2:5" x14ac:dyDescent="0.25">
      <c r="E102" s="57"/>
    </row>
    <row r="103" spans="2:5" x14ac:dyDescent="0.25">
      <c r="E103" s="57"/>
    </row>
    <row r="104" spans="2:5" x14ac:dyDescent="0.25">
      <c r="E104" s="57"/>
    </row>
    <row r="105" spans="2:5" x14ac:dyDescent="0.25">
      <c r="E105" s="57"/>
    </row>
    <row r="106" spans="2:5" x14ac:dyDescent="0.25">
      <c r="E106" s="57"/>
    </row>
    <row r="107" spans="2:5" x14ac:dyDescent="0.25">
      <c r="E107" s="57"/>
    </row>
    <row r="108" spans="2:5" x14ac:dyDescent="0.25">
      <c r="E108" s="57"/>
    </row>
    <row r="109" spans="2:5" x14ac:dyDescent="0.25">
      <c r="E109" s="57"/>
    </row>
    <row r="110" spans="2:5" x14ac:dyDescent="0.25">
      <c r="E110" s="57"/>
    </row>
    <row r="111" spans="2:5" x14ac:dyDescent="0.25">
      <c r="E111" s="57"/>
    </row>
    <row r="112" spans="2:5" x14ac:dyDescent="0.25">
      <c r="E112" s="57"/>
    </row>
    <row r="113" spans="5:5" x14ac:dyDescent="0.25">
      <c r="E113" s="57"/>
    </row>
    <row r="114" spans="5:5" x14ac:dyDescent="0.25">
      <c r="E114" s="57"/>
    </row>
    <row r="115" spans="5:5" x14ac:dyDescent="0.25">
      <c r="E115" s="57"/>
    </row>
    <row r="116" spans="5:5" x14ac:dyDescent="0.25">
      <c r="E116" s="57"/>
    </row>
    <row r="117" spans="5:5" x14ac:dyDescent="0.25">
      <c r="E117" s="57"/>
    </row>
    <row r="118" spans="5:5" x14ac:dyDescent="0.25">
      <c r="E118" s="57"/>
    </row>
    <row r="119" spans="5:5" x14ac:dyDescent="0.25">
      <c r="E119" s="57"/>
    </row>
    <row r="120" spans="5:5" x14ac:dyDescent="0.25">
      <c r="E120" s="57"/>
    </row>
    <row r="121" spans="5:5" x14ac:dyDescent="0.25">
      <c r="E121" s="57"/>
    </row>
    <row r="122" spans="5:5" x14ac:dyDescent="0.25">
      <c r="E122" s="57"/>
    </row>
    <row r="123" spans="5:5" x14ac:dyDescent="0.25">
      <c r="E123" s="57"/>
    </row>
    <row r="124" spans="5:5" x14ac:dyDescent="0.25">
      <c r="E124" s="57"/>
    </row>
    <row r="125" spans="5:5" x14ac:dyDescent="0.25">
      <c r="E125" s="57"/>
    </row>
    <row r="126" spans="5:5" x14ac:dyDescent="0.25">
      <c r="E126" s="57"/>
    </row>
    <row r="127" spans="5:5" x14ac:dyDescent="0.25">
      <c r="E127" s="57"/>
    </row>
    <row r="128" spans="5:5" x14ac:dyDescent="0.25">
      <c r="E128" s="57"/>
    </row>
    <row r="129" spans="5:5" x14ac:dyDescent="0.25">
      <c r="E129" s="57"/>
    </row>
    <row r="130" spans="5:5" x14ac:dyDescent="0.25">
      <c r="E130" s="57"/>
    </row>
    <row r="131" spans="5:5" x14ac:dyDescent="0.25">
      <c r="E131" s="57"/>
    </row>
    <row r="132" spans="5:5" x14ac:dyDescent="0.25">
      <c r="E132" s="57"/>
    </row>
    <row r="133" spans="5:5" x14ac:dyDescent="0.25">
      <c r="E133" s="57"/>
    </row>
    <row r="134" spans="5:5" x14ac:dyDescent="0.25">
      <c r="E134" s="57"/>
    </row>
    <row r="135" spans="5:5" x14ac:dyDescent="0.25">
      <c r="E135" s="57"/>
    </row>
    <row r="136" spans="5:5" x14ac:dyDescent="0.25">
      <c r="E136" s="57"/>
    </row>
    <row r="137" spans="5:5" x14ac:dyDescent="0.25">
      <c r="E137" s="57"/>
    </row>
    <row r="138" spans="5:5" x14ac:dyDescent="0.25">
      <c r="E138" s="57"/>
    </row>
    <row r="139" spans="5:5" x14ac:dyDescent="0.25">
      <c r="E139" s="57"/>
    </row>
    <row r="140" spans="5:5" x14ac:dyDescent="0.25">
      <c r="E140" s="57"/>
    </row>
    <row r="141" spans="5:5" x14ac:dyDescent="0.25">
      <c r="E141" s="57"/>
    </row>
    <row r="142" spans="5:5" x14ac:dyDescent="0.25">
      <c r="E142" s="57"/>
    </row>
    <row r="143" spans="5:5" x14ac:dyDescent="0.25">
      <c r="E143" s="57"/>
    </row>
    <row r="144" spans="5:5" x14ac:dyDescent="0.25">
      <c r="E144" s="57"/>
    </row>
    <row r="145" spans="5:5" x14ac:dyDescent="0.25">
      <c r="E145" s="57"/>
    </row>
    <row r="146" spans="5:5" x14ac:dyDescent="0.25">
      <c r="E146" s="57"/>
    </row>
    <row r="147" spans="5:5" x14ac:dyDescent="0.25">
      <c r="E147" s="57"/>
    </row>
    <row r="148" spans="5:5" x14ac:dyDescent="0.25">
      <c r="E148" s="57"/>
    </row>
    <row r="149" spans="5:5" x14ac:dyDescent="0.25">
      <c r="E149" s="57"/>
    </row>
    <row r="150" spans="5:5" x14ac:dyDescent="0.25">
      <c r="E150" s="57"/>
    </row>
    <row r="151" spans="5:5" x14ac:dyDescent="0.25">
      <c r="E151" s="57"/>
    </row>
    <row r="152" spans="5:5" x14ac:dyDescent="0.25">
      <c r="E152" s="57"/>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E214"/>
  <sheetViews>
    <sheetView showGridLines="0" zoomScale="86" zoomScaleNormal="86" zoomScaleSheetLayoutView="85" workbookViewId="0"/>
  </sheetViews>
  <sheetFormatPr baseColWidth="10" defaultColWidth="11.44140625" defaultRowHeight="14.4" x14ac:dyDescent="0.3"/>
  <cols>
    <col min="1" max="1" width="6.77734375" style="9" customWidth="1"/>
    <col min="2" max="2" width="66.44140625" style="3" customWidth="1"/>
    <col min="3" max="3" width="18.5546875" style="3" customWidth="1"/>
    <col min="4" max="4" width="17.44140625" style="149" bestFit="1" customWidth="1"/>
    <col min="5" max="5" width="11.44140625" style="149"/>
    <col min="6" max="16384" width="11.44140625" style="3"/>
  </cols>
  <sheetData>
    <row r="1" spans="1:5" ht="15" x14ac:dyDescent="0.3">
      <c r="A1" s="1" t="s">
        <v>216</v>
      </c>
      <c r="B1" s="133"/>
      <c r="C1" s="9"/>
      <c r="D1" s="3"/>
      <c r="E1" s="3"/>
    </row>
    <row r="2" spans="1:5" ht="15" x14ac:dyDescent="0.3">
      <c r="A2" s="1"/>
      <c r="B2" s="4" t="s">
        <v>693</v>
      </c>
      <c r="C2" s="134"/>
      <c r="D2" s="3"/>
      <c r="E2" s="3"/>
    </row>
    <row r="3" spans="1:5" ht="15" x14ac:dyDescent="0.3">
      <c r="A3" s="133"/>
      <c r="B3" s="4" t="s">
        <v>299</v>
      </c>
      <c r="C3" s="9"/>
      <c r="D3" s="3"/>
      <c r="E3" s="3"/>
    </row>
    <row r="4" spans="1:5" s="138" customFormat="1" ht="11.4" x14ac:dyDescent="0.2">
      <c r="A4" s="135"/>
      <c r="B4" s="136"/>
      <c r="C4" s="137"/>
    </row>
    <row r="5" spans="1:5" s="138" customFormat="1" ht="11.4" x14ac:dyDescent="0.2">
      <c r="A5" s="135"/>
      <c r="B5" s="135"/>
      <c r="C5" s="135"/>
    </row>
    <row r="6" spans="1:5" ht="18" x14ac:dyDescent="0.3">
      <c r="B6" s="1305" t="s">
        <v>643</v>
      </c>
      <c r="C6" s="1305"/>
      <c r="D6" s="3"/>
      <c r="E6" s="3"/>
    </row>
    <row r="7" spans="1:5" ht="16.2" x14ac:dyDescent="0.3">
      <c r="B7" s="1306" t="s">
        <v>613</v>
      </c>
      <c r="C7" s="1306"/>
      <c r="D7" s="3"/>
      <c r="E7" s="3"/>
    </row>
    <row r="8" spans="1:5" s="138" customFormat="1" ht="11.4" x14ac:dyDescent="0.2">
      <c r="A8" s="135"/>
      <c r="B8" s="135"/>
      <c r="C8" s="135"/>
    </row>
    <row r="9" spans="1:5" s="138" customFormat="1" ht="11.4" x14ac:dyDescent="0.2">
      <c r="A9" s="135"/>
      <c r="B9" s="137"/>
      <c r="C9" s="137"/>
    </row>
    <row r="10" spans="1:5" ht="15" thickBot="1" x14ac:dyDescent="0.35">
      <c r="B10" s="59" t="s">
        <v>858</v>
      </c>
      <c r="C10" s="9"/>
      <c r="D10" s="3"/>
      <c r="E10" s="3"/>
    </row>
    <row r="11" spans="1:5" ht="16.2" thickTop="1" thickBot="1" x14ac:dyDescent="0.35">
      <c r="B11" s="69"/>
      <c r="C11" s="70" t="s">
        <v>269</v>
      </c>
      <c r="D11" s="3"/>
      <c r="E11" s="3"/>
    </row>
    <row r="12" spans="1:5" ht="15" thickTop="1" x14ac:dyDescent="0.3">
      <c r="B12" s="16"/>
      <c r="C12" s="139"/>
      <c r="D12" s="3"/>
      <c r="E12" s="3"/>
    </row>
    <row r="13" spans="1:5" ht="16.2" x14ac:dyDescent="0.3">
      <c r="B13" s="13" t="s">
        <v>624</v>
      </c>
      <c r="C13" s="79">
        <f>+C16+C46</f>
        <v>363232609.17977554</v>
      </c>
      <c r="D13" s="15"/>
      <c r="E13" s="15"/>
    </row>
    <row r="14" spans="1:5" ht="15" thickBot="1" x14ac:dyDescent="0.35">
      <c r="B14" s="35"/>
      <c r="C14" s="140"/>
      <c r="D14" s="3"/>
      <c r="E14" s="63"/>
    </row>
    <row r="15" spans="1:5" ht="15" thickTop="1" x14ac:dyDescent="0.3">
      <c r="B15" s="26"/>
      <c r="C15" s="141"/>
      <c r="D15" s="3"/>
      <c r="E15" s="63"/>
    </row>
    <row r="16" spans="1:5" ht="16.2" x14ac:dyDescent="0.3">
      <c r="A16" s="3"/>
      <c r="B16" s="13" t="s">
        <v>340</v>
      </c>
      <c r="C16" s="83">
        <f>+C18+C29+C35+C40</f>
        <v>352873556.46395522</v>
      </c>
      <c r="D16" s="15"/>
      <c r="E16" s="3"/>
    </row>
    <row r="17" spans="1:5" x14ac:dyDescent="0.3">
      <c r="A17" s="3"/>
      <c r="B17" s="26"/>
      <c r="C17" s="142"/>
      <c r="D17" s="15"/>
      <c r="E17" s="3"/>
    </row>
    <row r="18" spans="1:5" ht="15" x14ac:dyDescent="0.3">
      <c r="A18" s="3"/>
      <c r="B18" s="143" t="s">
        <v>87</v>
      </c>
      <c r="C18" s="144">
        <f>SUM(C20:C27)</f>
        <v>315529754.7258516</v>
      </c>
      <c r="D18" s="15"/>
      <c r="E18" s="3"/>
    </row>
    <row r="19" spans="1:5" x14ac:dyDescent="0.3">
      <c r="A19" s="3"/>
      <c r="B19" s="26"/>
      <c r="C19" s="145"/>
      <c r="D19" s="15"/>
      <c r="E19" s="3"/>
    </row>
    <row r="20" spans="1:5" x14ac:dyDescent="0.3">
      <c r="A20" s="3"/>
      <c r="B20" s="22" t="s">
        <v>88</v>
      </c>
      <c r="C20" s="99">
        <v>230369009.20414138</v>
      </c>
      <c r="D20" s="15"/>
      <c r="E20" s="3"/>
    </row>
    <row r="21" spans="1:5" x14ac:dyDescent="0.3">
      <c r="A21" s="3"/>
      <c r="B21" s="22" t="s">
        <v>500</v>
      </c>
      <c r="C21" s="99">
        <v>751015.36872733664</v>
      </c>
      <c r="D21" s="15"/>
      <c r="E21" s="3"/>
    </row>
    <row r="22" spans="1:5" x14ac:dyDescent="0.3">
      <c r="A22" s="3"/>
      <c r="B22" s="22" t="s">
        <v>89</v>
      </c>
      <c r="C22" s="99">
        <v>66162457.578610614</v>
      </c>
      <c r="D22" s="15"/>
      <c r="E22" s="3"/>
    </row>
    <row r="23" spans="1:5" x14ac:dyDescent="0.3">
      <c r="A23" s="3"/>
      <c r="B23" s="22" t="s">
        <v>90</v>
      </c>
      <c r="C23" s="99">
        <v>4603546.0733754784</v>
      </c>
      <c r="D23" s="15"/>
      <c r="E23" s="3"/>
    </row>
    <row r="24" spans="1:5" x14ac:dyDescent="0.3">
      <c r="A24" s="3"/>
      <c r="B24" s="22" t="s">
        <v>91</v>
      </c>
      <c r="C24" s="99">
        <v>2378789.9584164154</v>
      </c>
      <c r="D24" s="15"/>
      <c r="E24" s="3"/>
    </row>
    <row r="25" spans="1:5" x14ac:dyDescent="0.3">
      <c r="A25" s="3"/>
      <c r="B25" s="22" t="s">
        <v>92</v>
      </c>
      <c r="C25" s="99">
        <v>7863746.9586374694</v>
      </c>
      <c r="D25" s="15"/>
      <c r="E25" s="3"/>
    </row>
    <row r="26" spans="1:5" x14ac:dyDescent="0.3">
      <c r="A26" s="3"/>
      <c r="B26" s="22" t="s">
        <v>93</v>
      </c>
      <c r="C26" s="99">
        <v>3022590.0279982612</v>
      </c>
      <c r="D26" s="15"/>
      <c r="E26" s="3"/>
    </row>
    <row r="27" spans="1:5" x14ac:dyDescent="0.3">
      <c r="A27" s="3"/>
      <c r="B27" s="22" t="s">
        <v>83</v>
      </c>
      <c r="C27" s="99">
        <v>378599.55594466877</v>
      </c>
      <c r="D27" s="15"/>
      <c r="E27" s="3"/>
    </row>
    <row r="28" spans="1:5" x14ac:dyDescent="0.3">
      <c r="A28" s="3"/>
      <c r="B28" s="26"/>
      <c r="C28" s="146"/>
      <c r="D28" s="15"/>
      <c r="E28" s="3"/>
    </row>
    <row r="29" spans="1:5" ht="15" x14ac:dyDescent="0.3">
      <c r="A29" s="3"/>
      <c r="B29" s="143" t="s">
        <v>854</v>
      </c>
      <c r="C29" s="147">
        <f>SUM(C31:C33)</f>
        <v>34799936.708550841</v>
      </c>
      <c r="D29" s="15"/>
      <c r="E29" s="3"/>
    </row>
    <row r="30" spans="1:5" x14ac:dyDescent="0.3">
      <c r="A30" s="3"/>
      <c r="B30" s="148"/>
      <c r="C30" s="145"/>
      <c r="D30" s="15"/>
      <c r="E30" s="3"/>
    </row>
    <row r="31" spans="1:5" x14ac:dyDescent="0.3">
      <c r="A31" s="3"/>
      <c r="B31" s="22" t="s">
        <v>92</v>
      </c>
      <c r="C31" s="99">
        <v>13285151.764369829</v>
      </c>
      <c r="D31" s="15"/>
      <c r="E31" s="3"/>
    </row>
    <row r="32" spans="1:5" x14ac:dyDescent="0.3">
      <c r="B32" s="22" t="s">
        <v>93</v>
      </c>
      <c r="C32" s="99">
        <v>20687534.335908502</v>
      </c>
      <c r="D32" s="15"/>
    </row>
    <row r="33" spans="1:5" x14ac:dyDescent="0.3">
      <c r="B33" s="22" t="s">
        <v>83</v>
      </c>
      <c r="C33" s="99">
        <v>827250.60827250604</v>
      </c>
      <c r="D33" s="15"/>
    </row>
    <row r="34" spans="1:5" x14ac:dyDescent="0.3">
      <c r="B34" s="26"/>
      <c r="C34" s="116"/>
      <c r="D34" s="15"/>
    </row>
    <row r="35" spans="1:5" ht="15" x14ac:dyDescent="0.3">
      <c r="A35" s="3"/>
      <c r="B35" s="143" t="s">
        <v>705</v>
      </c>
      <c r="C35" s="147">
        <f>+C37+C38</f>
        <v>104561.85965651557</v>
      </c>
      <c r="D35" s="15"/>
      <c r="E35" s="3"/>
    </row>
    <row r="36" spans="1:5" x14ac:dyDescent="0.3">
      <c r="A36" s="3"/>
      <c r="B36" s="148"/>
      <c r="C36" s="145"/>
      <c r="D36" s="15"/>
      <c r="E36" s="3"/>
    </row>
    <row r="37" spans="1:5" x14ac:dyDescent="0.3">
      <c r="A37" s="3"/>
      <c r="B37" s="22" t="s">
        <v>373</v>
      </c>
      <c r="C37" s="150">
        <v>96201.23588999483</v>
      </c>
      <c r="D37" s="15"/>
      <c r="E37" s="3"/>
    </row>
    <row r="38" spans="1:5" x14ac:dyDescent="0.3">
      <c r="A38" s="3"/>
      <c r="B38" s="22" t="s">
        <v>706</v>
      </c>
      <c r="C38" s="119">
        <v>8360.6237665207482</v>
      </c>
      <c r="D38" s="15"/>
      <c r="E38" s="3"/>
    </row>
    <row r="39" spans="1:5" x14ac:dyDescent="0.3">
      <c r="A39" s="3"/>
      <c r="B39" s="151"/>
      <c r="C39" s="146"/>
      <c r="D39" s="15"/>
      <c r="E39" s="3"/>
    </row>
    <row r="40" spans="1:5" ht="15" x14ac:dyDescent="0.3">
      <c r="A40" s="3"/>
      <c r="B40" s="143" t="s">
        <v>707</v>
      </c>
      <c r="C40" s="147">
        <f>+C42+C43+C44</f>
        <v>2439303.1698962622</v>
      </c>
      <c r="D40" s="15"/>
      <c r="E40" s="3"/>
    </row>
    <row r="41" spans="1:5" x14ac:dyDescent="0.3">
      <c r="A41" s="3"/>
      <c r="B41" s="148"/>
      <c r="C41" s="145"/>
      <c r="D41" s="15"/>
      <c r="E41" s="3"/>
    </row>
    <row r="42" spans="1:5" x14ac:dyDescent="0.3">
      <c r="A42" s="3"/>
      <c r="B42" s="22" t="s">
        <v>373</v>
      </c>
      <c r="C42" s="99">
        <v>1059021.0425543317</v>
      </c>
      <c r="D42" s="15"/>
      <c r="E42" s="3"/>
    </row>
    <row r="43" spans="1:5" x14ac:dyDescent="0.3">
      <c r="A43" s="3"/>
      <c r="B43" s="22" t="s">
        <v>503</v>
      </c>
      <c r="C43" s="99">
        <v>865683.3229451112</v>
      </c>
      <c r="D43" s="15"/>
      <c r="E43" s="3"/>
    </row>
    <row r="44" spans="1:5" x14ac:dyDescent="0.3">
      <c r="A44" s="3"/>
      <c r="B44" s="22" t="s">
        <v>708</v>
      </c>
      <c r="C44" s="99">
        <v>514598.80439681938</v>
      </c>
      <c r="D44" s="15"/>
      <c r="E44" s="3"/>
    </row>
    <row r="45" spans="1:5" x14ac:dyDescent="0.3">
      <c r="A45" s="3"/>
      <c r="B45" s="151"/>
      <c r="C45" s="146"/>
      <c r="D45" s="15"/>
      <c r="E45" s="3"/>
    </row>
    <row r="46" spans="1:5" ht="16.2" x14ac:dyDescent="0.3">
      <c r="A46" s="3"/>
      <c r="B46" s="78" t="s">
        <v>341</v>
      </c>
      <c r="C46" s="152">
        <f>SUM(C48:C51)</f>
        <v>10359052.715820298</v>
      </c>
      <c r="D46" s="15"/>
      <c r="E46" s="3"/>
    </row>
    <row r="47" spans="1:5" ht="16.2" x14ac:dyDescent="0.3">
      <c r="A47" s="3"/>
      <c r="B47" s="153"/>
      <c r="C47" s="154"/>
      <c r="D47" s="15"/>
      <c r="E47" s="3"/>
    </row>
    <row r="48" spans="1:5" x14ac:dyDescent="0.3">
      <c r="A48" s="3"/>
      <c r="B48" s="22" t="s">
        <v>344</v>
      </c>
      <c r="C48" s="99">
        <v>1788165.7163977486</v>
      </c>
      <c r="D48" s="15"/>
      <c r="E48" s="3"/>
    </row>
    <row r="49" spans="1:5" x14ac:dyDescent="0.3">
      <c r="A49" s="3"/>
      <c r="B49" s="22" t="s">
        <v>501</v>
      </c>
      <c r="C49" s="99">
        <v>2160493.4494225499</v>
      </c>
      <c r="D49" s="15"/>
      <c r="E49" s="3"/>
    </row>
    <row r="50" spans="1:5" x14ac:dyDescent="0.3">
      <c r="A50" s="3"/>
      <c r="B50" s="22" t="s">
        <v>590</v>
      </c>
      <c r="C50" s="99">
        <v>6410393.5499999998</v>
      </c>
      <c r="D50" s="15"/>
      <c r="E50" s="3"/>
    </row>
    <row r="51" spans="1:5" ht="15" thickBot="1" x14ac:dyDescent="0.35">
      <c r="A51" s="3"/>
      <c r="B51" s="155"/>
      <c r="C51" s="156"/>
      <c r="D51" s="157"/>
    </row>
    <row r="52" spans="1:5" ht="15" thickTop="1" x14ac:dyDescent="0.3">
      <c r="A52" s="3"/>
      <c r="B52" s="158"/>
      <c r="C52" s="159"/>
      <c r="D52" s="3"/>
    </row>
    <row r="53" spans="1:5" x14ac:dyDescent="0.3">
      <c r="A53" s="3"/>
      <c r="B53" s="160" t="s">
        <v>587</v>
      </c>
      <c r="C53" s="161"/>
      <c r="D53" s="3"/>
    </row>
    <row r="54" spans="1:5" x14ac:dyDescent="0.3">
      <c r="A54" s="3"/>
      <c r="B54" s="1304" t="s">
        <v>709</v>
      </c>
      <c r="C54" s="1304"/>
      <c r="D54" s="1304"/>
    </row>
    <row r="55" spans="1:5" x14ac:dyDescent="0.3">
      <c r="A55" s="3"/>
      <c r="B55" s="131" t="s">
        <v>710</v>
      </c>
      <c r="C55" s="131"/>
      <c r="D55" s="3"/>
    </row>
    <row r="56" spans="1:5" ht="25.05" customHeight="1" x14ac:dyDescent="0.3">
      <c r="A56" s="3"/>
      <c r="B56" s="1308" t="s">
        <v>703</v>
      </c>
      <c r="C56" s="1308"/>
      <c r="D56" s="3"/>
    </row>
    <row r="57" spans="1:5" s="9" customFormat="1" ht="26.55" customHeight="1" x14ac:dyDescent="0.3">
      <c r="B57" s="1309" t="s">
        <v>704</v>
      </c>
      <c r="C57" s="1309"/>
      <c r="D57" s="3"/>
      <c r="E57" s="149"/>
    </row>
    <row r="58" spans="1:5" s="9" customFormat="1" x14ac:dyDescent="0.3">
      <c r="B58" s="162"/>
      <c r="C58" s="162"/>
      <c r="D58" s="3"/>
      <c r="E58" s="149"/>
    </row>
    <row r="59" spans="1:5" s="9" customFormat="1" x14ac:dyDescent="0.3">
      <c r="B59" s="1307"/>
      <c r="C59" s="1307"/>
      <c r="D59" s="3"/>
      <c r="E59" s="149"/>
    </row>
    <row r="60" spans="1:5" s="9" customFormat="1" x14ac:dyDescent="0.3">
      <c r="B60" s="1307"/>
      <c r="C60" s="1307"/>
      <c r="D60" s="3"/>
      <c r="E60" s="149"/>
    </row>
    <row r="61" spans="1:5" s="9" customFormat="1" x14ac:dyDescent="0.3">
      <c r="D61" s="3"/>
      <c r="E61" s="149"/>
    </row>
    <row r="62" spans="1:5" s="9" customFormat="1" x14ac:dyDescent="0.3">
      <c r="C62" s="10"/>
      <c r="D62" s="3"/>
      <c r="E62" s="149"/>
    </row>
    <row r="63" spans="1:5" s="9" customFormat="1" x14ac:dyDescent="0.3">
      <c r="C63" s="10"/>
      <c r="D63" s="3"/>
      <c r="E63" s="149"/>
    </row>
    <row r="64" spans="1:5" s="9" customFormat="1" x14ac:dyDescent="0.3">
      <c r="D64" s="3"/>
      <c r="E64" s="149"/>
    </row>
    <row r="65" spans="4:5" s="9" customFormat="1" x14ac:dyDescent="0.3">
      <c r="D65" s="3"/>
      <c r="E65" s="149"/>
    </row>
    <row r="66" spans="4:5" s="9" customFormat="1" x14ac:dyDescent="0.3">
      <c r="D66" s="3"/>
      <c r="E66" s="149"/>
    </row>
    <row r="67" spans="4:5" s="9" customFormat="1" x14ac:dyDescent="0.3">
      <c r="D67" s="3"/>
      <c r="E67" s="149"/>
    </row>
    <row r="68" spans="4:5" s="9" customFormat="1" x14ac:dyDescent="0.3">
      <c r="D68" s="3"/>
      <c r="E68" s="149"/>
    </row>
    <row r="69" spans="4:5" s="9" customFormat="1" x14ac:dyDescent="0.3">
      <c r="D69" s="3"/>
      <c r="E69" s="149"/>
    </row>
    <row r="70" spans="4:5" s="9" customFormat="1" x14ac:dyDescent="0.3">
      <c r="D70" s="3"/>
      <c r="E70" s="149"/>
    </row>
    <row r="71" spans="4:5" s="9" customFormat="1" x14ac:dyDescent="0.3">
      <c r="D71" s="3"/>
      <c r="E71" s="149"/>
    </row>
    <row r="72" spans="4:5" s="9" customFormat="1" x14ac:dyDescent="0.3">
      <c r="D72" s="3"/>
      <c r="E72" s="149"/>
    </row>
    <row r="73" spans="4:5" s="9" customFormat="1" x14ac:dyDescent="0.3">
      <c r="D73" s="3"/>
      <c r="E73" s="149"/>
    </row>
    <row r="74" spans="4:5" s="9" customFormat="1" x14ac:dyDescent="0.3">
      <c r="D74" s="3"/>
      <c r="E74" s="149"/>
    </row>
    <row r="75" spans="4:5" s="9" customFormat="1" x14ac:dyDescent="0.3">
      <c r="D75" s="3"/>
      <c r="E75" s="149"/>
    </row>
    <row r="76" spans="4:5" s="9" customFormat="1" x14ac:dyDescent="0.3">
      <c r="D76" s="3"/>
      <c r="E76" s="149"/>
    </row>
    <row r="77" spans="4:5" s="9" customFormat="1" x14ac:dyDescent="0.3">
      <c r="D77" s="3"/>
      <c r="E77" s="149"/>
    </row>
    <row r="78" spans="4:5" s="9" customFormat="1" x14ac:dyDescent="0.3">
      <c r="D78" s="3"/>
      <c r="E78" s="149"/>
    </row>
    <row r="79" spans="4:5" s="9" customFormat="1" x14ac:dyDescent="0.3">
      <c r="D79" s="149"/>
      <c r="E79" s="149"/>
    </row>
    <row r="80" spans="4:5" s="9" customFormat="1" x14ac:dyDescent="0.3">
      <c r="D80" s="149"/>
      <c r="E80" s="149"/>
    </row>
    <row r="81" spans="4:5" s="9" customFormat="1" x14ac:dyDescent="0.3">
      <c r="D81" s="149"/>
      <c r="E81" s="149"/>
    </row>
    <row r="82" spans="4:5" s="9" customFormat="1" x14ac:dyDescent="0.3">
      <c r="D82" s="149"/>
      <c r="E82" s="149"/>
    </row>
    <row r="83" spans="4:5" s="9" customFormat="1" x14ac:dyDescent="0.3">
      <c r="D83" s="149"/>
      <c r="E83" s="149"/>
    </row>
    <row r="84" spans="4:5" s="9" customFormat="1" x14ac:dyDescent="0.3">
      <c r="D84" s="149"/>
      <c r="E84" s="149"/>
    </row>
    <row r="85" spans="4:5" s="9" customFormat="1" x14ac:dyDescent="0.3">
      <c r="D85" s="149"/>
      <c r="E85" s="149"/>
    </row>
    <row r="86" spans="4:5" s="9" customFormat="1" x14ac:dyDescent="0.3">
      <c r="D86" s="149"/>
      <c r="E86" s="149"/>
    </row>
    <row r="87" spans="4:5" s="9" customFormat="1" x14ac:dyDescent="0.3">
      <c r="D87" s="149"/>
      <c r="E87" s="149"/>
    </row>
    <row r="88" spans="4:5" s="9" customFormat="1" x14ac:dyDescent="0.3">
      <c r="D88" s="149"/>
      <c r="E88" s="149"/>
    </row>
    <row r="89" spans="4:5" s="9" customFormat="1" x14ac:dyDescent="0.3">
      <c r="D89" s="149"/>
      <c r="E89" s="149"/>
    </row>
    <row r="90" spans="4:5" s="9" customFormat="1" x14ac:dyDescent="0.3">
      <c r="D90" s="149"/>
      <c r="E90" s="149"/>
    </row>
    <row r="91" spans="4:5" s="9" customFormat="1" x14ac:dyDescent="0.3">
      <c r="D91" s="149"/>
      <c r="E91" s="149"/>
    </row>
    <row r="92" spans="4:5" s="9" customFormat="1" x14ac:dyDescent="0.3">
      <c r="D92" s="149"/>
      <c r="E92" s="149"/>
    </row>
    <row r="93" spans="4:5" s="9" customFormat="1" x14ac:dyDescent="0.3">
      <c r="D93" s="149"/>
      <c r="E93" s="149"/>
    </row>
    <row r="94" spans="4:5" s="9" customFormat="1" x14ac:dyDescent="0.3">
      <c r="D94" s="149"/>
      <c r="E94" s="149"/>
    </row>
    <row r="95" spans="4:5" s="9" customFormat="1" x14ac:dyDescent="0.3">
      <c r="D95" s="149"/>
      <c r="E95" s="149"/>
    </row>
    <row r="96" spans="4:5" s="9" customFormat="1" x14ac:dyDescent="0.3">
      <c r="D96" s="149"/>
      <c r="E96" s="149"/>
    </row>
    <row r="97" spans="4:5" s="9" customFormat="1" x14ac:dyDescent="0.3">
      <c r="D97" s="149"/>
      <c r="E97" s="149"/>
    </row>
    <row r="98" spans="4:5" s="9" customFormat="1" x14ac:dyDescent="0.3">
      <c r="D98" s="149"/>
      <c r="E98" s="149"/>
    </row>
    <row r="99" spans="4:5" s="9" customFormat="1" x14ac:dyDescent="0.3">
      <c r="D99" s="149"/>
      <c r="E99" s="149"/>
    </row>
    <row r="100" spans="4:5" s="9" customFormat="1" x14ac:dyDescent="0.3">
      <c r="D100" s="149"/>
      <c r="E100" s="149"/>
    </row>
    <row r="101" spans="4:5" s="9" customFormat="1" x14ac:dyDescent="0.3">
      <c r="D101" s="149"/>
      <c r="E101" s="149"/>
    </row>
    <row r="102" spans="4:5" s="9" customFormat="1" x14ac:dyDescent="0.3">
      <c r="D102" s="149"/>
      <c r="E102" s="149"/>
    </row>
    <row r="103" spans="4:5" s="9" customFormat="1" x14ac:dyDescent="0.3">
      <c r="D103" s="149"/>
      <c r="E103" s="149"/>
    </row>
    <row r="104" spans="4:5" s="9" customFormat="1" x14ac:dyDescent="0.3">
      <c r="D104" s="149"/>
      <c r="E104" s="149"/>
    </row>
    <row r="105" spans="4:5" s="9" customFormat="1" x14ac:dyDescent="0.3">
      <c r="D105" s="149"/>
      <c r="E105" s="149"/>
    </row>
    <row r="106" spans="4:5" s="9" customFormat="1" x14ac:dyDescent="0.3">
      <c r="D106" s="149"/>
      <c r="E106" s="149"/>
    </row>
    <row r="107" spans="4:5" s="9" customFormat="1" x14ac:dyDescent="0.3">
      <c r="D107" s="149"/>
      <c r="E107" s="149"/>
    </row>
    <row r="108" spans="4:5" s="9" customFormat="1" x14ac:dyDescent="0.3">
      <c r="D108" s="149"/>
      <c r="E108" s="149"/>
    </row>
    <row r="109" spans="4:5" s="9" customFormat="1" x14ac:dyDescent="0.3">
      <c r="D109" s="149"/>
      <c r="E109" s="149"/>
    </row>
    <row r="110" spans="4:5" s="9" customFormat="1" x14ac:dyDescent="0.3">
      <c r="D110" s="149"/>
      <c r="E110" s="149"/>
    </row>
    <row r="111" spans="4:5" s="9" customFormat="1" x14ac:dyDescent="0.3">
      <c r="D111" s="149"/>
      <c r="E111" s="149"/>
    </row>
    <row r="112" spans="4:5" s="9" customFormat="1" x14ac:dyDescent="0.3">
      <c r="D112" s="149"/>
      <c r="E112" s="149"/>
    </row>
    <row r="113" spans="4:5" s="9" customFormat="1" x14ac:dyDescent="0.3">
      <c r="D113" s="149"/>
      <c r="E113" s="149"/>
    </row>
    <row r="114" spans="4:5" s="9" customFormat="1" x14ac:dyDescent="0.3">
      <c r="D114" s="149"/>
      <c r="E114" s="149"/>
    </row>
    <row r="115" spans="4:5" s="9" customFormat="1" x14ac:dyDescent="0.3">
      <c r="D115" s="149"/>
      <c r="E115" s="149"/>
    </row>
    <row r="116" spans="4:5" s="9" customFormat="1" x14ac:dyDescent="0.3">
      <c r="D116" s="149"/>
      <c r="E116" s="149"/>
    </row>
    <row r="117" spans="4:5" s="9" customFormat="1" x14ac:dyDescent="0.3">
      <c r="D117" s="149"/>
      <c r="E117" s="149"/>
    </row>
    <row r="118" spans="4:5" s="9" customFormat="1" x14ac:dyDescent="0.3">
      <c r="D118" s="149"/>
      <c r="E118" s="149"/>
    </row>
    <row r="119" spans="4:5" s="9" customFormat="1" x14ac:dyDescent="0.3">
      <c r="D119" s="149"/>
      <c r="E119" s="149"/>
    </row>
    <row r="120" spans="4:5" s="9" customFormat="1" x14ac:dyDescent="0.3">
      <c r="D120" s="149"/>
      <c r="E120" s="149"/>
    </row>
    <row r="121" spans="4:5" s="9" customFormat="1" x14ac:dyDescent="0.3">
      <c r="D121" s="149"/>
      <c r="E121" s="149"/>
    </row>
    <row r="122" spans="4:5" s="9" customFormat="1" x14ac:dyDescent="0.3">
      <c r="D122" s="149"/>
      <c r="E122" s="149"/>
    </row>
    <row r="123" spans="4:5" s="9" customFormat="1" x14ac:dyDescent="0.3">
      <c r="D123" s="149"/>
      <c r="E123" s="149"/>
    </row>
    <row r="124" spans="4:5" s="9" customFormat="1" x14ac:dyDescent="0.3">
      <c r="D124" s="149"/>
      <c r="E124" s="149"/>
    </row>
    <row r="125" spans="4:5" s="9" customFormat="1" x14ac:dyDescent="0.3">
      <c r="D125" s="149"/>
      <c r="E125" s="149"/>
    </row>
    <row r="126" spans="4:5" s="9" customFormat="1" x14ac:dyDescent="0.3">
      <c r="D126" s="149"/>
      <c r="E126" s="149"/>
    </row>
    <row r="127" spans="4:5" s="9" customFormat="1" x14ac:dyDescent="0.3">
      <c r="D127" s="149"/>
      <c r="E127" s="149"/>
    </row>
    <row r="128" spans="4:5" s="9" customFormat="1" x14ac:dyDescent="0.3">
      <c r="D128" s="149"/>
      <c r="E128" s="149"/>
    </row>
    <row r="129" spans="4:5" s="9" customFormat="1" x14ac:dyDescent="0.3">
      <c r="D129" s="149"/>
      <c r="E129" s="149"/>
    </row>
    <row r="130" spans="4:5" s="9" customFormat="1" x14ac:dyDescent="0.3">
      <c r="D130" s="149"/>
      <c r="E130" s="149"/>
    </row>
    <row r="131" spans="4:5" s="9" customFormat="1" x14ac:dyDescent="0.3">
      <c r="D131" s="149"/>
      <c r="E131" s="149"/>
    </row>
    <row r="132" spans="4:5" s="9" customFormat="1" x14ac:dyDescent="0.3">
      <c r="D132" s="149"/>
      <c r="E132" s="149"/>
    </row>
    <row r="133" spans="4:5" s="9" customFormat="1" x14ac:dyDescent="0.3">
      <c r="D133" s="149"/>
      <c r="E133" s="149"/>
    </row>
    <row r="134" spans="4:5" s="9" customFormat="1" x14ac:dyDescent="0.3">
      <c r="D134" s="149"/>
      <c r="E134" s="149"/>
    </row>
    <row r="135" spans="4:5" s="9" customFormat="1" x14ac:dyDescent="0.3">
      <c r="D135" s="149"/>
      <c r="E135" s="149"/>
    </row>
    <row r="136" spans="4:5" s="9" customFormat="1" x14ac:dyDescent="0.3">
      <c r="D136" s="149"/>
      <c r="E136" s="149"/>
    </row>
    <row r="137" spans="4:5" s="9" customFormat="1" x14ac:dyDescent="0.3">
      <c r="D137" s="149"/>
      <c r="E137" s="149"/>
    </row>
    <row r="138" spans="4:5" s="9" customFormat="1" x14ac:dyDescent="0.3">
      <c r="D138" s="149"/>
      <c r="E138" s="149"/>
    </row>
    <row r="139" spans="4:5" s="9" customFormat="1" x14ac:dyDescent="0.3">
      <c r="D139" s="149"/>
      <c r="E139" s="149"/>
    </row>
    <row r="140" spans="4:5" s="9" customFormat="1" x14ac:dyDescent="0.3">
      <c r="D140" s="149"/>
      <c r="E140" s="149"/>
    </row>
    <row r="141" spans="4:5" s="9" customFormat="1" x14ac:dyDescent="0.3">
      <c r="D141" s="149"/>
      <c r="E141" s="149"/>
    </row>
    <row r="142" spans="4:5" s="9" customFormat="1" x14ac:dyDescent="0.3">
      <c r="D142" s="149"/>
      <c r="E142" s="149"/>
    </row>
    <row r="143" spans="4:5" s="9" customFormat="1" x14ac:dyDescent="0.3">
      <c r="D143" s="149"/>
      <c r="E143" s="149"/>
    </row>
    <row r="144" spans="4:5" s="9" customFormat="1" x14ac:dyDescent="0.3">
      <c r="D144" s="149"/>
      <c r="E144" s="149"/>
    </row>
    <row r="145" spans="4:5" s="9" customFormat="1" x14ac:dyDescent="0.3">
      <c r="D145" s="149"/>
      <c r="E145" s="149"/>
    </row>
    <row r="146" spans="4:5" s="9" customFormat="1" x14ac:dyDescent="0.3">
      <c r="D146" s="149"/>
      <c r="E146" s="149"/>
    </row>
    <row r="147" spans="4:5" s="9" customFormat="1" x14ac:dyDescent="0.3">
      <c r="D147" s="149"/>
      <c r="E147" s="149"/>
    </row>
    <row r="148" spans="4:5" s="9" customFormat="1" x14ac:dyDescent="0.3">
      <c r="D148" s="149"/>
      <c r="E148" s="149"/>
    </row>
    <row r="149" spans="4:5" s="9" customFormat="1" x14ac:dyDescent="0.3">
      <c r="D149" s="149"/>
      <c r="E149" s="149"/>
    </row>
    <row r="150" spans="4:5" s="9" customFormat="1" x14ac:dyDescent="0.3">
      <c r="D150" s="149"/>
      <c r="E150" s="149"/>
    </row>
    <row r="151" spans="4:5" s="9" customFormat="1" x14ac:dyDescent="0.3">
      <c r="D151" s="149"/>
      <c r="E151" s="149"/>
    </row>
    <row r="152" spans="4:5" s="9" customFormat="1" x14ac:dyDescent="0.3">
      <c r="D152" s="149"/>
      <c r="E152" s="149"/>
    </row>
    <row r="153" spans="4:5" s="9" customFormat="1" x14ac:dyDescent="0.3">
      <c r="D153" s="149"/>
      <c r="E153" s="149"/>
    </row>
    <row r="154" spans="4:5" s="9" customFormat="1" x14ac:dyDescent="0.3">
      <c r="D154" s="149"/>
      <c r="E154" s="149"/>
    </row>
    <row r="155" spans="4:5" s="9" customFormat="1" x14ac:dyDescent="0.3">
      <c r="D155" s="149"/>
      <c r="E155" s="149"/>
    </row>
    <row r="156" spans="4:5" s="9" customFormat="1" x14ac:dyDescent="0.3">
      <c r="D156" s="149"/>
      <c r="E156" s="149"/>
    </row>
    <row r="157" spans="4:5" s="9" customFormat="1" x14ac:dyDescent="0.3">
      <c r="D157" s="149"/>
      <c r="E157" s="149"/>
    </row>
    <row r="158" spans="4:5" s="9" customFormat="1" x14ac:dyDescent="0.3">
      <c r="D158" s="149"/>
      <c r="E158" s="149"/>
    </row>
    <row r="159" spans="4:5" s="9" customFormat="1" x14ac:dyDescent="0.3">
      <c r="D159" s="149"/>
      <c r="E159" s="149"/>
    </row>
    <row r="160" spans="4:5" s="9" customFormat="1" x14ac:dyDescent="0.3">
      <c r="D160" s="149"/>
      <c r="E160" s="149"/>
    </row>
    <row r="161" spans="4:5" s="9" customFormat="1" x14ac:dyDescent="0.3">
      <c r="D161" s="149"/>
      <c r="E161" s="149"/>
    </row>
    <row r="162" spans="4:5" s="9" customFormat="1" x14ac:dyDescent="0.3">
      <c r="D162" s="149"/>
      <c r="E162" s="149"/>
    </row>
    <row r="163" spans="4:5" s="9" customFormat="1" x14ac:dyDescent="0.3">
      <c r="D163" s="149"/>
      <c r="E163" s="149"/>
    </row>
    <row r="164" spans="4:5" s="9" customFormat="1" x14ac:dyDescent="0.3">
      <c r="D164" s="149"/>
      <c r="E164" s="149"/>
    </row>
    <row r="165" spans="4:5" s="9" customFormat="1" x14ac:dyDescent="0.3">
      <c r="D165" s="149"/>
      <c r="E165" s="149"/>
    </row>
    <row r="166" spans="4:5" s="9" customFormat="1" x14ac:dyDescent="0.3">
      <c r="D166" s="149"/>
      <c r="E166" s="149"/>
    </row>
    <row r="167" spans="4:5" s="9" customFormat="1" x14ac:dyDescent="0.3">
      <c r="D167" s="149"/>
      <c r="E167" s="149"/>
    </row>
    <row r="168" spans="4:5" s="9" customFormat="1" x14ac:dyDescent="0.3">
      <c r="D168" s="149"/>
      <c r="E168" s="149"/>
    </row>
    <row r="169" spans="4:5" s="9" customFormat="1" x14ac:dyDescent="0.3">
      <c r="D169" s="149"/>
      <c r="E169" s="149"/>
    </row>
    <row r="170" spans="4:5" s="9" customFormat="1" x14ac:dyDescent="0.3">
      <c r="D170" s="149"/>
      <c r="E170" s="149"/>
    </row>
    <row r="171" spans="4:5" s="9" customFormat="1" x14ac:dyDescent="0.3">
      <c r="D171" s="149"/>
      <c r="E171" s="149"/>
    </row>
    <row r="172" spans="4:5" s="9" customFormat="1" x14ac:dyDescent="0.3">
      <c r="D172" s="149"/>
      <c r="E172" s="149"/>
    </row>
    <row r="173" spans="4:5" s="9" customFormat="1" x14ac:dyDescent="0.3">
      <c r="D173" s="149"/>
      <c r="E173" s="149"/>
    </row>
    <row r="174" spans="4:5" s="9" customFormat="1" x14ac:dyDescent="0.3">
      <c r="D174" s="149"/>
      <c r="E174" s="149"/>
    </row>
    <row r="175" spans="4:5" s="9" customFormat="1" x14ac:dyDescent="0.3">
      <c r="D175" s="149"/>
      <c r="E175" s="149"/>
    </row>
    <row r="176" spans="4:5" s="9" customFormat="1" x14ac:dyDescent="0.3">
      <c r="D176" s="149"/>
      <c r="E176" s="149"/>
    </row>
    <row r="177" spans="4:5" s="9" customFormat="1" x14ac:dyDescent="0.3">
      <c r="D177" s="149"/>
      <c r="E177" s="149"/>
    </row>
    <row r="178" spans="4:5" s="9" customFormat="1" x14ac:dyDescent="0.3">
      <c r="D178" s="149"/>
      <c r="E178" s="149"/>
    </row>
    <row r="179" spans="4:5" s="9" customFormat="1" x14ac:dyDescent="0.3">
      <c r="D179" s="149"/>
      <c r="E179" s="149"/>
    </row>
    <row r="180" spans="4:5" s="9" customFormat="1" x14ac:dyDescent="0.3">
      <c r="D180" s="149"/>
      <c r="E180" s="149"/>
    </row>
    <row r="181" spans="4:5" s="9" customFormat="1" x14ac:dyDescent="0.3">
      <c r="D181" s="149"/>
      <c r="E181" s="149"/>
    </row>
    <row r="182" spans="4:5" s="9" customFormat="1" x14ac:dyDescent="0.3">
      <c r="D182" s="149"/>
      <c r="E182" s="149"/>
    </row>
    <row r="183" spans="4:5" s="9" customFormat="1" x14ac:dyDescent="0.3">
      <c r="D183" s="149"/>
      <c r="E183" s="149"/>
    </row>
    <row r="184" spans="4:5" s="9" customFormat="1" x14ac:dyDescent="0.3">
      <c r="D184" s="149"/>
      <c r="E184" s="149"/>
    </row>
    <row r="185" spans="4:5" s="9" customFormat="1" x14ac:dyDescent="0.3">
      <c r="D185" s="149"/>
      <c r="E185" s="149"/>
    </row>
    <row r="186" spans="4:5" s="9" customFormat="1" x14ac:dyDescent="0.3">
      <c r="D186" s="149"/>
      <c r="E186" s="149"/>
    </row>
    <row r="187" spans="4:5" s="9" customFormat="1" x14ac:dyDescent="0.3">
      <c r="D187" s="149"/>
      <c r="E187" s="149"/>
    </row>
    <row r="188" spans="4:5" s="9" customFormat="1" x14ac:dyDescent="0.3">
      <c r="D188" s="149"/>
      <c r="E188" s="149"/>
    </row>
    <row r="189" spans="4:5" s="9" customFormat="1" x14ac:dyDescent="0.3">
      <c r="D189" s="149"/>
      <c r="E189" s="149"/>
    </row>
    <row r="190" spans="4:5" s="9" customFormat="1" x14ac:dyDescent="0.3">
      <c r="D190" s="149"/>
      <c r="E190" s="149"/>
    </row>
    <row r="191" spans="4:5" s="9" customFormat="1" x14ac:dyDescent="0.3">
      <c r="D191" s="149"/>
      <c r="E191" s="149"/>
    </row>
    <row r="192" spans="4:5" s="9" customFormat="1" x14ac:dyDescent="0.3">
      <c r="D192" s="149"/>
      <c r="E192" s="149"/>
    </row>
    <row r="193" spans="4:5" s="9" customFormat="1" x14ac:dyDescent="0.3">
      <c r="D193" s="149"/>
      <c r="E193" s="149"/>
    </row>
    <row r="194" spans="4:5" s="9" customFormat="1" x14ac:dyDescent="0.3">
      <c r="D194" s="149"/>
      <c r="E194" s="149"/>
    </row>
    <row r="195" spans="4:5" s="9" customFormat="1" x14ac:dyDescent="0.3">
      <c r="D195" s="149"/>
      <c r="E195" s="149"/>
    </row>
    <row r="196" spans="4:5" s="9" customFormat="1" x14ac:dyDescent="0.3">
      <c r="D196" s="149"/>
      <c r="E196" s="149"/>
    </row>
    <row r="197" spans="4:5" s="9" customFormat="1" x14ac:dyDescent="0.3">
      <c r="D197" s="149"/>
      <c r="E197" s="149"/>
    </row>
    <row r="198" spans="4:5" s="9" customFormat="1" x14ac:dyDescent="0.3">
      <c r="D198" s="149"/>
      <c r="E198" s="149"/>
    </row>
    <row r="199" spans="4:5" s="9" customFormat="1" x14ac:dyDescent="0.3">
      <c r="D199" s="149"/>
      <c r="E199" s="149"/>
    </row>
    <row r="200" spans="4:5" s="9" customFormat="1" x14ac:dyDescent="0.3">
      <c r="D200" s="149"/>
      <c r="E200" s="149"/>
    </row>
    <row r="201" spans="4:5" s="9" customFormat="1" x14ac:dyDescent="0.3">
      <c r="D201" s="149"/>
      <c r="E201" s="149"/>
    </row>
    <row r="202" spans="4:5" s="9" customFormat="1" x14ac:dyDescent="0.3">
      <c r="D202" s="149"/>
      <c r="E202" s="149"/>
    </row>
    <row r="203" spans="4:5" s="9" customFormat="1" x14ac:dyDescent="0.3">
      <c r="D203" s="149"/>
      <c r="E203" s="149"/>
    </row>
    <row r="204" spans="4:5" s="9" customFormat="1" x14ac:dyDescent="0.3">
      <c r="D204" s="149"/>
      <c r="E204" s="149"/>
    </row>
    <row r="205" spans="4:5" s="9" customFormat="1" x14ac:dyDescent="0.3">
      <c r="D205" s="149"/>
      <c r="E205" s="149"/>
    </row>
    <row r="206" spans="4:5" s="9" customFormat="1" x14ac:dyDescent="0.3">
      <c r="D206" s="149"/>
      <c r="E206" s="149"/>
    </row>
    <row r="207" spans="4:5" s="9" customFormat="1" x14ac:dyDescent="0.3">
      <c r="D207" s="149"/>
      <c r="E207" s="149"/>
    </row>
    <row r="208" spans="4:5" s="9" customFormat="1" x14ac:dyDescent="0.3">
      <c r="D208" s="149"/>
      <c r="E208" s="149"/>
    </row>
    <row r="209" spans="2:5" s="9" customFormat="1" x14ac:dyDescent="0.3">
      <c r="D209" s="149"/>
      <c r="E209" s="149"/>
    </row>
    <row r="210" spans="2:5" s="9" customFormat="1" x14ac:dyDescent="0.3">
      <c r="D210" s="149"/>
      <c r="E210" s="149"/>
    </row>
    <row r="211" spans="2:5" s="9" customFormat="1" x14ac:dyDescent="0.3">
      <c r="D211" s="149"/>
      <c r="E211" s="149"/>
    </row>
    <row r="212" spans="2:5" s="9" customFormat="1" x14ac:dyDescent="0.3">
      <c r="B212" s="3"/>
      <c r="C212" s="3"/>
      <c r="D212" s="149"/>
      <c r="E212" s="149"/>
    </row>
    <row r="213" spans="2:5" s="9" customFormat="1" x14ac:dyDescent="0.3">
      <c r="B213" s="3"/>
      <c r="C213" s="3"/>
      <c r="D213" s="149"/>
      <c r="E213" s="149"/>
    </row>
    <row r="214" spans="2:5" s="9" customFormat="1" x14ac:dyDescent="0.3">
      <c r="B214" s="3"/>
      <c r="C214" s="3"/>
      <c r="D214" s="149"/>
      <c r="E214" s="149"/>
    </row>
  </sheetData>
  <mergeCells count="7">
    <mergeCell ref="B60:C60"/>
    <mergeCell ref="B6:C6"/>
    <mergeCell ref="B7:C7"/>
    <mergeCell ref="B54:D54"/>
    <mergeCell ref="B56:C56"/>
    <mergeCell ref="B57:C57"/>
    <mergeCell ref="B59:C59"/>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G107"/>
  <sheetViews>
    <sheetView showGridLines="0" zoomScale="85" zoomScaleNormal="85" zoomScaleSheetLayoutView="85" workbookViewId="0"/>
  </sheetViews>
  <sheetFormatPr baseColWidth="10" defaultColWidth="11.44140625" defaultRowHeight="14.4" x14ac:dyDescent="0.3"/>
  <cols>
    <col min="1" max="1" width="6.77734375" style="3" customWidth="1"/>
    <col min="2" max="2" width="80.77734375" style="3" customWidth="1"/>
    <col min="3" max="3" width="20.77734375" style="3" customWidth="1"/>
    <col min="4" max="4" width="15.7773437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216</v>
      </c>
      <c r="B1" s="2"/>
    </row>
    <row r="2" spans="1:7" ht="15" x14ac:dyDescent="0.3">
      <c r="A2" s="1"/>
      <c r="B2" s="4" t="s">
        <v>693</v>
      </c>
      <c r="C2" s="134"/>
      <c r="D2" s="163"/>
    </row>
    <row r="3" spans="1:7" ht="15" x14ac:dyDescent="0.3">
      <c r="A3" s="1"/>
      <c r="B3" s="4" t="s">
        <v>299</v>
      </c>
      <c r="C3" s="9"/>
      <c r="D3" s="163"/>
    </row>
    <row r="4" spans="1:7" s="138" customFormat="1" x14ac:dyDescent="0.3">
      <c r="B4" s="136"/>
      <c r="C4" s="135"/>
      <c r="D4" s="164"/>
      <c r="E4" s="165"/>
      <c r="F4" s="3"/>
      <c r="G4" s="3"/>
    </row>
    <row r="5" spans="1:7" s="138" customFormat="1" x14ac:dyDescent="0.3">
      <c r="B5" s="166"/>
      <c r="C5" s="167"/>
      <c r="D5" s="164"/>
      <c r="E5" s="165"/>
      <c r="F5" s="3"/>
      <c r="G5" s="3"/>
    </row>
    <row r="6" spans="1:7" ht="18" x14ac:dyDescent="0.3">
      <c r="B6" s="1305" t="s">
        <v>643</v>
      </c>
      <c r="C6" s="1305"/>
      <c r="D6" s="1305"/>
    </row>
    <row r="7" spans="1:7" ht="16.2" x14ac:dyDescent="0.3">
      <c r="B7" s="1306" t="s">
        <v>365</v>
      </c>
      <c r="C7" s="1306"/>
      <c r="D7" s="1306"/>
    </row>
    <row r="8" spans="1:7" s="138" customFormat="1" x14ac:dyDescent="0.3">
      <c r="B8" s="135"/>
      <c r="C8" s="168"/>
      <c r="D8" s="164"/>
      <c r="E8" s="165"/>
      <c r="F8" s="3"/>
      <c r="G8" s="3"/>
    </row>
    <row r="9" spans="1:7" s="138" customFormat="1" x14ac:dyDescent="0.3">
      <c r="B9" s="137"/>
      <c r="C9" s="137"/>
      <c r="D9" s="164"/>
      <c r="E9" s="165"/>
      <c r="F9" s="3"/>
      <c r="G9" s="3"/>
    </row>
    <row r="10" spans="1:7" ht="15" thickBot="1" x14ac:dyDescent="0.35">
      <c r="B10" s="59" t="s">
        <v>858</v>
      </c>
      <c r="C10" s="168"/>
      <c r="D10" s="163"/>
    </row>
    <row r="11" spans="1:7" ht="15.6" thickTop="1" x14ac:dyDescent="0.3">
      <c r="B11" s="169"/>
      <c r="C11" s="170" t="s">
        <v>268</v>
      </c>
      <c r="D11" s="1311" t="s">
        <v>283</v>
      </c>
    </row>
    <row r="12" spans="1:7" ht="15.6" thickBot="1" x14ac:dyDescent="0.35">
      <c r="B12" s="171"/>
      <c r="C12" s="172" t="s">
        <v>269</v>
      </c>
      <c r="D12" s="1312"/>
    </row>
    <row r="13" spans="1:7" ht="15" thickTop="1" x14ac:dyDescent="0.3">
      <c r="B13" s="16"/>
      <c r="C13" s="139"/>
      <c r="D13" s="173"/>
    </row>
    <row r="14" spans="1:7" s="174" customFormat="1" ht="18" x14ac:dyDescent="0.35">
      <c r="B14" s="73" t="s">
        <v>610</v>
      </c>
      <c r="C14" s="175">
        <f>+C17+C64</f>
        <v>376214952.24697441</v>
      </c>
      <c r="D14" s="176"/>
      <c r="E14" s="177"/>
      <c r="F14" s="3"/>
      <c r="G14" s="3"/>
    </row>
    <row r="15" spans="1:7" ht="15" thickBot="1" x14ac:dyDescent="0.35">
      <c r="B15" s="26"/>
      <c r="C15" s="146"/>
      <c r="D15" s="178"/>
    </row>
    <row r="16" spans="1:7" ht="15" thickTop="1" x14ac:dyDescent="0.3">
      <c r="B16" s="16"/>
      <c r="C16" s="139"/>
      <c r="D16" s="173"/>
    </row>
    <row r="17" spans="2:7" ht="16.2" x14ac:dyDescent="0.3">
      <c r="B17" s="13" t="s">
        <v>623</v>
      </c>
      <c r="C17" s="83">
        <f>+C19+C21+C23</f>
        <v>363232609.17977488</v>
      </c>
      <c r="D17" s="179">
        <f>+D19+D21+D23</f>
        <v>1</v>
      </c>
      <c r="F17" s="157"/>
    </row>
    <row r="18" spans="2:7" ht="18" x14ac:dyDescent="0.35">
      <c r="B18" s="180"/>
      <c r="C18" s="181"/>
      <c r="D18" s="182"/>
    </row>
    <row r="19" spans="2:7" s="186" customFormat="1" ht="16.2" x14ac:dyDescent="0.3">
      <c r="B19" s="183" t="s">
        <v>504</v>
      </c>
      <c r="C19" s="184">
        <f>+C28+C48</f>
        <v>360688744.15022278</v>
      </c>
      <c r="D19" s="185">
        <f>+C19/$C$17</f>
        <v>0.99299659511491423</v>
      </c>
      <c r="E19" s="15"/>
      <c r="F19" s="3"/>
      <c r="G19" s="3"/>
    </row>
    <row r="20" spans="2:7" ht="18" x14ac:dyDescent="0.35">
      <c r="B20" s="180"/>
      <c r="C20" s="181"/>
      <c r="D20" s="182"/>
    </row>
    <row r="21" spans="2:7" s="186" customFormat="1" ht="16.2" x14ac:dyDescent="0.3">
      <c r="B21" s="183" t="s">
        <v>722</v>
      </c>
      <c r="C21" s="184">
        <f>+C36+C54</f>
        <v>104561.85965651557</v>
      </c>
      <c r="D21" s="185">
        <f>+C21/$C$17</f>
        <v>2.8786473739962241E-4</v>
      </c>
      <c r="E21" s="15"/>
      <c r="F21" s="3"/>
      <c r="G21" s="3"/>
    </row>
    <row r="22" spans="2:7" ht="18" x14ac:dyDescent="0.35">
      <c r="B22" s="187"/>
      <c r="C22" s="184"/>
      <c r="D22" s="188"/>
    </row>
    <row r="23" spans="2:7" s="186" customFormat="1" ht="16.2" x14ac:dyDescent="0.3">
      <c r="B23" s="183" t="s">
        <v>723</v>
      </c>
      <c r="C23" s="184">
        <f>+C41+C58</f>
        <v>2439303.1698955651</v>
      </c>
      <c r="D23" s="185">
        <f>+C23/$C$17</f>
        <v>6.715540147686134E-3</v>
      </c>
      <c r="E23" s="15"/>
      <c r="F23" s="3"/>
      <c r="G23" s="3"/>
    </row>
    <row r="24" spans="2:7" ht="15" thickBot="1" x14ac:dyDescent="0.35">
      <c r="B24" s="35"/>
      <c r="C24" s="140"/>
      <c r="D24" s="189"/>
    </row>
    <row r="25" spans="2:7" ht="15" thickTop="1" x14ac:dyDescent="0.3">
      <c r="B25" s="16"/>
      <c r="C25" s="139"/>
      <c r="D25" s="173"/>
    </row>
    <row r="26" spans="2:7" ht="16.2" x14ac:dyDescent="0.3">
      <c r="B26" s="13" t="s">
        <v>366</v>
      </c>
      <c r="C26" s="83">
        <f>+C28+C36+C41</f>
        <v>218700216.64745271</v>
      </c>
      <c r="D26" s="179">
        <f>+D28+D36+D41</f>
        <v>0.60209411578246075</v>
      </c>
    </row>
    <row r="27" spans="2:7" ht="18" x14ac:dyDescent="0.35">
      <c r="B27" s="190"/>
      <c r="C27" s="181"/>
      <c r="D27" s="182"/>
    </row>
    <row r="28" spans="2:7" ht="16.2" x14ac:dyDescent="0.3">
      <c r="B28" s="183" t="s">
        <v>504</v>
      </c>
      <c r="C28" s="191">
        <f>SUM(C29:C34)</f>
        <v>218580680.25761196</v>
      </c>
      <c r="D28" s="185">
        <f>+C28/$C$17</f>
        <v>0.60176502531310372</v>
      </c>
    </row>
    <row r="29" spans="2:7" ht="15" x14ac:dyDescent="0.3">
      <c r="B29" s="192" t="s">
        <v>345</v>
      </c>
      <c r="C29" s="193">
        <v>191594292.86433783</v>
      </c>
      <c r="D29" s="194">
        <f t="shared" ref="D29:D34" si="0">+C29/$C$17</f>
        <v>0.52746996834062321</v>
      </c>
      <c r="F29" s="165"/>
      <c r="G29" s="138"/>
    </row>
    <row r="30" spans="2:7" ht="15" x14ac:dyDescent="0.3">
      <c r="B30" s="192" t="s">
        <v>257</v>
      </c>
      <c r="C30" s="193">
        <v>751015.36872733664</v>
      </c>
      <c r="D30" s="194">
        <f t="shared" si="0"/>
        <v>2.067587958094468E-3</v>
      </c>
    </row>
    <row r="31" spans="2:7" ht="15" x14ac:dyDescent="0.3">
      <c r="B31" s="192" t="s">
        <v>273</v>
      </c>
      <c r="C31" s="195">
        <v>21148898.723007299</v>
      </c>
      <c r="D31" s="194">
        <f t="shared" si="0"/>
        <v>5.8224119169157706E-2</v>
      </c>
      <c r="F31" s="138"/>
      <c r="G31" s="138"/>
    </row>
    <row r="32" spans="2:7" ht="15" x14ac:dyDescent="0.3">
      <c r="B32" s="192" t="s">
        <v>346</v>
      </c>
      <c r="C32" s="195">
        <v>1788165.7163977488</v>
      </c>
      <c r="D32" s="194">
        <f t="shared" si="0"/>
        <v>4.9229217619961296E-3</v>
      </c>
    </row>
    <row r="33" spans="2:6" ht="15" x14ac:dyDescent="0.3">
      <c r="B33" s="192" t="s">
        <v>266</v>
      </c>
      <c r="C33" s="196">
        <v>2092457.4209245744</v>
      </c>
      <c r="D33" s="194">
        <f t="shared" si="0"/>
        <v>5.7606541044032573E-3</v>
      </c>
    </row>
    <row r="34" spans="2:6" ht="15" x14ac:dyDescent="0.3">
      <c r="B34" s="192" t="s">
        <v>364</v>
      </c>
      <c r="C34" s="196">
        <v>1205850.1642171748</v>
      </c>
      <c r="D34" s="194">
        <f t="shared" si="0"/>
        <v>3.3197739788289843E-3</v>
      </c>
      <c r="F34" s="197"/>
    </row>
    <row r="35" spans="2:6" ht="18" x14ac:dyDescent="0.35">
      <c r="B35" s="198"/>
      <c r="C35" s="199"/>
      <c r="D35" s="200"/>
    </row>
    <row r="36" spans="2:6" ht="16.2" x14ac:dyDescent="0.3">
      <c r="B36" s="183" t="s">
        <v>722</v>
      </c>
      <c r="C36" s="201">
        <f>+SUM(C37:C39)</f>
        <v>62298.482494015858</v>
      </c>
      <c r="D36" s="185">
        <f>+C36/$C$17</f>
        <v>1.7151126005645172E-4</v>
      </c>
    </row>
    <row r="37" spans="2:6" ht="15" x14ac:dyDescent="0.3">
      <c r="B37" s="192" t="s">
        <v>266</v>
      </c>
      <c r="C37" s="195">
        <v>172.73351951338199</v>
      </c>
      <c r="D37" s="194">
        <f>+C37/$C$17</f>
        <v>4.7554518825673749E-7</v>
      </c>
    </row>
    <row r="38" spans="2:6" ht="15" x14ac:dyDescent="0.3">
      <c r="B38" s="192" t="s">
        <v>346</v>
      </c>
      <c r="C38" s="195">
        <v>60464.159700000004</v>
      </c>
      <c r="D38" s="194">
        <f>+C38/$C$17</f>
        <v>1.6646126523864614E-4</v>
      </c>
    </row>
    <row r="39" spans="2:6" ht="15" x14ac:dyDescent="0.3">
      <c r="B39" s="192" t="s">
        <v>348</v>
      </c>
      <c r="C39" s="195">
        <v>1661.5892745024669</v>
      </c>
      <c r="D39" s="194">
        <f>+C39/$C$17</f>
        <v>4.5744496295488046E-6</v>
      </c>
    </row>
    <row r="40" spans="2:6" ht="18" x14ac:dyDescent="0.35">
      <c r="B40" s="198"/>
      <c r="C40" s="199"/>
      <c r="D40" s="202"/>
    </row>
    <row r="41" spans="2:6" ht="16.2" x14ac:dyDescent="0.3">
      <c r="B41" s="183" t="s">
        <v>723</v>
      </c>
      <c r="C41" s="201">
        <f>SUM(C42:C44)</f>
        <v>57237.907346737309</v>
      </c>
      <c r="D41" s="185">
        <f>+C41/$C$17</f>
        <v>1.5757920930058492E-4</v>
      </c>
    </row>
    <row r="42" spans="2:6" s="204" customFormat="1" ht="15" x14ac:dyDescent="0.3">
      <c r="B42" s="192" t="s">
        <v>392</v>
      </c>
      <c r="C42" s="196">
        <v>48187.361290860594</v>
      </c>
      <c r="D42" s="203">
        <f>+C42/$C$17</f>
        <v>1.3266254205445305E-4</v>
      </c>
      <c r="E42" s="15"/>
    </row>
    <row r="43" spans="2:6" s="204" customFormat="1" ht="15" x14ac:dyDescent="0.3">
      <c r="B43" s="192" t="s">
        <v>393</v>
      </c>
      <c r="C43" s="196">
        <v>2306.2045431054248</v>
      </c>
      <c r="D43" s="203">
        <f>+C43/$C$17</f>
        <v>6.3491120698472697E-6</v>
      </c>
      <c r="E43" s="15"/>
    </row>
    <row r="44" spans="2:6" s="204" customFormat="1" ht="15" x14ac:dyDescent="0.3">
      <c r="B44" s="192" t="s">
        <v>724</v>
      </c>
      <c r="C44" s="196">
        <v>6744.3415127712969</v>
      </c>
      <c r="D44" s="203">
        <f>+C44/$C$17</f>
        <v>1.8567555176284617E-5</v>
      </c>
      <c r="E44" s="15"/>
    </row>
    <row r="45" spans="2:6" ht="18" x14ac:dyDescent="0.35">
      <c r="B45" s="198"/>
      <c r="C45" s="199"/>
      <c r="D45" s="202"/>
    </row>
    <row r="46" spans="2:6" ht="16.2" x14ac:dyDescent="0.3">
      <c r="B46" s="13" t="s">
        <v>509</v>
      </c>
      <c r="C46" s="83">
        <f>+C48+C54+C58</f>
        <v>144532392.53232217</v>
      </c>
      <c r="D46" s="179">
        <f>+D48+D54+D58</f>
        <v>0.39790588421753925</v>
      </c>
    </row>
    <row r="47" spans="2:6" ht="18" x14ac:dyDescent="0.35">
      <c r="B47" s="190"/>
      <c r="C47" s="205"/>
      <c r="D47" s="182"/>
    </row>
    <row r="48" spans="2:6" ht="18" x14ac:dyDescent="0.3">
      <c r="B48" s="183" t="s">
        <v>504</v>
      </c>
      <c r="C48" s="201">
        <f>SUM(C49:C52)</f>
        <v>142108063.89261085</v>
      </c>
      <c r="D48" s="206">
        <f t="shared" ref="D48:D52" si="1">+C48/$C$17</f>
        <v>0.39123156980181051</v>
      </c>
      <c r="E48" s="207"/>
    </row>
    <row r="49" spans="1:6" ht="15" x14ac:dyDescent="0.3">
      <c r="B49" s="192" t="s">
        <v>345</v>
      </c>
      <c r="C49" s="195">
        <v>68895234.253710344</v>
      </c>
      <c r="D49" s="194">
        <f t="shared" si="1"/>
        <v>0.18967249226132116</v>
      </c>
      <c r="F49" s="165"/>
    </row>
    <row r="50" spans="1:6" ht="15" x14ac:dyDescent="0.3">
      <c r="B50" s="192" t="s">
        <v>265</v>
      </c>
      <c r="C50" s="195">
        <v>68065416.412906617</v>
      </c>
      <c r="D50" s="194">
        <f t="shared" si="1"/>
        <v>0.18738795662263619</v>
      </c>
      <c r="F50" s="197"/>
    </row>
    <row r="51" spans="1:6" ht="15" x14ac:dyDescent="0.3">
      <c r="B51" s="192" t="s">
        <v>264</v>
      </c>
      <c r="C51" s="195">
        <v>4709868.6097969459</v>
      </c>
      <c r="D51" s="194">
        <f t="shared" si="1"/>
        <v>1.2966535742571198E-2</v>
      </c>
    </row>
    <row r="52" spans="1:6" ht="15" x14ac:dyDescent="0.3">
      <c r="B52" s="192" t="s">
        <v>266</v>
      </c>
      <c r="C52" s="195">
        <v>437544.61619692278</v>
      </c>
      <c r="D52" s="194">
        <f t="shared" si="1"/>
        <v>1.2045851752819049E-3</v>
      </c>
    </row>
    <row r="53" spans="1:6" ht="18" x14ac:dyDescent="0.35">
      <c r="B53" s="187"/>
      <c r="C53" s="208"/>
      <c r="D53" s="188"/>
    </row>
    <row r="54" spans="1:6" ht="16.2" x14ac:dyDescent="0.3">
      <c r="B54" s="183" t="s">
        <v>722</v>
      </c>
      <c r="C54" s="201">
        <f>SUM(C55:C56)</f>
        <v>42263.377162499717</v>
      </c>
      <c r="D54" s="185">
        <f>+C54/$C$17</f>
        <v>1.163534773431707E-4</v>
      </c>
    </row>
    <row r="55" spans="1:6" ht="15" x14ac:dyDescent="0.3">
      <c r="B55" s="192" t="s">
        <v>266</v>
      </c>
      <c r="C55" s="195">
        <v>33578.544912499718</v>
      </c>
      <c r="D55" s="194">
        <f>+C55/$C$17</f>
        <v>9.2443640972445485E-5</v>
      </c>
    </row>
    <row r="56" spans="1:6" ht="15" x14ac:dyDescent="0.3">
      <c r="B56" s="192" t="s">
        <v>348</v>
      </c>
      <c r="C56" s="195">
        <v>8684.8322499999995</v>
      </c>
      <c r="D56" s="194">
        <f>+C56/$C$17</f>
        <v>2.3909836370725218E-5</v>
      </c>
    </row>
    <row r="57" spans="1:6" ht="18" x14ac:dyDescent="0.35">
      <c r="B57" s="198"/>
      <c r="C57" s="199"/>
      <c r="D57" s="202"/>
    </row>
    <row r="58" spans="1:6" ht="16.2" x14ac:dyDescent="0.3">
      <c r="B58" s="183" t="s">
        <v>723</v>
      </c>
      <c r="C58" s="191">
        <f>SUM(C59:C61)</f>
        <v>2382065.262548828</v>
      </c>
      <c r="D58" s="185">
        <f>+C58/$C$17</f>
        <v>6.5579609383855497E-3</v>
      </c>
    </row>
    <row r="59" spans="1:6" ht="15" x14ac:dyDescent="0.3">
      <c r="B59" s="192" t="s">
        <v>392</v>
      </c>
      <c r="C59" s="196">
        <v>1010833.6812627743</v>
      </c>
      <c r="D59" s="194">
        <f>+C59/$C$17</f>
        <v>2.7828825268341531E-3</v>
      </c>
    </row>
    <row r="60" spans="1:6" ht="15" x14ac:dyDescent="0.3">
      <c r="B60" s="192" t="s">
        <v>393</v>
      </c>
      <c r="C60" s="196">
        <v>863377.11840200564</v>
      </c>
      <c r="D60" s="194">
        <f>+C60/$C$17</f>
        <v>2.3769262356472349E-3</v>
      </c>
    </row>
    <row r="61" spans="1:6" ht="15" x14ac:dyDescent="0.3">
      <c r="B61" s="192" t="s">
        <v>724</v>
      </c>
      <c r="C61" s="196">
        <v>507854.462884048</v>
      </c>
      <c r="D61" s="194">
        <f>+C61/$C$17</f>
        <v>1.398152175904161E-3</v>
      </c>
    </row>
    <row r="62" spans="1:6" ht="15" thickBot="1" x14ac:dyDescent="0.35">
      <c r="B62" s="35"/>
      <c r="C62" s="209"/>
      <c r="D62" s="189"/>
    </row>
    <row r="63" spans="1:6" ht="15.6" thickTop="1" thickBot="1" x14ac:dyDescent="0.35">
      <c r="A63" s="210"/>
      <c r="B63" s="16"/>
      <c r="C63" s="211"/>
      <c r="D63" s="212"/>
    </row>
    <row r="64" spans="1:6" s="15" customFormat="1" ht="18.600000000000001" thickTop="1" x14ac:dyDescent="0.35">
      <c r="A64" s="3"/>
      <c r="B64" s="213" t="s">
        <v>725</v>
      </c>
      <c r="C64" s="214">
        <f>+C66+C71</f>
        <v>12982343.067199547</v>
      </c>
      <c r="D64" s="215">
        <f>+D66+D71</f>
        <v>1</v>
      </c>
    </row>
    <row r="65" spans="1:4" s="15" customFormat="1" ht="15" x14ac:dyDescent="0.3">
      <c r="A65" s="3"/>
      <c r="B65" s="216"/>
      <c r="C65" s="217"/>
      <c r="D65" s="218"/>
    </row>
    <row r="66" spans="1:4" s="15" customFormat="1" ht="16.2" x14ac:dyDescent="0.3">
      <c r="A66" s="3"/>
      <c r="B66" s="219" t="s">
        <v>366</v>
      </c>
      <c r="C66" s="83">
        <f>+C68+C69</f>
        <v>1021098.5928946862</v>
      </c>
      <c r="D66" s="220">
        <f>SUM(D68:D69)</f>
        <v>7.8652873954204464E-2</v>
      </c>
    </row>
    <row r="67" spans="1:4" s="15" customFormat="1" ht="15" x14ac:dyDescent="0.3">
      <c r="A67" s="3"/>
      <c r="B67" s="216"/>
      <c r="C67" s="196"/>
      <c r="D67" s="218"/>
    </row>
    <row r="68" spans="1:4" s="15" customFormat="1" ht="15" x14ac:dyDescent="0.3">
      <c r="A68" s="3"/>
      <c r="B68" s="192" t="s">
        <v>671</v>
      </c>
      <c r="C68" s="196">
        <v>929780.55230617255</v>
      </c>
      <c r="D68" s="194">
        <f>+C68/$C$64</f>
        <v>7.161885550962703E-2</v>
      </c>
    </row>
    <row r="69" spans="1:4" s="15" customFormat="1" ht="15" x14ac:dyDescent="0.3">
      <c r="A69" s="3"/>
      <c r="B69" s="192" t="s">
        <v>672</v>
      </c>
      <c r="C69" s="196">
        <v>91318.040588513613</v>
      </c>
      <c r="D69" s="194">
        <f>+C69/$C$64</f>
        <v>7.034018444577436E-3</v>
      </c>
    </row>
    <row r="70" spans="1:4" s="15" customFormat="1" ht="15" x14ac:dyDescent="0.3">
      <c r="A70" s="3"/>
      <c r="B70" s="216"/>
      <c r="C70" s="196"/>
      <c r="D70" s="218"/>
    </row>
    <row r="71" spans="1:4" s="15" customFormat="1" ht="16.2" x14ac:dyDescent="0.3">
      <c r="A71" s="3"/>
      <c r="B71" s="13" t="s">
        <v>509</v>
      </c>
      <c r="C71" s="83">
        <f>+C73+C74+C75</f>
        <v>11961244.47430486</v>
      </c>
      <c r="D71" s="220">
        <f>SUM(D73:D75)</f>
        <v>0.92134712604579549</v>
      </c>
    </row>
    <row r="72" spans="1:4" s="15" customFormat="1" ht="15" x14ac:dyDescent="0.3">
      <c r="A72" s="3"/>
      <c r="B72" s="221"/>
      <c r="C72" s="217"/>
      <c r="D72" s="218"/>
    </row>
    <row r="73" spans="1:4" s="15" customFormat="1" ht="15" x14ac:dyDescent="0.3">
      <c r="A73" s="3"/>
      <c r="B73" s="192" t="s">
        <v>673</v>
      </c>
      <c r="C73" s="196">
        <v>5151027.2004566593</v>
      </c>
      <c r="D73" s="194">
        <f>+C73/$C$64</f>
        <v>0.39677176714509671</v>
      </c>
    </row>
    <row r="74" spans="1:4" s="15" customFormat="1" ht="15" x14ac:dyDescent="0.3">
      <c r="A74" s="3"/>
      <c r="B74" s="192" t="s">
        <v>721</v>
      </c>
      <c r="C74" s="196">
        <v>6678041.7590812985</v>
      </c>
      <c r="D74" s="194">
        <f>+C74/$C$64</f>
        <v>0.51439418327756725</v>
      </c>
    </row>
    <row r="75" spans="1:4" s="15" customFormat="1" ht="15" x14ac:dyDescent="0.3">
      <c r="A75" s="3"/>
      <c r="B75" s="192" t="s">
        <v>674</v>
      </c>
      <c r="C75" s="196">
        <v>132175.51476690389</v>
      </c>
      <c r="D75" s="194">
        <f>+C75/$C$64</f>
        <v>1.0181175623131625E-2</v>
      </c>
    </row>
    <row r="76" spans="1:4" s="15" customFormat="1" ht="15" thickBot="1" x14ac:dyDescent="0.35">
      <c r="A76" s="3"/>
      <c r="B76" s="140"/>
      <c r="C76" s="209"/>
      <c r="D76" s="189"/>
    </row>
    <row r="77" spans="1:4" s="15" customFormat="1" ht="15" thickTop="1" x14ac:dyDescent="0.3">
      <c r="A77" s="3"/>
      <c r="B77" s="222"/>
      <c r="C77" s="222"/>
      <c r="D77" s="222"/>
    </row>
    <row r="78" spans="1:4" s="15" customFormat="1" x14ac:dyDescent="0.3">
      <c r="A78" s="3"/>
      <c r="B78" s="1304" t="s">
        <v>726</v>
      </c>
      <c r="C78" s="1304"/>
      <c r="D78" s="1304"/>
    </row>
    <row r="79" spans="1:4" s="15" customFormat="1" x14ac:dyDescent="0.3">
      <c r="A79" s="3"/>
      <c r="B79" s="1310" t="s">
        <v>727</v>
      </c>
      <c r="C79" s="1310"/>
      <c r="D79" s="1310"/>
    </row>
    <row r="80" spans="1:4" s="15" customFormat="1" x14ac:dyDescent="0.3">
      <c r="A80" s="3"/>
      <c r="B80" s="1310" t="s">
        <v>728</v>
      </c>
      <c r="C80" s="1310"/>
      <c r="D80" s="1310"/>
    </row>
    <row r="81" spans="1:4" s="15" customFormat="1" x14ac:dyDescent="0.3">
      <c r="A81" s="3"/>
      <c r="B81" s="1310" t="s">
        <v>729</v>
      </c>
      <c r="C81" s="1310"/>
      <c r="D81" s="1310"/>
    </row>
    <row r="82" spans="1:4" s="15" customFormat="1" x14ac:dyDescent="0.3">
      <c r="A82" s="3"/>
      <c r="B82" s="1310"/>
      <c r="C82" s="1310"/>
      <c r="D82" s="1310"/>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H59"/>
  <sheetViews>
    <sheetView showGridLines="0" showRuler="0" zoomScale="90" zoomScaleNormal="90" zoomScaleSheetLayoutView="85" workbookViewId="0"/>
  </sheetViews>
  <sheetFormatPr baseColWidth="10" defaultColWidth="11.44140625" defaultRowHeight="14.4" x14ac:dyDescent="0.3"/>
  <cols>
    <col min="1" max="1" width="6.77734375" style="224" customWidth="1"/>
    <col min="2" max="2" width="47.77734375" style="224" customWidth="1"/>
    <col min="3" max="3" width="16.77734375" style="224" customWidth="1"/>
    <col min="4" max="4" width="12.77734375" style="224" customWidth="1"/>
    <col min="5" max="5" width="16.77734375" style="15" customWidth="1"/>
    <col min="6" max="6" width="12.77734375" style="224" customWidth="1"/>
    <col min="7" max="7" width="16.77734375" style="224" customWidth="1"/>
    <col min="8" max="8" width="12.77734375" style="224" customWidth="1"/>
    <col min="9" max="16384" width="11.44140625" style="224"/>
  </cols>
  <sheetData>
    <row r="1" spans="1:8" ht="15" x14ac:dyDescent="0.3">
      <c r="A1" s="1" t="s">
        <v>216</v>
      </c>
      <c r="B1" s="223"/>
    </row>
    <row r="2" spans="1:8" ht="15" x14ac:dyDescent="0.3">
      <c r="A2" s="223"/>
      <c r="B2" s="4" t="s">
        <v>693</v>
      </c>
      <c r="C2" s="225"/>
      <c r="D2" s="226"/>
    </row>
    <row r="3" spans="1:8" ht="15" x14ac:dyDescent="0.3">
      <c r="A3" s="223"/>
      <c r="B3" s="4" t="s">
        <v>299</v>
      </c>
      <c r="C3" s="225"/>
      <c r="D3" s="225"/>
    </row>
    <row r="4" spans="1:8" s="227" customFormat="1" ht="11.4" x14ac:dyDescent="0.2">
      <c r="B4" s="228"/>
      <c r="C4" s="225"/>
      <c r="D4" s="225"/>
      <c r="E4" s="165"/>
    </row>
    <row r="5" spans="1:8" s="227" customFormat="1" ht="11.4" x14ac:dyDescent="0.2">
      <c r="B5" s="225"/>
      <c r="C5" s="225"/>
      <c r="D5" s="225"/>
      <c r="E5" s="165"/>
    </row>
    <row r="6" spans="1:8" ht="18" x14ac:dyDescent="0.3">
      <c r="B6" s="1314" t="s">
        <v>643</v>
      </c>
      <c r="C6" s="1314"/>
      <c r="D6" s="1314"/>
      <c r="E6" s="1314"/>
      <c r="F6" s="1314"/>
      <c r="G6" s="1314"/>
      <c r="H6" s="1314"/>
    </row>
    <row r="7" spans="1:8" ht="16.2" x14ac:dyDescent="0.3">
      <c r="B7" s="1315" t="s">
        <v>614</v>
      </c>
      <c r="C7" s="1315"/>
      <c r="D7" s="1315"/>
      <c r="E7" s="1315"/>
      <c r="F7" s="1315"/>
      <c r="G7" s="1315"/>
      <c r="H7" s="1315"/>
    </row>
    <row r="8" spans="1:8" s="227" customFormat="1" ht="11.4" x14ac:dyDescent="0.2">
      <c r="B8" s="229"/>
      <c r="C8" s="229"/>
      <c r="D8" s="229"/>
      <c r="E8" s="165"/>
    </row>
    <row r="9" spans="1:8" s="227" customFormat="1" ht="12" thickBot="1" x14ac:dyDescent="0.25">
      <c r="B9" s="229"/>
      <c r="C9" s="229"/>
      <c r="D9" s="229"/>
      <c r="E9" s="165"/>
    </row>
    <row r="10" spans="1:8" ht="16.2" thickTop="1" thickBot="1" x14ac:dyDescent="0.35">
      <c r="B10" s="134"/>
      <c r="C10" s="1316" t="s">
        <v>886</v>
      </c>
      <c r="D10" s="1317"/>
      <c r="E10" s="1317"/>
      <c r="F10" s="1317"/>
      <c r="G10" s="1317"/>
      <c r="H10" s="1318"/>
    </row>
    <row r="11" spans="1:8" ht="15.6" thickTop="1" x14ac:dyDescent="0.3">
      <c r="B11" s="230"/>
      <c r="C11" s="1319" t="s">
        <v>630</v>
      </c>
      <c r="D11" s="1320"/>
      <c r="E11" s="1319" t="s">
        <v>629</v>
      </c>
      <c r="F11" s="1320"/>
      <c r="G11" s="1323" t="s">
        <v>611</v>
      </c>
      <c r="H11" s="1324"/>
    </row>
    <row r="12" spans="1:8" ht="15" x14ac:dyDescent="0.3">
      <c r="B12" s="231"/>
      <c r="C12" s="1321"/>
      <c r="D12" s="1322"/>
      <c r="E12" s="1321"/>
      <c r="F12" s="1322"/>
      <c r="G12" s="1325"/>
      <c r="H12" s="1326"/>
    </row>
    <row r="13" spans="1:8" ht="15" x14ac:dyDescent="0.3">
      <c r="B13" s="232"/>
      <c r="C13" s="233" t="s">
        <v>269</v>
      </c>
      <c r="D13" s="234" t="s">
        <v>283</v>
      </c>
      <c r="E13" s="233" t="s">
        <v>269</v>
      </c>
      <c r="F13" s="234" t="s">
        <v>283</v>
      </c>
      <c r="G13" s="233" t="s">
        <v>269</v>
      </c>
      <c r="H13" s="234" t="s">
        <v>283</v>
      </c>
    </row>
    <row r="14" spans="1:8" ht="15" x14ac:dyDescent="0.3">
      <c r="B14" s="235"/>
      <c r="C14" s="236"/>
      <c r="D14" s="237"/>
      <c r="E14" s="236"/>
      <c r="F14" s="237"/>
      <c r="G14" s="236"/>
      <c r="H14" s="237"/>
    </row>
    <row r="15" spans="1:8" s="238" customFormat="1" ht="16.2" x14ac:dyDescent="0.3">
      <c r="B15" s="83" t="s">
        <v>275</v>
      </c>
      <c r="C15" s="239">
        <f t="shared" ref="C15:H15" si="0">+C17+C28</f>
        <v>360793306.00987923</v>
      </c>
      <c r="D15" s="240">
        <f>+D17+D28</f>
        <v>0.99328445985235214</v>
      </c>
      <c r="E15" s="239">
        <f t="shared" si="0"/>
        <v>2439303.1698815995</v>
      </c>
      <c r="F15" s="240">
        <f t="shared" si="0"/>
        <v>6.7155401476479441E-3</v>
      </c>
      <c r="G15" s="239">
        <f t="shared" si="0"/>
        <v>363232609.17976087</v>
      </c>
      <c r="H15" s="240">
        <f t="shared" si="0"/>
        <v>0.99999999999999989</v>
      </c>
    </row>
    <row r="16" spans="1:8" ht="15" x14ac:dyDescent="0.3">
      <c r="B16" s="235" t="s">
        <v>284</v>
      </c>
      <c r="C16" s="236"/>
      <c r="D16" s="237"/>
      <c r="E16" s="241"/>
      <c r="F16" s="242"/>
      <c r="G16" s="236"/>
      <c r="H16" s="237"/>
    </row>
    <row r="17" spans="2:8" s="223" customFormat="1" ht="15" x14ac:dyDescent="0.3">
      <c r="B17" s="243" t="s">
        <v>396</v>
      </c>
      <c r="C17" s="244">
        <f t="shared" ref="C17:H17" si="1">+C19+C24</f>
        <v>107809478.2678811</v>
      </c>
      <c r="D17" s="245">
        <f t="shared" si="1"/>
        <v>0.2968056158595801</v>
      </c>
      <c r="E17" s="246">
        <f t="shared" si="1"/>
        <v>56367.795636157083</v>
      </c>
      <c r="F17" s="247">
        <f t="shared" si="1"/>
        <v>1.5518374235023904E-4</v>
      </c>
      <c r="G17" s="244">
        <f t="shared" si="1"/>
        <v>107865846.06351727</v>
      </c>
      <c r="H17" s="245">
        <f t="shared" si="1"/>
        <v>0.29696079960193034</v>
      </c>
    </row>
    <row r="18" spans="2:8" ht="15" x14ac:dyDescent="0.3">
      <c r="B18" s="248"/>
      <c r="C18" s="249"/>
      <c r="D18" s="250"/>
      <c r="E18" s="251"/>
      <c r="F18" s="252"/>
      <c r="G18" s="249"/>
      <c r="H18" s="250"/>
    </row>
    <row r="19" spans="2:8" s="223" customFormat="1" ht="15" x14ac:dyDescent="0.3">
      <c r="B19" s="243" t="s">
        <v>145</v>
      </c>
      <c r="C19" s="244">
        <f t="shared" ref="C19:H19" si="2">SUM(C20:C22)</f>
        <v>45604684.302006967</v>
      </c>
      <c r="D19" s="245">
        <f t="shared" si="2"/>
        <v>0.1255522856413962</v>
      </c>
      <c r="E19" s="246">
        <f t="shared" si="2"/>
        <v>307.6268194647202</v>
      </c>
      <c r="F19" s="247">
        <f t="shared" si="2"/>
        <v>8.4691410322270414E-7</v>
      </c>
      <c r="G19" s="244">
        <f t="shared" si="2"/>
        <v>45604991.928826444</v>
      </c>
      <c r="H19" s="245">
        <f t="shared" si="2"/>
        <v>0.12555313255549944</v>
      </c>
    </row>
    <row r="20" spans="2:8" ht="15" x14ac:dyDescent="0.3">
      <c r="B20" s="253" t="s">
        <v>146</v>
      </c>
      <c r="C20" s="254">
        <v>11432823.852895571</v>
      </c>
      <c r="D20" s="255">
        <f>+C20/$G$15</f>
        <v>3.147521330398384E-2</v>
      </c>
      <c r="E20" s="256">
        <v>8.7822255961070557</v>
      </c>
      <c r="F20" s="257">
        <f>+E20/$G$15</f>
        <v>2.4177965783244982E-8</v>
      </c>
      <c r="G20" s="254">
        <f>+C20+E20</f>
        <v>11432832.635121167</v>
      </c>
      <c r="H20" s="255">
        <f>+F20+D20</f>
        <v>3.1475237481949622E-2</v>
      </c>
    </row>
    <row r="21" spans="2:8" ht="15" x14ac:dyDescent="0.3">
      <c r="B21" s="253" t="s">
        <v>147</v>
      </c>
      <c r="C21" s="254">
        <v>32020353.175423723</v>
      </c>
      <c r="D21" s="255">
        <f>+C21/$G$15</f>
        <v>8.815385063508191E-2</v>
      </c>
      <c r="E21" s="256">
        <v>0</v>
      </c>
      <c r="F21" s="257">
        <f>+E21/$G$15</f>
        <v>0</v>
      </c>
      <c r="G21" s="254">
        <f>+C21+E21</f>
        <v>32020353.175423723</v>
      </c>
      <c r="H21" s="255">
        <f>+F21+D21</f>
        <v>8.815385063508191E-2</v>
      </c>
    </row>
    <row r="22" spans="2:8" ht="15" x14ac:dyDescent="0.3">
      <c r="B22" s="253" t="s">
        <v>149</v>
      </c>
      <c r="C22" s="254">
        <v>2151507.2736876789</v>
      </c>
      <c r="D22" s="255">
        <f>+C22/$G$15</f>
        <v>5.9232217023304631E-3</v>
      </c>
      <c r="E22" s="256">
        <v>298.84459386861312</v>
      </c>
      <c r="F22" s="257">
        <f>+E22/$G$15</f>
        <v>8.2273613743945921E-7</v>
      </c>
      <c r="G22" s="254">
        <f>+C22+E22</f>
        <v>2151806.1182815474</v>
      </c>
      <c r="H22" s="255">
        <f>+F22+D22</f>
        <v>5.9240444384679024E-3</v>
      </c>
    </row>
    <row r="23" spans="2:8" ht="15" x14ac:dyDescent="0.3">
      <c r="B23" s="258"/>
      <c r="C23" s="249"/>
      <c r="D23" s="250"/>
      <c r="E23" s="251"/>
      <c r="F23" s="252"/>
      <c r="G23" s="249"/>
      <c r="H23" s="250"/>
    </row>
    <row r="24" spans="2:8" s="223" customFormat="1" ht="15" x14ac:dyDescent="0.3">
      <c r="B24" s="243" t="s">
        <v>148</v>
      </c>
      <c r="C24" s="244">
        <f t="shared" ref="C24:H24" si="3">SUM(C25:C26)</f>
        <v>62204793.965874135</v>
      </c>
      <c r="D24" s="245">
        <f t="shared" si="3"/>
        <v>0.17125333021818392</v>
      </c>
      <c r="E24" s="246">
        <f t="shared" si="3"/>
        <v>56060.168816692363</v>
      </c>
      <c r="F24" s="247">
        <f t="shared" si="3"/>
        <v>1.5433682824701633E-4</v>
      </c>
      <c r="G24" s="244">
        <f t="shared" si="3"/>
        <v>62260854.134690821</v>
      </c>
      <c r="H24" s="245">
        <f t="shared" si="3"/>
        <v>0.17140766704643093</v>
      </c>
    </row>
    <row r="25" spans="2:8" ht="15" x14ac:dyDescent="0.3">
      <c r="B25" s="253" t="s">
        <v>146</v>
      </c>
      <c r="C25" s="254">
        <v>48569033.129759721</v>
      </c>
      <c r="D25" s="255">
        <f>+C25/$G$15</f>
        <v>0.13371330630098605</v>
      </c>
      <c r="E25" s="256">
        <v>46516.861244555374</v>
      </c>
      <c r="F25" s="257">
        <f>+E25/$G$15</f>
        <v>1.2806356056411928E-4</v>
      </c>
      <c r="G25" s="254">
        <f>+C25+E25</f>
        <v>48615549.991004273</v>
      </c>
      <c r="H25" s="255">
        <f>+F25+D25</f>
        <v>0.13384136986155015</v>
      </c>
    </row>
    <row r="26" spans="2:8" ht="15" x14ac:dyDescent="0.3">
      <c r="B26" s="253" t="s">
        <v>397</v>
      </c>
      <c r="C26" s="254">
        <v>13635760.836114414</v>
      </c>
      <c r="D26" s="255">
        <f>+C26/$G$15</f>
        <v>3.7540023917197879E-2</v>
      </c>
      <c r="E26" s="256">
        <v>9543.3075721369914</v>
      </c>
      <c r="F26" s="257">
        <f>+E26/$G$15</f>
        <v>2.6273267682897065E-5</v>
      </c>
      <c r="G26" s="254">
        <f>+C26+E26</f>
        <v>13645304.143686552</v>
      </c>
      <c r="H26" s="255">
        <f>+F26+D26</f>
        <v>3.7566297184880776E-2</v>
      </c>
    </row>
    <row r="27" spans="2:8" ht="15" x14ac:dyDescent="0.3">
      <c r="B27" s="258"/>
      <c r="C27" s="236"/>
      <c r="D27" s="237"/>
      <c r="E27" s="241"/>
      <c r="F27" s="242"/>
      <c r="G27" s="236"/>
      <c r="H27" s="237"/>
    </row>
    <row r="28" spans="2:8" s="223" customFormat="1" ht="15" x14ac:dyDescent="0.3">
      <c r="B28" s="243" t="s">
        <v>162</v>
      </c>
      <c r="C28" s="244">
        <f t="shared" ref="C28:H28" si="4">+C30+C37+C47+C50+C44</f>
        <v>252983827.74199814</v>
      </c>
      <c r="D28" s="245">
        <f t="shared" si="4"/>
        <v>0.69647884399277205</v>
      </c>
      <c r="E28" s="246">
        <f t="shared" si="4"/>
        <v>2382935.3742454425</v>
      </c>
      <c r="F28" s="247">
        <f t="shared" si="4"/>
        <v>6.5603564052977049E-3</v>
      </c>
      <c r="G28" s="244">
        <f t="shared" si="4"/>
        <v>255366763.1162436</v>
      </c>
      <c r="H28" s="245">
        <f t="shared" si="4"/>
        <v>0.70303920039806955</v>
      </c>
    </row>
    <row r="29" spans="2:8" ht="15" x14ac:dyDescent="0.3">
      <c r="B29" s="248"/>
      <c r="C29" s="249"/>
      <c r="D29" s="250"/>
      <c r="E29" s="251"/>
      <c r="F29" s="252"/>
      <c r="G29" s="249"/>
      <c r="H29" s="250"/>
    </row>
    <row r="30" spans="2:8" s="223" customFormat="1" ht="15" x14ac:dyDescent="0.3">
      <c r="B30" s="243" t="s">
        <v>225</v>
      </c>
      <c r="C30" s="244">
        <f t="shared" ref="C30:H30" si="5">SUM(C31:C33)</f>
        <v>204405549.65248999</v>
      </c>
      <c r="D30" s="245">
        <f t="shared" si="5"/>
        <v>0.56274008579260393</v>
      </c>
      <c r="E30" s="246">
        <f t="shared" si="5"/>
        <v>1467106.6091199999</v>
      </c>
      <c r="F30" s="247">
        <f t="shared" si="5"/>
        <v>4.0390278076436158E-3</v>
      </c>
      <c r="G30" s="244">
        <f t="shared" si="5"/>
        <v>205872656.26160997</v>
      </c>
      <c r="H30" s="245">
        <f t="shared" si="5"/>
        <v>0.56677911360024746</v>
      </c>
    </row>
    <row r="31" spans="2:8" ht="15" x14ac:dyDescent="0.3">
      <c r="B31" s="253" t="s">
        <v>146</v>
      </c>
      <c r="C31" s="254">
        <v>114087076.78399999</v>
      </c>
      <c r="D31" s="255">
        <f>+C31/$G$15</f>
        <v>0.31408820106109808</v>
      </c>
      <c r="E31" s="256">
        <v>1379175.1935899998</v>
      </c>
      <c r="F31" s="257">
        <f>+E31/$G$15</f>
        <v>3.7969476273190471E-3</v>
      </c>
      <c r="G31" s="254">
        <f>+C31+E31</f>
        <v>115466251.97758999</v>
      </c>
      <c r="H31" s="255">
        <f>+F31+D31</f>
        <v>0.31788514868841711</v>
      </c>
    </row>
    <row r="32" spans="2:8" ht="15" x14ac:dyDescent="0.3">
      <c r="B32" s="253" t="s">
        <v>147</v>
      </c>
      <c r="C32" s="259">
        <v>9459313.4702499993</v>
      </c>
      <c r="D32" s="255">
        <f>+C32/$G$15</f>
        <v>2.6042027150620338E-2</v>
      </c>
      <c r="E32" s="256">
        <v>63</v>
      </c>
      <c r="F32" s="257">
        <f>+E32/$G$15</f>
        <v>1.7344257758758056E-7</v>
      </c>
      <c r="G32" s="254">
        <f>+C32+E32</f>
        <v>9459376.4702499993</v>
      </c>
      <c r="H32" s="255">
        <f>+F32+D32</f>
        <v>2.6042200593197926E-2</v>
      </c>
    </row>
    <row r="33" spans="2:8" ht="15" x14ac:dyDescent="0.3">
      <c r="B33" s="253" t="s">
        <v>149</v>
      </c>
      <c r="C33" s="254">
        <f>+C34+C35</f>
        <v>80859159.39824</v>
      </c>
      <c r="D33" s="255">
        <f>+D34+D35</f>
        <v>0.22260985758088547</v>
      </c>
      <c r="E33" s="254">
        <f>+E34+E35</f>
        <v>87868.415530000013</v>
      </c>
      <c r="F33" s="257">
        <f>+F34+F35</f>
        <v>2.4190673774698087E-4</v>
      </c>
      <c r="G33" s="254">
        <f>+C33+E33</f>
        <v>80947027.813769996</v>
      </c>
      <c r="H33" s="255">
        <f>+H34+H35</f>
        <v>0.22285176431863243</v>
      </c>
    </row>
    <row r="34" spans="2:8" ht="15" x14ac:dyDescent="0.3">
      <c r="B34" s="260" t="s">
        <v>353</v>
      </c>
      <c r="C34" s="261">
        <v>23265130.987359997</v>
      </c>
      <c r="D34" s="262">
        <f>+C34/$G$15</f>
        <v>6.4050226767625576E-2</v>
      </c>
      <c r="E34" s="263">
        <v>80677.426090000008</v>
      </c>
      <c r="F34" s="264">
        <f>+E34/$G$15</f>
        <v>2.2210953546319241E-4</v>
      </c>
      <c r="G34" s="254">
        <f>+C34+E34</f>
        <v>23345808.413449995</v>
      </c>
      <c r="H34" s="262">
        <f>+F34+D34</f>
        <v>6.4272336303088762E-2</v>
      </c>
    </row>
    <row r="35" spans="2:8" ht="15" x14ac:dyDescent="0.3">
      <c r="B35" s="260" t="s">
        <v>150</v>
      </c>
      <c r="C35" s="261">
        <v>57594028.410879999</v>
      </c>
      <c r="D35" s="262">
        <f>+C35/$G$15</f>
        <v>0.15855963081325988</v>
      </c>
      <c r="E35" s="263">
        <v>7190.9894400000003</v>
      </c>
      <c r="F35" s="264">
        <f>+E35/$G$15</f>
        <v>1.9797202283788451E-5</v>
      </c>
      <c r="G35" s="254">
        <f>+C35+E35</f>
        <v>57601219.400320001</v>
      </c>
      <c r="H35" s="262">
        <f>+F35+D35</f>
        <v>0.15857942801554367</v>
      </c>
    </row>
    <row r="36" spans="2:8" ht="15" x14ac:dyDescent="0.3">
      <c r="B36" s="265"/>
      <c r="C36" s="236"/>
      <c r="D36" s="237"/>
      <c r="E36" s="241"/>
      <c r="F36" s="242"/>
      <c r="G36" s="236"/>
      <c r="H36" s="237"/>
    </row>
    <row r="37" spans="2:8" s="223" customFormat="1" ht="15" x14ac:dyDescent="0.3">
      <c r="B37" s="243" t="s">
        <v>226</v>
      </c>
      <c r="C37" s="244">
        <f t="shared" ref="C37:H37" si="6">SUM(C38:C40)</f>
        <v>6741175.1906786403</v>
      </c>
      <c r="D37" s="245">
        <f t="shared" si="6"/>
        <v>1.8558838111757989E-2</v>
      </c>
      <c r="E37" s="246">
        <f t="shared" si="6"/>
        <v>868087.83650221641</v>
      </c>
      <c r="F37" s="247">
        <f t="shared" si="6"/>
        <v>2.3898951100852477E-3</v>
      </c>
      <c r="G37" s="244">
        <f t="shared" si="6"/>
        <v>7609263.027180857</v>
      </c>
      <c r="H37" s="245">
        <f t="shared" si="6"/>
        <v>2.0948733221843235E-2</v>
      </c>
    </row>
    <row r="38" spans="2:8" ht="15" x14ac:dyDescent="0.3">
      <c r="B38" s="253" t="s">
        <v>146</v>
      </c>
      <c r="C38" s="254">
        <v>6417180.6104694782</v>
      </c>
      <c r="D38" s="255">
        <f>+C38/$G$15</f>
        <v>1.7666862633728096E-2</v>
      </c>
      <c r="E38" s="256">
        <v>852805.15268955298</v>
      </c>
      <c r="F38" s="257">
        <f>+E38/$G$15</f>
        <v>2.3478210136896236E-3</v>
      </c>
      <c r="G38" s="254">
        <f>+C38+E38</f>
        <v>7269985.763159031</v>
      </c>
      <c r="H38" s="255">
        <f>+F38+D38</f>
        <v>2.0014683647417719E-2</v>
      </c>
    </row>
    <row r="39" spans="2:8" ht="15" x14ac:dyDescent="0.3">
      <c r="B39" s="266" t="s">
        <v>147</v>
      </c>
      <c r="C39" s="259">
        <v>0</v>
      </c>
      <c r="D39" s="255">
        <f>+C39/$G$15</f>
        <v>0</v>
      </c>
      <c r="E39" s="267">
        <v>0</v>
      </c>
      <c r="F39" s="257">
        <f>+E39/$G$15</f>
        <v>0</v>
      </c>
      <c r="G39" s="259">
        <f>+C39+E39</f>
        <v>0</v>
      </c>
      <c r="H39" s="255">
        <f>+F39+D39</f>
        <v>0</v>
      </c>
    </row>
    <row r="40" spans="2:8" ht="15" x14ac:dyDescent="0.3">
      <c r="B40" s="253" t="s">
        <v>149</v>
      </c>
      <c r="C40" s="256">
        <f>+C41+C42</f>
        <v>323994.58020916214</v>
      </c>
      <c r="D40" s="257">
        <f>+D41+D42</f>
        <v>8.9197547802989197E-4</v>
      </c>
      <c r="E40" s="256">
        <f>+E41+E42</f>
        <v>15282.683812663408</v>
      </c>
      <c r="F40" s="257">
        <f>+F41+F42</f>
        <v>4.2074096395624356E-5</v>
      </c>
      <c r="G40" s="254">
        <f>+C40+E40</f>
        <v>339277.26402182557</v>
      </c>
      <c r="H40" s="255">
        <f>+H41+H42</f>
        <v>9.3404957442551632E-4</v>
      </c>
    </row>
    <row r="41" spans="2:8" x14ac:dyDescent="0.3">
      <c r="B41" s="260" t="s">
        <v>353</v>
      </c>
      <c r="C41" s="268">
        <v>323994.58020916214</v>
      </c>
      <c r="D41" s="262">
        <f>+C41/$G$15</f>
        <v>8.9197547802989197E-4</v>
      </c>
      <c r="E41" s="263">
        <v>15282.683812663408</v>
      </c>
      <c r="F41" s="264">
        <f>+E41/$G$15</f>
        <v>4.2074096395624356E-5</v>
      </c>
      <c r="G41" s="268">
        <f>+C41+E41</f>
        <v>339277.26402182557</v>
      </c>
      <c r="H41" s="262">
        <f>+F41+D41</f>
        <v>9.3404957442551632E-4</v>
      </c>
    </row>
    <row r="42" spans="2:8" x14ac:dyDescent="0.3">
      <c r="B42" s="260" t="s">
        <v>150</v>
      </c>
      <c r="C42" s="268">
        <v>0</v>
      </c>
      <c r="D42" s="269">
        <f>+C42/$G$15</f>
        <v>0</v>
      </c>
      <c r="E42" s="263">
        <v>0</v>
      </c>
      <c r="F42" s="264">
        <f>+E42/$G$15</f>
        <v>0</v>
      </c>
      <c r="G42" s="268">
        <f>+C42+E42</f>
        <v>0</v>
      </c>
      <c r="H42" s="262">
        <f>+F42+D42</f>
        <v>0</v>
      </c>
    </row>
    <row r="43" spans="2:8" ht="15" x14ac:dyDescent="0.3">
      <c r="B43" s="258"/>
      <c r="C43" s="236"/>
      <c r="D43" s="237"/>
      <c r="E43" s="241"/>
      <c r="F43" s="242"/>
      <c r="G43" s="236"/>
      <c r="H43" s="237"/>
    </row>
    <row r="44" spans="2:8" ht="15" x14ac:dyDescent="0.3">
      <c r="B44" s="243" t="s">
        <v>612</v>
      </c>
      <c r="C44" s="244">
        <f>+C45</f>
        <v>40959531.530426875</v>
      </c>
      <c r="D44" s="245">
        <f>+SUM(D45:D46)</f>
        <v>0.11276391627646055</v>
      </c>
      <c r="E44" s="246">
        <f>+SUM(E45:E46)</f>
        <v>0</v>
      </c>
      <c r="F44" s="247">
        <f>+SUM(F45:F46)</f>
        <v>0</v>
      </c>
      <c r="G44" s="244">
        <f>+SUM(G45:G46)</f>
        <v>40959531.530426875</v>
      </c>
      <c r="H44" s="245">
        <f>+SUM(H45:H46)</f>
        <v>0.11276391627646055</v>
      </c>
    </row>
    <row r="45" spans="2:8" ht="15" x14ac:dyDescent="0.3">
      <c r="B45" s="253" t="s">
        <v>149</v>
      </c>
      <c r="C45" s="270">
        <v>40959531.530426875</v>
      </c>
      <c r="D45" s="237">
        <f>+C45/$G$15</f>
        <v>0.11276391627646055</v>
      </c>
      <c r="E45" s="271">
        <v>0</v>
      </c>
      <c r="F45" s="242">
        <f>+E45/$G$15</f>
        <v>0</v>
      </c>
      <c r="G45" s="270">
        <f>+C45+E45</f>
        <v>40959531.530426875</v>
      </c>
      <c r="H45" s="237">
        <f>+F45+D45</f>
        <v>0.11276391627646055</v>
      </c>
    </row>
    <row r="46" spans="2:8" ht="15" x14ac:dyDescent="0.3">
      <c r="B46" s="272"/>
      <c r="C46" s="236"/>
      <c r="D46" s="237"/>
      <c r="E46" s="241"/>
      <c r="F46" s="242"/>
      <c r="G46" s="236"/>
      <c r="H46" s="237"/>
    </row>
    <row r="47" spans="2:8" s="223" customFormat="1" ht="15" x14ac:dyDescent="0.3">
      <c r="B47" s="243" t="s">
        <v>227</v>
      </c>
      <c r="C47" s="244">
        <f t="shared" ref="C47:H47" si="7">+SUM(C48:C48)</f>
        <v>646850.78602172399</v>
      </c>
      <c r="D47" s="245">
        <f t="shared" si="7"/>
        <v>1.7808169467009576E-3</v>
      </c>
      <c r="E47" s="246">
        <f t="shared" si="7"/>
        <v>27848.313673096978</v>
      </c>
      <c r="F47" s="247">
        <f t="shared" si="7"/>
        <v>7.6667988967133382E-5</v>
      </c>
      <c r="G47" s="244">
        <f t="shared" si="7"/>
        <v>674699.09969482094</v>
      </c>
      <c r="H47" s="245">
        <f t="shared" si="7"/>
        <v>1.8574849356680909E-3</v>
      </c>
    </row>
    <row r="48" spans="2:8" ht="15" x14ac:dyDescent="0.3">
      <c r="B48" s="253" t="s">
        <v>146</v>
      </c>
      <c r="C48" s="254">
        <v>646850.78602172399</v>
      </c>
      <c r="D48" s="255">
        <f>+C48/$G$15</f>
        <v>1.7808169467009576E-3</v>
      </c>
      <c r="E48" s="256">
        <v>27848.313673096978</v>
      </c>
      <c r="F48" s="257">
        <f>+E48/$G$15</f>
        <v>7.6667988967133382E-5</v>
      </c>
      <c r="G48" s="254">
        <f>+C48+E48</f>
        <v>674699.09969482094</v>
      </c>
      <c r="H48" s="255">
        <f>+F48+D48</f>
        <v>1.8574849356680909E-3</v>
      </c>
    </row>
    <row r="49" spans="2:8" ht="15" x14ac:dyDescent="0.3">
      <c r="B49" s="258"/>
      <c r="C49" s="236"/>
      <c r="D49" s="237"/>
      <c r="E49" s="241"/>
      <c r="F49" s="242"/>
      <c r="G49" s="236"/>
      <c r="H49" s="237"/>
    </row>
    <row r="50" spans="2:8" s="223" customFormat="1" ht="15" x14ac:dyDescent="0.3">
      <c r="B50" s="243" t="s">
        <v>398</v>
      </c>
      <c r="C50" s="244">
        <f t="shared" ref="C50:H50" si="8">SUM(C51:C52)</f>
        <v>230720.58238096524</v>
      </c>
      <c r="D50" s="245">
        <f t="shared" si="8"/>
        <v>6.3518686524860848E-4</v>
      </c>
      <c r="E50" s="244">
        <f t="shared" si="8"/>
        <v>19892.614950128838</v>
      </c>
      <c r="F50" s="245">
        <f t="shared" si="8"/>
        <v>5.4765498601707714E-5</v>
      </c>
      <c r="G50" s="244">
        <f t="shared" si="8"/>
        <v>250613.19733109407</v>
      </c>
      <c r="H50" s="245">
        <f t="shared" si="8"/>
        <v>6.8995236385031617E-4</v>
      </c>
    </row>
    <row r="51" spans="2:8" ht="15" x14ac:dyDescent="0.3">
      <c r="B51" s="273" t="s">
        <v>146</v>
      </c>
      <c r="C51" s="270">
        <v>227212.5857306376</v>
      </c>
      <c r="D51" s="237">
        <f>+C51/$G$15</f>
        <v>6.2552915126128431E-4</v>
      </c>
      <c r="E51" s="241">
        <v>19892.614950128838</v>
      </c>
      <c r="F51" s="242">
        <f>+E51/$G$15</f>
        <v>5.4765498601707714E-5</v>
      </c>
      <c r="G51" s="270">
        <f>+C51+E51</f>
        <v>247105.20068076643</v>
      </c>
      <c r="H51" s="237">
        <f>+F51+D51</f>
        <v>6.8029464986299199E-4</v>
      </c>
    </row>
    <row r="52" spans="2:8" ht="15" x14ac:dyDescent="0.3">
      <c r="B52" s="258" t="s">
        <v>800</v>
      </c>
      <c r="C52" s="270">
        <v>3507.996650327625</v>
      </c>
      <c r="D52" s="237">
        <f>+C52/$G$15</f>
        <v>9.657713987324156E-6</v>
      </c>
      <c r="E52" s="241">
        <v>0</v>
      </c>
      <c r="F52" s="242"/>
      <c r="G52" s="270">
        <f>+C52+E52</f>
        <v>3507.996650327625</v>
      </c>
      <c r="H52" s="237">
        <f>+F52+D52</f>
        <v>9.657713987324156E-6</v>
      </c>
    </row>
    <row r="53" spans="2:8" ht="15.6" thickBot="1" x14ac:dyDescent="0.35">
      <c r="B53" s="274"/>
      <c r="C53" s="275"/>
      <c r="D53" s="276"/>
      <c r="E53" s="275"/>
      <c r="F53" s="276"/>
      <c r="G53" s="275"/>
      <c r="H53" s="276"/>
    </row>
    <row r="54" spans="2:8" ht="15" thickTop="1" x14ac:dyDescent="0.3">
      <c r="B54" s="277" t="s">
        <v>284</v>
      </c>
      <c r="C54" s="278"/>
      <c r="D54" s="279"/>
      <c r="E54" s="9"/>
      <c r="F54" s="9"/>
      <c r="G54" s="280"/>
      <c r="H54" s="281"/>
    </row>
    <row r="55" spans="2:8" ht="13.5" customHeight="1" x14ac:dyDescent="0.3">
      <c r="B55" s="1313" t="s">
        <v>399</v>
      </c>
      <c r="C55" s="1313"/>
      <c r="D55" s="1313"/>
      <c r="E55" s="1313"/>
      <c r="F55" s="1313"/>
      <c r="G55" s="1313"/>
      <c r="H55" s="1313"/>
    </row>
    <row r="56" spans="2:8" ht="27.75" customHeight="1" x14ac:dyDescent="0.3">
      <c r="B56" s="1313" t="s">
        <v>601</v>
      </c>
      <c r="C56" s="1313"/>
      <c r="D56" s="1313"/>
      <c r="E56" s="1313"/>
      <c r="F56" s="1313"/>
      <c r="G56" s="1313"/>
      <c r="H56" s="1313"/>
    </row>
    <row r="57" spans="2:8" x14ac:dyDescent="0.3">
      <c r="B57" s="277"/>
      <c r="C57" s="278"/>
      <c r="D57" s="282"/>
    </row>
    <row r="58" spans="2:8" x14ac:dyDescent="0.3">
      <c r="B58" s="283"/>
      <c r="C58" s="284"/>
      <c r="D58" s="285"/>
      <c r="E58" s="285"/>
      <c r="F58" s="285"/>
      <c r="G58" s="285"/>
      <c r="H58" s="285"/>
    </row>
    <row r="59" spans="2:8" x14ac:dyDescent="0.3">
      <c r="C59" s="15"/>
      <c r="D59" s="15"/>
      <c r="F59" s="15"/>
      <c r="G59" s="15"/>
      <c r="H59" s="15"/>
    </row>
  </sheetData>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D62"/>
  <sheetViews>
    <sheetView showGridLines="0" showRuler="0" zoomScaleNormal="100" zoomScaleSheetLayoutView="85" workbookViewId="0"/>
  </sheetViews>
  <sheetFormatPr baseColWidth="10" defaultColWidth="11.44140625" defaultRowHeight="14.4" x14ac:dyDescent="0.3"/>
  <cols>
    <col min="1" max="1" width="9.44140625" style="3" customWidth="1"/>
    <col min="2" max="2" width="58.5546875" style="3" customWidth="1"/>
    <col min="3" max="3" width="16.5546875" style="3" customWidth="1"/>
    <col min="4" max="16384" width="11.44140625" style="3"/>
  </cols>
  <sheetData>
    <row r="1" spans="1:4" ht="15" x14ac:dyDescent="0.3">
      <c r="A1" s="1" t="s">
        <v>216</v>
      </c>
      <c r="B1" s="2"/>
    </row>
    <row r="2" spans="1:4" ht="15" x14ac:dyDescent="0.3">
      <c r="A2" s="2"/>
      <c r="B2" s="4" t="s">
        <v>693</v>
      </c>
      <c r="C2" s="5"/>
    </row>
    <row r="3" spans="1:4" ht="15" x14ac:dyDescent="0.3">
      <c r="A3" s="2"/>
      <c r="B3" s="4" t="s">
        <v>299</v>
      </c>
      <c r="C3" s="6"/>
    </row>
    <row r="4" spans="1:4" x14ac:dyDescent="0.3">
      <c r="B4" s="7"/>
      <c r="C4" s="7"/>
    </row>
    <row r="5" spans="1:4" ht="15" x14ac:dyDescent="0.3">
      <c r="B5" s="8"/>
      <c r="C5" s="8"/>
    </row>
    <row r="6" spans="1:4" ht="18" x14ac:dyDescent="0.3">
      <c r="B6" s="1327" t="s">
        <v>401</v>
      </c>
      <c r="C6" s="1327"/>
    </row>
    <row r="7" spans="1:4" ht="15" x14ac:dyDescent="0.3">
      <c r="B7" s="1328" t="s">
        <v>240</v>
      </c>
      <c r="C7" s="1328"/>
    </row>
    <row r="8" spans="1:4" x14ac:dyDescent="0.3">
      <c r="B8" s="9"/>
      <c r="C8" s="9"/>
    </row>
    <row r="9" spans="1:4" x14ac:dyDescent="0.3">
      <c r="B9" s="10"/>
      <c r="C9" s="10"/>
    </row>
    <row r="10" spans="1:4" ht="15" thickBot="1" x14ac:dyDescent="0.35">
      <c r="B10" s="11" t="s">
        <v>885</v>
      </c>
      <c r="C10" s="12"/>
    </row>
    <row r="11" spans="1:4" ht="17.399999999999999" thickTop="1" thickBot="1" x14ac:dyDescent="0.35">
      <c r="B11" s="13" t="s">
        <v>72</v>
      </c>
      <c r="C11" s="14">
        <v>2.7491310765844875E-2</v>
      </c>
      <c r="D11" s="15"/>
    </row>
    <row r="12" spans="1:4" ht="15" thickTop="1" x14ac:dyDescent="0.3">
      <c r="B12" s="16"/>
      <c r="C12" s="17"/>
      <c r="D12" s="15"/>
    </row>
    <row r="13" spans="1:4" ht="15" x14ac:dyDescent="0.3">
      <c r="B13" s="18" t="s">
        <v>244</v>
      </c>
      <c r="C13" s="19">
        <v>0.1263699001641426</v>
      </c>
      <c r="D13" s="15"/>
    </row>
    <row r="14" spans="1:4" x14ac:dyDescent="0.3">
      <c r="B14" s="20"/>
      <c r="C14" s="21"/>
      <c r="D14" s="15"/>
    </row>
    <row r="15" spans="1:4" x14ac:dyDescent="0.3">
      <c r="B15" s="22" t="s">
        <v>246</v>
      </c>
      <c r="C15" s="23">
        <v>0.23275718135829723</v>
      </c>
      <c r="D15" s="15"/>
    </row>
    <row r="16" spans="1:4" x14ac:dyDescent="0.3">
      <c r="B16" s="22" t="s">
        <v>41</v>
      </c>
      <c r="C16" s="23">
        <v>0.40970569963903047</v>
      </c>
      <c r="D16" s="15"/>
    </row>
    <row r="17" spans="2:4" x14ac:dyDescent="0.3">
      <c r="B17" s="22" t="s">
        <v>42</v>
      </c>
      <c r="C17" s="24">
        <v>1.0337206561783959E-2</v>
      </c>
      <c r="D17" s="15"/>
    </row>
    <row r="18" spans="2:4" x14ac:dyDescent="0.3">
      <c r="B18" s="25" t="s">
        <v>520</v>
      </c>
      <c r="C18" s="24">
        <v>0</v>
      </c>
      <c r="D18" s="15"/>
    </row>
    <row r="19" spans="2:4" x14ac:dyDescent="0.3">
      <c r="B19" s="26"/>
      <c r="C19" s="27"/>
      <c r="D19" s="15"/>
    </row>
    <row r="20" spans="2:4" ht="15" x14ac:dyDescent="0.3">
      <c r="B20" s="18" t="s">
        <v>245</v>
      </c>
      <c r="C20" s="28">
        <v>2.2150715613512645E-2</v>
      </c>
      <c r="D20" s="15"/>
    </row>
    <row r="21" spans="2:4" x14ac:dyDescent="0.3">
      <c r="B21" s="20"/>
      <c r="C21" s="29"/>
      <c r="D21" s="15"/>
    </row>
    <row r="22" spans="2:4" x14ac:dyDescent="0.3">
      <c r="B22" s="22" t="s">
        <v>246</v>
      </c>
      <c r="C22" s="24">
        <v>2.3690148362741671E-2</v>
      </c>
      <c r="D22" s="15"/>
    </row>
    <row r="23" spans="2:4" x14ac:dyDescent="0.3">
      <c r="B23" s="22" t="s">
        <v>41</v>
      </c>
      <c r="C23" s="24">
        <v>1.5385004909346141E-2</v>
      </c>
      <c r="D23" s="15"/>
    </row>
    <row r="24" spans="2:4" x14ac:dyDescent="0.3">
      <c r="B24" s="30" t="s">
        <v>247</v>
      </c>
      <c r="C24" s="24">
        <v>4.9999999999999996E-2</v>
      </c>
      <c r="D24" s="15"/>
    </row>
    <row r="25" spans="2:4" x14ac:dyDescent="0.3">
      <c r="B25" s="22" t="s">
        <v>42</v>
      </c>
      <c r="C25" s="24">
        <v>1.77E-2</v>
      </c>
      <c r="D25" s="15"/>
    </row>
    <row r="26" spans="2:4" x14ac:dyDescent="0.3">
      <c r="B26" s="26"/>
      <c r="C26" s="27"/>
      <c r="D26" s="15"/>
    </row>
    <row r="27" spans="2:4" ht="15" x14ac:dyDescent="0.3">
      <c r="B27" s="18" t="s">
        <v>241</v>
      </c>
      <c r="C27" s="28">
        <v>9.7681731198756613E-3</v>
      </c>
      <c r="D27" s="15"/>
    </row>
    <row r="28" spans="2:4" x14ac:dyDescent="0.3">
      <c r="B28" s="20"/>
      <c r="C28" s="29"/>
      <c r="D28" s="15"/>
    </row>
    <row r="29" spans="2:4" x14ac:dyDescent="0.3">
      <c r="B29" s="22" t="s">
        <v>246</v>
      </c>
      <c r="C29" s="24">
        <v>7.9710837204987998E-3</v>
      </c>
      <c r="D29" s="15"/>
    </row>
    <row r="30" spans="2:4" x14ac:dyDescent="0.3">
      <c r="B30" s="22" t="s">
        <v>41</v>
      </c>
      <c r="C30" s="24">
        <v>1.6056393210648392E-4</v>
      </c>
      <c r="D30" s="15"/>
    </row>
    <row r="31" spans="2:4" x14ac:dyDescent="0.3">
      <c r="B31" s="22" t="s">
        <v>556</v>
      </c>
      <c r="C31" s="24">
        <v>0</v>
      </c>
      <c r="D31" s="15"/>
    </row>
    <row r="32" spans="2:4" x14ac:dyDescent="0.3">
      <c r="B32" s="22" t="s">
        <v>242</v>
      </c>
      <c r="C32" s="24">
        <v>2.0337317278196106E-2</v>
      </c>
      <c r="D32" s="15"/>
    </row>
    <row r="33" spans="2:4" x14ac:dyDescent="0.3">
      <c r="B33" s="22" t="s">
        <v>243</v>
      </c>
      <c r="C33" s="24">
        <v>4.3997197647854251E-2</v>
      </c>
      <c r="D33" s="15"/>
    </row>
    <row r="34" spans="2:4" x14ac:dyDescent="0.3">
      <c r="B34" s="22" t="s">
        <v>42</v>
      </c>
      <c r="C34" s="24">
        <v>2.9301695177569543E-3</v>
      </c>
      <c r="D34" s="15"/>
    </row>
    <row r="35" spans="2:4" x14ac:dyDescent="0.3">
      <c r="B35" s="31"/>
      <c r="C35" s="27"/>
      <c r="D35" s="15"/>
    </row>
    <row r="36" spans="2:4" ht="15" x14ac:dyDescent="0.3">
      <c r="B36" s="18" t="s">
        <v>248</v>
      </c>
      <c r="C36" s="32">
        <v>2.1845556564342575E-2</v>
      </c>
      <c r="D36" s="15"/>
    </row>
    <row r="37" spans="2:4" x14ac:dyDescent="0.3">
      <c r="B37" s="20"/>
      <c r="C37" s="21"/>
      <c r="D37" s="15"/>
    </row>
    <row r="38" spans="2:4" x14ac:dyDescent="0.3">
      <c r="B38" s="22" t="s">
        <v>246</v>
      </c>
      <c r="C38" s="23">
        <v>1.2822267142953352E-2</v>
      </c>
      <c r="D38" s="15"/>
    </row>
    <row r="39" spans="2:4" x14ac:dyDescent="0.3">
      <c r="B39" s="22" t="s">
        <v>243</v>
      </c>
      <c r="C39" s="23">
        <v>8.3558738942266952E-2</v>
      </c>
      <c r="D39" s="15"/>
    </row>
    <row r="40" spans="2:4" x14ac:dyDescent="0.3">
      <c r="B40" s="22" t="s">
        <v>242</v>
      </c>
      <c r="C40" s="23">
        <v>1.0200000000000001E-2</v>
      </c>
      <c r="D40" s="15"/>
    </row>
    <row r="41" spans="2:4" x14ac:dyDescent="0.3">
      <c r="B41" s="22" t="s">
        <v>42</v>
      </c>
      <c r="C41" s="23">
        <v>1.3536054245342042E-2</v>
      </c>
      <c r="D41" s="15"/>
    </row>
    <row r="42" spans="2:4" x14ac:dyDescent="0.3">
      <c r="B42" s="26"/>
      <c r="C42" s="33"/>
      <c r="D42" s="15"/>
    </row>
    <row r="43" spans="2:4" ht="15" x14ac:dyDescent="0.3">
      <c r="B43" s="34" t="s">
        <v>612</v>
      </c>
      <c r="C43" s="32">
        <v>3.0926551858650855E-2</v>
      </c>
      <c r="D43" s="15"/>
    </row>
    <row r="44" spans="2:4" x14ac:dyDescent="0.3">
      <c r="B44" s="20"/>
      <c r="C44" s="21"/>
      <c r="D44" s="15"/>
    </row>
    <row r="45" spans="2:4" x14ac:dyDescent="0.3">
      <c r="B45" s="22" t="s">
        <v>242</v>
      </c>
      <c r="C45" s="23">
        <v>3.0926551858650855E-2</v>
      </c>
      <c r="D45" s="15"/>
    </row>
    <row r="46" spans="2:4" x14ac:dyDescent="0.3">
      <c r="B46" s="26"/>
      <c r="C46" s="33"/>
      <c r="D46" s="15"/>
    </row>
    <row r="47" spans="2:4" ht="15" x14ac:dyDescent="0.3">
      <c r="B47" s="34" t="s">
        <v>249</v>
      </c>
      <c r="C47" s="32">
        <v>6.1602669855688998E-2</v>
      </c>
      <c r="D47" s="15"/>
    </row>
    <row r="48" spans="2:4" x14ac:dyDescent="0.3">
      <c r="B48" s="20"/>
      <c r="C48" s="21"/>
      <c r="D48" s="15"/>
    </row>
    <row r="49" spans="2:4" x14ac:dyDescent="0.3">
      <c r="B49" s="22" t="s">
        <v>246</v>
      </c>
      <c r="C49" s="23">
        <v>1.9568321020483913E-2</v>
      </c>
      <c r="D49" s="15"/>
    </row>
    <row r="50" spans="2:4" x14ac:dyDescent="0.3">
      <c r="B50" s="22" t="s">
        <v>243</v>
      </c>
      <c r="C50" s="23">
        <v>8.6864231417061455E-2</v>
      </c>
      <c r="D50" s="15"/>
    </row>
    <row r="51" spans="2:4" x14ac:dyDescent="0.3">
      <c r="B51" s="26"/>
      <c r="C51" s="33"/>
      <c r="D51" s="15"/>
    </row>
    <row r="52" spans="2:4" ht="15" x14ac:dyDescent="0.3">
      <c r="B52" s="18" t="s">
        <v>250</v>
      </c>
      <c r="C52" s="32">
        <v>6.5167385775562886E-2</v>
      </c>
      <c r="D52" s="15"/>
    </row>
    <row r="53" spans="2:4" x14ac:dyDescent="0.3">
      <c r="B53" s="20"/>
      <c r="C53" s="21"/>
      <c r="D53" s="15"/>
    </row>
    <row r="54" spans="2:4" x14ac:dyDescent="0.3">
      <c r="B54" s="22" t="s">
        <v>243</v>
      </c>
      <c r="C54" s="23">
        <v>6.617185984560596E-2</v>
      </c>
      <c r="D54" s="15"/>
    </row>
    <row r="55" spans="2:4" x14ac:dyDescent="0.3">
      <c r="B55" s="22" t="s">
        <v>42</v>
      </c>
      <c r="C55" s="23">
        <v>2.5312926085363108E-3</v>
      </c>
      <c r="D55" s="15"/>
    </row>
    <row r="56" spans="2:4" ht="15" thickBot="1" x14ac:dyDescent="0.35">
      <c r="B56" s="35"/>
      <c r="C56" s="36"/>
      <c r="D56" s="15"/>
    </row>
    <row r="57" spans="2:4" ht="15" thickTop="1" x14ac:dyDescent="0.3">
      <c r="B57" s="9"/>
      <c r="C57" s="9"/>
    </row>
    <row r="58" spans="2:4" x14ac:dyDescent="0.3">
      <c r="B58" s="1329" t="s">
        <v>918</v>
      </c>
      <c r="C58" s="1329"/>
    </row>
    <row r="59" spans="2:4" ht="16.5" customHeight="1" x14ac:dyDescent="0.3">
      <c r="B59" s="1329"/>
      <c r="C59" s="1329"/>
    </row>
    <row r="60" spans="2:4" x14ac:dyDescent="0.3">
      <c r="B60" s="1329"/>
      <c r="C60" s="1329"/>
    </row>
    <row r="61" spans="2:4" x14ac:dyDescent="0.3">
      <c r="B61" s="37"/>
      <c r="C61" s="37"/>
    </row>
    <row r="62" spans="2:4"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I38"/>
  <sheetViews>
    <sheetView showGridLines="0" zoomScaleNormal="100" zoomScaleSheetLayoutView="85" workbookViewId="0"/>
  </sheetViews>
  <sheetFormatPr baseColWidth="10" defaultColWidth="11.44140625" defaultRowHeight="14.4" x14ac:dyDescent="0.3"/>
  <cols>
    <col min="1" max="1" width="6.77734375" style="288" customWidth="1"/>
    <col min="2" max="2" width="51" style="287" customWidth="1"/>
    <col min="3" max="3" width="18.77734375" style="287" customWidth="1"/>
    <col min="4" max="16384" width="11.44140625" style="287"/>
  </cols>
  <sheetData>
    <row r="1" spans="1:9" ht="15" x14ac:dyDescent="0.3">
      <c r="A1" s="1" t="s">
        <v>216</v>
      </c>
      <c r="B1" s="286"/>
    </row>
    <row r="2" spans="1:9" ht="15" x14ac:dyDescent="0.3">
      <c r="A2" s="286"/>
      <c r="B2" s="4" t="s">
        <v>693</v>
      </c>
      <c r="C2" s="135"/>
    </row>
    <row r="3" spans="1:9" ht="15" x14ac:dyDescent="0.3">
      <c r="A3" s="286"/>
      <c r="B3" s="4" t="s">
        <v>299</v>
      </c>
      <c r="C3" s="135"/>
    </row>
    <row r="4" spans="1:9" ht="11.4" x14ac:dyDescent="0.2">
      <c r="A4" s="287"/>
      <c r="B4" s="135"/>
      <c r="C4" s="135"/>
    </row>
    <row r="5" spans="1:9" ht="11.4" x14ac:dyDescent="0.2">
      <c r="A5" s="287"/>
      <c r="B5" s="135"/>
      <c r="C5" s="135"/>
    </row>
    <row r="6" spans="1:9" ht="18" x14ac:dyDescent="0.3">
      <c r="B6" s="1305" t="s">
        <v>615</v>
      </c>
      <c r="C6" s="1305"/>
    </row>
    <row r="7" spans="1:9" ht="15" x14ac:dyDescent="0.3">
      <c r="B7" s="1328" t="s">
        <v>616</v>
      </c>
      <c r="C7" s="1328"/>
    </row>
    <row r="8" spans="1:9" ht="11.4" x14ac:dyDescent="0.2">
      <c r="A8" s="287"/>
      <c r="B8" s="289"/>
      <c r="C8" s="289"/>
    </row>
    <row r="9" spans="1:9" ht="12" thickBot="1" x14ac:dyDescent="0.25">
      <c r="A9" s="287"/>
      <c r="B9" s="135"/>
      <c r="C9" s="135"/>
    </row>
    <row r="10" spans="1:9" ht="16.2" thickTop="1" thickBot="1" x14ac:dyDescent="0.35">
      <c r="B10" s="290" t="s">
        <v>885</v>
      </c>
      <c r="C10" s="291" t="s">
        <v>46</v>
      </c>
    </row>
    <row r="11" spans="1:9" ht="12" thickTop="1" x14ac:dyDescent="0.2">
      <c r="A11" s="287"/>
      <c r="B11" s="292"/>
      <c r="C11" s="293"/>
    </row>
    <row r="12" spans="1:9" ht="18" x14ac:dyDescent="0.3">
      <c r="B12" s="294" t="s">
        <v>54</v>
      </c>
      <c r="C12" s="295">
        <v>6.1398620117809397</v>
      </c>
    </row>
    <row r="13" spans="1:9" x14ac:dyDescent="0.3">
      <c r="B13" s="296"/>
      <c r="C13" s="297"/>
    </row>
    <row r="14" spans="1:9" s="286" customFormat="1" ht="16.2" x14ac:dyDescent="0.3">
      <c r="B14" s="298" t="s">
        <v>351</v>
      </c>
      <c r="C14" s="299">
        <v>7.5259365108032359</v>
      </c>
      <c r="D14" s="287"/>
      <c r="F14" s="287"/>
      <c r="G14" s="287"/>
      <c r="H14" s="287"/>
      <c r="I14" s="287"/>
    </row>
    <row r="15" spans="1:9" ht="15" x14ac:dyDescent="0.3">
      <c r="B15" s="300"/>
      <c r="C15" s="301"/>
    </row>
    <row r="16" spans="1:9" s="286" customFormat="1" ht="16.2" x14ac:dyDescent="0.3">
      <c r="B16" s="298" t="s">
        <v>523</v>
      </c>
      <c r="C16" s="299">
        <v>9.6494217543008727</v>
      </c>
      <c r="D16" s="287"/>
      <c r="F16" s="287"/>
      <c r="G16" s="287"/>
      <c r="H16" s="287"/>
      <c r="I16" s="287"/>
    </row>
    <row r="17" spans="1:9" ht="15" x14ac:dyDescent="0.3">
      <c r="B17" s="300"/>
      <c r="C17" s="301"/>
    </row>
    <row r="18" spans="1:9" s="286" customFormat="1" ht="16.2" x14ac:dyDescent="0.3">
      <c r="B18" s="298" t="s">
        <v>93</v>
      </c>
      <c r="C18" s="299">
        <v>1.0227179928592873</v>
      </c>
      <c r="D18" s="287"/>
      <c r="F18" s="287"/>
      <c r="G18" s="287"/>
      <c r="H18" s="287"/>
      <c r="I18" s="287"/>
    </row>
    <row r="19" spans="1:9" x14ac:dyDescent="0.3">
      <c r="B19" s="302"/>
      <c r="C19" s="303"/>
    </row>
    <row r="20" spans="1:9" s="286" customFormat="1" ht="16.2" x14ac:dyDescent="0.3">
      <c r="B20" s="298" t="s">
        <v>47</v>
      </c>
      <c r="C20" s="299">
        <v>4.6664149927154135</v>
      </c>
      <c r="D20" s="287"/>
      <c r="F20" s="287"/>
      <c r="G20" s="287"/>
      <c r="H20" s="287"/>
      <c r="I20" s="287"/>
    </row>
    <row r="21" spans="1:9" x14ac:dyDescent="0.3">
      <c r="A21" s="287"/>
      <c r="B21" s="142"/>
      <c r="C21" s="304"/>
    </row>
    <row r="22" spans="1:9" s="288" customFormat="1" ht="15" x14ac:dyDescent="0.3">
      <c r="B22" s="305" t="s">
        <v>55</v>
      </c>
      <c r="C22" s="306">
        <v>4.7749849527453234</v>
      </c>
      <c r="D22" s="287"/>
      <c r="F22" s="287"/>
      <c r="G22" s="287"/>
      <c r="H22" s="287"/>
      <c r="I22" s="287"/>
    </row>
    <row r="23" spans="1:9" x14ac:dyDescent="0.3">
      <c r="A23" s="287"/>
      <c r="B23" s="142"/>
      <c r="C23" s="304"/>
    </row>
    <row r="24" spans="1:9" s="288" customFormat="1" ht="15" x14ac:dyDescent="0.3">
      <c r="B24" s="305" t="s">
        <v>56</v>
      </c>
      <c r="C24" s="306">
        <v>3.5266284928474931</v>
      </c>
      <c r="D24" s="287"/>
      <c r="F24" s="287"/>
      <c r="G24" s="287"/>
      <c r="H24" s="287"/>
      <c r="I24" s="287"/>
    </row>
    <row r="25" spans="1:9" x14ac:dyDescent="0.3">
      <c r="A25" s="287"/>
      <c r="B25" s="142"/>
      <c r="C25" s="304"/>
    </row>
    <row r="26" spans="1:9" s="288" customFormat="1" ht="15" x14ac:dyDescent="0.3">
      <c r="B26" s="305" t="s">
        <v>57</v>
      </c>
      <c r="C26" s="306">
        <v>9.1349646779735298</v>
      </c>
      <c r="D26" s="287"/>
      <c r="F26" s="287"/>
      <c r="G26" s="287"/>
      <c r="H26" s="287"/>
      <c r="I26" s="287"/>
    </row>
    <row r="27" spans="1:9" x14ac:dyDescent="0.3">
      <c r="A27" s="287"/>
      <c r="B27" s="142"/>
      <c r="C27" s="304"/>
    </row>
    <row r="28" spans="1:9" s="288" customFormat="1" ht="15" x14ac:dyDescent="0.3">
      <c r="B28" s="305" t="s">
        <v>361</v>
      </c>
      <c r="C28" s="306">
        <v>4.7519294086896968</v>
      </c>
      <c r="D28" s="287"/>
      <c r="F28" s="287"/>
      <c r="G28" s="287"/>
      <c r="H28" s="287"/>
      <c r="I28" s="287"/>
    </row>
    <row r="29" spans="1:9" x14ac:dyDescent="0.3">
      <c r="A29" s="287"/>
      <c r="B29" s="142"/>
      <c r="C29" s="304"/>
    </row>
    <row r="30" spans="1:9" s="288" customFormat="1" ht="15" x14ac:dyDescent="0.3">
      <c r="B30" s="305" t="s">
        <v>58</v>
      </c>
      <c r="C30" s="306">
        <v>1.5040749519737793</v>
      </c>
      <c r="D30" s="287"/>
      <c r="F30" s="287"/>
      <c r="G30" s="287"/>
      <c r="H30" s="287"/>
      <c r="I30" s="287"/>
    </row>
    <row r="31" spans="1:9" x14ac:dyDescent="0.3">
      <c r="A31" s="287"/>
      <c r="B31" s="307"/>
      <c r="C31" s="308"/>
    </row>
    <row r="32" spans="1:9" s="288" customFormat="1" ht="15" x14ac:dyDescent="0.3">
      <c r="B32" s="305" t="s">
        <v>678</v>
      </c>
      <c r="C32" s="306">
        <v>6.0757053689138676</v>
      </c>
      <c r="D32" s="287"/>
      <c r="F32" s="287"/>
      <c r="G32" s="287"/>
      <c r="H32" s="287"/>
      <c r="I32" s="287"/>
    </row>
    <row r="33" spans="1:9" x14ac:dyDescent="0.3">
      <c r="A33" s="287"/>
      <c r="B33" s="307"/>
      <c r="C33" s="304"/>
    </row>
    <row r="34" spans="1:9" s="286" customFormat="1" ht="16.2" x14ac:dyDescent="0.3">
      <c r="B34" s="298" t="s">
        <v>92</v>
      </c>
      <c r="C34" s="299">
        <v>1.2222683076113796</v>
      </c>
      <c r="D34" s="287"/>
      <c r="F34" s="287"/>
      <c r="G34" s="287"/>
      <c r="H34" s="287"/>
      <c r="I34" s="287"/>
    </row>
    <row r="35" spans="1:9" ht="15" thickBot="1" x14ac:dyDescent="0.35">
      <c r="A35" s="287"/>
      <c r="B35" s="140"/>
      <c r="C35" s="309"/>
    </row>
    <row r="36" spans="1:9" ht="12" thickTop="1" x14ac:dyDescent="0.2">
      <c r="A36" s="287"/>
      <c r="B36" s="135"/>
      <c r="C36" s="135"/>
    </row>
    <row r="37" spans="1:9" x14ac:dyDescent="0.3">
      <c r="A37" s="287"/>
      <c r="B37" s="1330" t="s">
        <v>617</v>
      </c>
      <c r="C37" s="1330"/>
    </row>
    <row r="38" spans="1:9" ht="15" x14ac:dyDescent="0.3">
      <c r="A38" s="287"/>
      <c r="B38" s="310"/>
      <c r="C38" s="135"/>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N71"/>
  <sheetViews>
    <sheetView showGridLines="0" showRuler="0" zoomScale="85" zoomScaleNormal="85" zoomScaleSheetLayoutView="85" workbookViewId="0"/>
  </sheetViews>
  <sheetFormatPr baseColWidth="10" defaultColWidth="32.5546875" defaultRowHeight="15" x14ac:dyDescent="0.3"/>
  <cols>
    <col min="1" max="1" width="8.5546875" style="3" bestFit="1" customWidth="1"/>
    <col min="2" max="2" width="14.44140625" style="280" customWidth="1"/>
    <col min="3" max="3" width="43.21875" style="280" bestFit="1" customWidth="1"/>
    <col min="4" max="4" width="36.77734375" style="280" customWidth="1"/>
    <col min="5" max="5" width="13.77734375" style="311" bestFit="1" customWidth="1"/>
    <col min="6" max="6" width="17.44140625" style="280" customWidth="1"/>
    <col min="7" max="8" width="18.21875" style="280" customWidth="1"/>
    <col min="9" max="9" width="14.5546875" style="280" customWidth="1"/>
    <col min="10" max="16384" width="32.5546875" style="280"/>
  </cols>
  <sheetData>
    <row r="1" spans="1:8" x14ac:dyDescent="0.3">
      <c r="A1" s="1" t="s">
        <v>216</v>
      </c>
      <c r="B1" s="311"/>
    </row>
    <row r="2" spans="1:8" x14ac:dyDescent="0.3">
      <c r="A2" s="2"/>
      <c r="B2" s="4" t="s">
        <v>693</v>
      </c>
      <c r="C2" s="312"/>
      <c r="D2" s="312"/>
      <c r="E2" s="133"/>
      <c r="F2" s="9"/>
      <c r="G2" s="9"/>
      <c r="H2" s="313"/>
    </row>
    <row r="3" spans="1:8" x14ac:dyDescent="0.3">
      <c r="A3" s="2"/>
      <c r="B3" s="4" t="s">
        <v>299</v>
      </c>
      <c r="C3" s="312"/>
      <c r="D3" s="312"/>
      <c r="E3" s="133"/>
      <c r="F3" s="9"/>
      <c r="G3" s="9"/>
      <c r="H3" s="9"/>
    </row>
    <row r="4" spans="1:8" s="314" customFormat="1" x14ac:dyDescent="0.3">
      <c r="A4" s="138"/>
      <c r="B4" s="135"/>
      <c r="C4" s="135"/>
      <c r="D4" s="135"/>
      <c r="E4" s="312"/>
      <c r="F4" s="167"/>
      <c r="G4" s="167"/>
      <c r="H4" s="135"/>
    </row>
    <row r="5" spans="1:8" s="314" customFormat="1" x14ac:dyDescent="0.3">
      <c r="A5" s="138"/>
      <c r="B5" s="135"/>
      <c r="C5" s="135"/>
      <c r="D5" s="135"/>
      <c r="E5" s="312"/>
      <c r="F5" s="167"/>
      <c r="G5" s="167"/>
      <c r="H5" s="135"/>
    </row>
    <row r="6" spans="1:8" ht="18" x14ac:dyDescent="0.3">
      <c r="B6" s="1305" t="s">
        <v>302</v>
      </c>
      <c r="C6" s="1305"/>
      <c r="D6" s="1305"/>
      <c r="E6" s="1305"/>
      <c r="F6" s="1305"/>
      <c r="G6" s="1305"/>
      <c r="H6" s="1305"/>
    </row>
    <row r="7" spans="1:8" ht="18" x14ac:dyDescent="0.3">
      <c r="B7" s="1305" t="s">
        <v>288</v>
      </c>
      <c r="C7" s="1305"/>
      <c r="D7" s="1305"/>
      <c r="E7" s="1305"/>
      <c r="F7" s="1305"/>
      <c r="G7" s="1305"/>
      <c r="H7" s="1305"/>
    </row>
    <row r="8" spans="1:8" x14ac:dyDescent="0.3">
      <c r="B8" s="1334" t="s">
        <v>888</v>
      </c>
      <c r="C8" s="1334"/>
      <c r="D8" s="1334"/>
      <c r="E8" s="1334"/>
      <c r="F8" s="1334"/>
      <c r="G8" s="1334"/>
      <c r="H8" s="1334"/>
    </row>
    <row r="9" spans="1:8" s="314" customFormat="1" ht="12.75" customHeight="1" x14ac:dyDescent="0.3">
      <c r="A9" s="138"/>
      <c r="B9" s="135"/>
      <c r="C9" s="315"/>
      <c r="D9" s="315"/>
      <c r="E9" s="312"/>
      <c r="F9" s="315"/>
      <c r="G9" s="315"/>
      <c r="H9" s="316"/>
    </row>
    <row r="10" spans="1:8" s="314" customFormat="1" ht="12.75" customHeight="1" x14ac:dyDescent="0.3">
      <c r="A10" s="138"/>
      <c r="B10" s="135"/>
      <c r="C10" s="315"/>
      <c r="D10" s="315"/>
      <c r="E10" s="312"/>
      <c r="F10" s="315"/>
      <c r="G10" s="315"/>
      <c r="H10" s="316"/>
    </row>
    <row r="11" spans="1:8" ht="15.6" thickBot="1" x14ac:dyDescent="0.35">
      <c r="B11" s="9"/>
      <c r="C11" s="317"/>
      <c r="D11" s="317"/>
      <c r="E11" s="133"/>
      <c r="F11" s="317"/>
      <c r="G11" s="317"/>
      <c r="H11" s="313" t="s">
        <v>289</v>
      </c>
    </row>
    <row r="12" spans="1:8" thickTop="1" x14ac:dyDescent="0.3">
      <c r="B12" s="1335" t="s">
        <v>290</v>
      </c>
      <c r="C12" s="1338" t="s">
        <v>285</v>
      </c>
      <c r="D12" s="1338" t="s">
        <v>228</v>
      </c>
      <c r="E12" s="1338" t="s">
        <v>286</v>
      </c>
      <c r="F12" s="1341" t="s">
        <v>291</v>
      </c>
      <c r="G12" s="1341" t="s">
        <v>322</v>
      </c>
      <c r="H12" s="1344" t="s">
        <v>323</v>
      </c>
    </row>
    <row r="13" spans="1:8" ht="14.4" x14ac:dyDescent="0.3">
      <c r="B13" s="1336"/>
      <c r="C13" s="1339"/>
      <c r="D13" s="1339"/>
      <c r="E13" s="1339"/>
      <c r="F13" s="1342"/>
      <c r="G13" s="1342"/>
      <c r="H13" s="1345"/>
    </row>
    <row r="14" spans="1:8" ht="14.4" x14ac:dyDescent="0.3">
      <c r="B14" s="1336"/>
      <c r="C14" s="1339"/>
      <c r="D14" s="1339"/>
      <c r="E14" s="1339"/>
      <c r="F14" s="1342"/>
      <c r="G14" s="1342"/>
      <c r="H14" s="1345"/>
    </row>
    <row r="15" spans="1:8" ht="14.4" x14ac:dyDescent="0.3">
      <c r="B15" s="1336"/>
      <c r="C15" s="1339"/>
      <c r="D15" s="1339"/>
      <c r="E15" s="1339"/>
      <c r="F15" s="1342"/>
      <c r="G15" s="1342"/>
      <c r="H15" s="1345"/>
    </row>
    <row r="16" spans="1:8" ht="14.4" x14ac:dyDescent="0.3">
      <c r="B16" s="1337"/>
      <c r="C16" s="1340"/>
      <c r="D16" s="1340"/>
      <c r="E16" s="1340"/>
      <c r="F16" s="1343"/>
      <c r="G16" s="1343"/>
      <c r="H16" s="1346"/>
    </row>
    <row r="17" spans="1:8" x14ac:dyDescent="0.3">
      <c r="B17" s="318"/>
      <c r="C17" s="319"/>
      <c r="D17" s="319"/>
      <c r="E17" s="320"/>
      <c r="F17" s="321"/>
      <c r="G17" s="321"/>
      <c r="H17" s="322"/>
    </row>
    <row r="18" spans="1:8" x14ac:dyDescent="0.3">
      <c r="B18" s="323"/>
      <c r="C18" s="324" t="s">
        <v>300</v>
      </c>
      <c r="D18" s="324"/>
      <c r="E18" s="325"/>
      <c r="F18" s="326">
        <f>+F20+F23+F40</f>
        <v>13099057.916582871</v>
      </c>
      <c r="G18" s="326">
        <f>+G20+G23+G40</f>
        <v>12844151.341309126</v>
      </c>
      <c r="H18" s="327">
        <f>+H20+H23+H40</f>
        <v>12896542.227699747</v>
      </c>
    </row>
    <row r="19" spans="1:8" x14ac:dyDescent="0.3">
      <c r="B19" s="323"/>
      <c r="C19" s="324"/>
      <c r="D19" s="324"/>
      <c r="E19" s="325"/>
      <c r="F19" s="328"/>
      <c r="G19" s="328"/>
      <c r="H19" s="329"/>
    </row>
    <row r="20" spans="1:8" s="311" customFormat="1" x14ac:dyDescent="0.3">
      <c r="A20" s="2"/>
      <c r="B20" s="323"/>
      <c r="C20" s="330" t="s">
        <v>368</v>
      </c>
      <c r="D20" s="330"/>
      <c r="E20" s="331"/>
      <c r="F20" s="332">
        <f>+F21</f>
        <v>204171.40942092458</v>
      </c>
      <c r="G20" s="332">
        <f>+G21</f>
        <v>69418.279203114362</v>
      </c>
      <c r="H20" s="333">
        <f>+H21</f>
        <v>121807.69917203893</v>
      </c>
    </row>
    <row r="21" spans="1:8" x14ac:dyDescent="0.3">
      <c r="B21" s="323">
        <v>40182</v>
      </c>
      <c r="C21" s="334" t="s">
        <v>737</v>
      </c>
      <c r="D21" s="335" t="s">
        <v>229</v>
      </c>
      <c r="E21" s="336">
        <v>2022</v>
      </c>
      <c r="F21" s="337">
        <v>204171.40942092458</v>
      </c>
      <c r="G21" s="337">
        <v>69418.279203114362</v>
      </c>
      <c r="H21" s="338">
        <v>121807.69917203893</v>
      </c>
    </row>
    <row r="22" spans="1:8" x14ac:dyDescent="0.3">
      <c r="B22" s="323"/>
      <c r="C22" s="334"/>
      <c r="D22" s="335"/>
      <c r="E22" s="336"/>
      <c r="F22" s="339"/>
      <c r="G22" s="328"/>
      <c r="H22" s="329"/>
    </row>
    <row r="23" spans="1:8" s="345" customFormat="1" x14ac:dyDescent="0.3">
      <c r="A23" s="340"/>
      <c r="B23" s="341"/>
      <c r="C23" s="330" t="s">
        <v>675</v>
      </c>
      <c r="D23" s="342"/>
      <c r="E23" s="336"/>
      <c r="F23" s="343">
        <f>+SUM(F24:F38)</f>
        <v>12894886.507161947</v>
      </c>
      <c r="G23" s="343">
        <f>+SUM(G24:G38)</f>
        <v>12774733.062106011</v>
      </c>
      <c r="H23" s="344">
        <f>+SUM(H24:H38)</f>
        <v>12774733.062106278</v>
      </c>
    </row>
    <row r="24" spans="1:8" x14ac:dyDescent="0.3">
      <c r="B24" s="323">
        <v>43294</v>
      </c>
      <c r="C24" s="334" t="s">
        <v>738</v>
      </c>
      <c r="D24" s="346" t="s">
        <v>739</v>
      </c>
      <c r="E24" s="336">
        <v>2022</v>
      </c>
      <c r="F24" s="337">
        <v>739.06899999999996</v>
      </c>
      <c r="G24" s="337">
        <v>739.06899999999996</v>
      </c>
      <c r="H24" s="338">
        <v>739.06899999999996</v>
      </c>
    </row>
    <row r="25" spans="1:8" x14ac:dyDescent="0.3">
      <c r="B25" s="323">
        <v>43193</v>
      </c>
      <c r="C25" s="334" t="s">
        <v>592</v>
      </c>
      <c r="D25" s="347">
        <v>6.7276394391951197E-2</v>
      </c>
      <c r="E25" s="336">
        <v>2028</v>
      </c>
      <c r="F25" s="337">
        <v>456295.88947931875</v>
      </c>
      <c r="G25" s="337">
        <v>340044.59975353186</v>
      </c>
      <c r="H25" s="338">
        <v>340044.5997534793</v>
      </c>
    </row>
    <row r="26" spans="1:8" x14ac:dyDescent="0.3">
      <c r="B26" s="323">
        <v>42828</v>
      </c>
      <c r="C26" s="334" t="s">
        <v>557</v>
      </c>
      <c r="D26" s="348" t="s">
        <v>496</v>
      </c>
      <c r="E26" s="336">
        <v>2022</v>
      </c>
      <c r="F26" s="337">
        <v>675524.79645742092</v>
      </c>
      <c r="G26" s="337">
        <v>675524.79645742092</v>
      </c>
      <c r="H26" s="338">
        <v>675524.79645742092</v>
      </c>
    </row>
    <row r="27" spans="1:8" x14ac:dyDescent="0.3">
      <c r="B27" s="323">
        <v>32875</v>
      </c>
      <c r="C27" s="334" t="s">
        <v>740</v>
      </c>
      <c r="D27" s="349" t="s">
        <v>49</v>
      </c>
      <c r="E27" s="336">
        <v>2089</v>
      </c>
      <c r="F27" s="337">
        <v>8578.7219977615568</v>
      </c>
      <c r="G27" s="337">
        <v>7549.2753580301696</v>
      </c>
      <c r="H27" s="338">
        <v>7549.2753583454996</v>
      </c>
    </row>
    <row r="28" spans="1:8" x14ac:dyDescent="0.3">
      <c r="B28" s="323">
        <v>42660</v>
      </c>
      <c r="C28" s="334" t="s">
        <v>477</v>
      </c>
      <c r="D28" s="350">
        <v>0.155</v>
      </c>
      <c r="E28" s="336">
        <v>2026</v>
      </c>
      <c r="F28" s="337">
        <v>939851.22861313866</v>
      </c>
      <c r="G28" s="337">
        <v>939851.22861313866</v>
      </c>
      <c r="H28" s="338">
        <v>939851.22861313866</v>
      </c>
    </row>
    <row r="29" spans="1:8" x14ac:dyDescent="0.3">
      <c r="A29" s="280"/>
      <c r="B29" s="323">
        <v>42660</v>
      </c>
      <c r="C29" s="334" t="s">
        <v>478</v>
      </c>
      <c r="D29" s="350">
        <v>0.16</v>
      </c>
      <c r="E29" s="336">
        <v>2023</v>
      </c>
      <c r="F29" s="337">
        <v>624334.33631143556</v>
      </c>
      <c r="G29" s="337">
        <v>624334.33631143556</v>
      </c>
      <c r="H29" s="338">
        <v>624334.33631143556</v>
      </c>
    </row>
    <row r="30" spans="1:8" x14ac:dyDescent="0.3">
      <c r="A30" s="280"/>
      <c r="B30" s="323">
        <v>43866</v>
      </c>
      <c r="C30" s="334" t="s">
        <v>767</v>
      </c>
      <c r="D30" s="350">
        <v>0.04</v>
      </c>
      <c r="E30" s="336">
        <v>2022</v>
      </c>
      <c r="F30" s="337">
        <v>4.84</v>
      </c>
      <c r="G30" s="337">
        <v>4.84</v>
      </c>
      <c r="H30" s="338">
        <v>4.84</v>
      </c>
    </row>
    <row r="31" spans="1:8" x14ac:dyDescent="0.3">
      <c r="A31" s="280"/>
      <c r="B31" s="323">
        <v>44133</v>
      </c>
      <c r="C31" s="334" t="s">
        <v>924</v>
      </c>
      <c r="D31" s="351">
        <v>1E-3</v>
      </c>
      <c r="E31" s="336">
        <v>2022</v>
      </c>
      <c r="F31" s="337">
        <v>1952374.952</v>
      </c>
      <c r="G31" s="337">
        <v>1952374.952</v>
      </c>
      <c r="H31" s="338">
        <v>1952374.952</v>
      </c>
    </row>
    <row r="32" spans="1:8" x14ac:dyDescent="0.3">
      <c r="A32" s="280"/>
      <c r="B32" s="323">
        <v>43972</v>
      </c>
      <c r="C32" s="334" t="s">
        <v>766</v>
      </c>
      <c r="D32" s="352">
        <v>0.22</v>
      </c>
      <c r="E32" s="336">
        <v>2022</v>
      </c>
      <c r="F32" s="337">
        <v>3595049.4275133819</v>
      </c>
      <c r="G32" s="337">
        <v>3595049.4275133819</v>
      </c>
      <c r="H32" s="338">
        <v>3595049.4275133819</v>
      </c>
    </row>
    <row r="33" spans="1:8" x14ac:dyDescent="0.3">
      <c r="A33" s="280"/>
      <c r="B33" s="323">
        <v>44232</v>
      </c>
      <c r="C33" s="334" t="s">
        <v>925</v>
      </c>
      <c r="D33" s="351" t="s">
        <v>814</v>
      </c>
      <c r="E33" s="336">
        <v>2023</v>
      </c>
      <c r="F33" s="337">
        <v>565750.25936739659</v>
      </c>
      <c r="G33" s="337">
        <v>565750.25936739659</v>
      </c>
      <c r="H33" s="338">
        <v>565750.25936739659</v>
      </c>
    </row>
    <row r="34" spans="1:8" x14ac:dyDescent="0.3">
      <c r="A34" s="280"/>
      <c r="B34" s="323">
        <v>44337</v>
      </c>
      <c r="C34" s="334" t="s">
        <v>832</v>
      </c>
      <c r="D34" s="351">
        <v>2E-3</v>
      </c>
      <c r="E34" s="336">
        <v>2022</v>
      </c>
      <c r="F34" s="337">
        <v>1613635.625</v>
      </c>
      <c r="G34" s="337">
        <v>1613635.625</v>
      </c>
      <c r="H34" s="338">
        <v>1613635.625</v>
      </c>
    </row>
    <row r="35" spans="1:8" x14ac:dyDescent="0.3">
      <c r="A35" s="280"/>
      <c r="B35" s="323">
        <v>44382</v>
      </c>
      <c r="C35" s="334" t="s">
        <v>840</v>
      </c>
      <c r="D35" s="351" t="s">
        <v>229</v>
      </c>
      <c r="E35" s="336">
        <v>2030</v>
      </c>
      <c r="F35" s="337">
        <v>78788.664953771295</v>
      </c>
      <c r="G35" s="337">
        <v>78788.664953771295</v>
      </c>
      <c r="H35" s="338">
        <v>78788.664953771295</v>
      </c>
    </row>
    <row r="36" spans="1:8" x14ac:dyDescent="0.3">
      <c r="A36" s="280"/>
      <c r="B36" s="323">
        <v>44425</v>
      </c>
      <c r="C36" s="334" t="s">
        <v>926</v>
      </c>
      <c r="D36" s="351" t="s">
        <v>842</v>
      </c>
      <c r="E36" s="336">
        <v>2031</v>
      </c>
      <c r="F36" s="337">
        <v>114908.34761673966</v>
      </c>
      <c r="G36" s="337">
        <v>112035.63892632117</v>
      </c>
      <c r="H36" s="338">
        <v>112035.63892632604</v>
      </c>
    </row>
    <row r="37" spans="1:8" x14ac:dyDescent="0.3">
      <c r="A37" s="280"/>
      <c r="B37" s="323">
        <v>44452</v>
      </c>
      <c r="C37" s="334" t="s">
        <v>843</v>
      </c>
      <c r="D37" s="351">
        <v>3.0000000000000001E-3</v>
      </c>
      <c r="E37" s="336">
        <v>2023</v>
      </c>
      <c r="F37" s="337">
        <v>2221751.6379999998</v>
      </c>
      <c r="G37" s="337">
        <v>2221751.6379999998</v>
      </c>
      <c r="H37" s="338">
        <v>2221751.6379999998</v>
      </c>
    </row>
    <row r="38" spans="1:8" x14ac:dyDescent="0.3">
      <c r="A38" s="280"/>
      <c r="B38" s="323">
        <v>44552</v>
      </c>
      <c r="C38" s="334" t="s">
        <v>889</v>
      </c>
      <c r="D38" s="346" t="s">
        <v>229</v>
      </c>
      <c r="E38" s="336">
        <v>2026</v>
      </c>
      <c r="F38" s="337">
        <v>47298.710851581505</v>
      </c>
      <c r="G38" s="337">
        <v>47298.710851581505</v>
      </c>
      <c r="H38" s="338">
        <v>47298.710851581505</v>
      </c>
    </row>
    <row r="39" spans="1:8" x14ac:dyDescent="0.3">
      <c r="A39" s="280"/>
      <c r="B39" s="323"/>
      <c r="C39" s="334"/>
      <c r="D39" s="351"/>
      <c r="E39" s="336"/>
      <c r="F39" s="337"/>
      <c r="G39" s="337"/>
      <c r="H39" s="338"/>
    </row>
    <row r="40" spans="1:8" s="311" customFormat="1" x14ac:dyDescent="0.3">
      <c r="B40" s="323"/>
      <c r="C40" s="353" t="s">
        <v>292</v>
      </c>
      <c r="D40" s="354"/>
      <c r="E40" s="336"/>
      <c r="F40" s="339"/>
      <c r="G40" s="337"/>
      <c r="H40" s="355">
        <v>1.4664214306569343</v>
      </c>
    </row>
    <row r="41" spans="1:8" x14ac:dyDescent="0.3">
      <c r="A41" s="280"/>
      <c r="B41" s="323"/>
      <c r="C41" s="356"/>
      <c r="D41" s="335"/>
      <c r="E41" s="336"/>
      <c r="F41" s="339"/>
      <c r="G41" s="328"/>
      <c r="H41" s="329"/>
    </row>
    <row r="42" spans="1:8" s="311" customFormat="1" x14ac:dyDescent="0.3">
      <c r="B42" s="323"/>
      <c r="C42" s="324" t="s">
        <v>217</v>
      </c>
      <c r="D42" s="342"/>
      <c r="E42" s="336"/>
      <c r="F42" s="326">
        <f>+SUM(F43:F54)</f>
        <v>8266750.1609023595</v>
      </c>
      <c r="G42" s="326">
        <f t="shared" ref="G42:H42" si="0">+SUM(G43:G54)</f>
        <v>8266748.2181023601</v>
      </c>
      <c r="H42" s="327">
        <f t="shared" si="0"/>
        <v>8266748.2181023601</v>
      </c>
    </row>
    <row r="43" spans="1:8" x14ac:dyDescent="0.3">
      <c r="A43" s="280"/>
      <c r="B43" s="323">
        <v>44095</v>
      </c>
      <c r="C43" s="334" t="s">
        <v>790</v>
      </c>
      <c r="D43" s="346" t="s">
        <v>49</v>
      </c>
      <c r="E43" s="336">
        <v>2022</v>
      </c>
      <c r="F43" s="337">
        <v>124646.08217000001</v>
      </c>
      <c r="G43" s="337">
        <v>124646.08217000001</v>
      </c>
      <c r="H43" s="338">
        <v>124646.08217000001</v>
      </c>
    </row>
    <row r="44" spans="1:8" x14ac:dyDescent="0.3">
      <c r="A44" s="280"/>
      <c r="B44" s="323">
        <v>44399</v>
      </c>
      <c r="C44" s="334" t="s">
        <v>844</v>
      </c>
      <c r="D44" s="346" t="s">
        <v>49</v>
      </c>
      <c r="E44" s="336">
        <v>2022</v>
      </c>
      <c r="F44" s="337">
        <v>2075544.2801459853</v>
      </c>
      <c r="G44" s="337">
        <v>2075544.2801459853</v>
      </c>
      <c r="H44" s="338">
        <v>2075544.2801459853</v>
      </c>
    </row>
    <row r="45" spans="1:8" x14ac:dyDescent="0.3">
      <c r="A45" s="280"/>
      <c r="B45" s="323">
        <v>44469</v>
      </c>
      <c r="C45" s="334" t="s">
        <v>845</v>
      </c>
      <c r="D45" s="346" t="s">
        <v>49</v>
      </c>
      <c r="E45" s="336">
        <v>2022</v>
      </c>
      <c r="F45" s="337">
        <v>1307245.1628613139</v>
      </c>
      <c r="G45" s="337">
        <v>1307245.1628613139</v>
      </c>
      <c r="H45" s="338">
        <v>1307245.1628613139</v>
      </c>
    </row>
    <row r="46" spans="1:8" x14ac:dyDescent="0.3">
      <c r="A46" s="280"/>
      <c r="B46" s="323">
        <v>44498</v>
      </c>
      <c r="C46" s="334" t="s">
        <v>892</v>
      </c>
      <c r="D46" s="346" t="s">
        <v>49</v>
      </c>
      <c r="E46" s="336">
        <v>2022</v>
      </c>
      <c r="F46" s="337">
        <v>1319530.2591824818</v>
      </c>
      <c r="G46" s="337">
        <v>1319530.2591824818</v>
      </c>
      <c r="H46" s="338">
        <v>1319530.2591824818</v>
      </c>
    </row>
    <row r="47" spans="1:8" x14ac:dyDescent="0.3">
      <c r="A47" s="280"/>
      <c r="B47" s="323">
        <v>44530</v>
      </c>
      <c r="C47" s="334" t="s">
        <v>893</v>
      </c>
      <c r="D47" s="346" t="s">
        <v>49</v>
      </c>
      <c r="E47" s="336">
        <v>2022</v>
      </c>
      <c r="F47" s="337">
        <v>488597.69701216544</v>
      </c>
      <c r="G47" s="337">
        <v>488597.69701216544</v>
      </c>
      <c r="H47" s="338">
        <v>488597.69701216544</v>
      </c>
    </row>
    <row r="48" spans="1:8" x14ac:dyDescent="0.3">
      <c r="A48" s="280"/>
      <c r="B48" s="323">
        <v>44545</v>
      </c>
      <c r="C48" s="334" t="s">
        <v>894</v>
      </c>
      <c r="D48" s="346" t="s">
        <v>49</v>
      </c>
      <c r="E48" s="336">
        <v>2022</v>
      </c>
      <c r="F48" s="337">
        <v>210024.33090024331</v>
      </c>
      <c r="G48" s="337">
        <v>210024.33090024331</v>
      </c>
      <c r="H48" s="338">
        <v>210024.33090024331</v>
      </c>
    </row>
    <row r="49" spans="1:14" x14ac:dyDescent="0.3">
      <c r="A49" s="280"/>
      <c r="B49" s="323">
        <v>44545</v>
      </c>
      <c r="C49" s="334" t="s">
        <v>895</v>
      </c>
      <c r="D49" s="346" t="s">
        <v>49</v>
      </c>
      <c r="E49" s="336">
        <v>2022</v>
      </c>
      <c r="F49" s="337">
        <v>103858.64274452555</v>
      </c>
      <c r="G49" s="337">
        <v>103858.64274452555</v>
      </c>
      <c r="H49" s="338">
        <v>103858.64274452555</v>
      </c>
    </row>
    <row r="50" spans="1:14" x14ac:dyDescent="0.3">
      <c r="A50" s="280"/>
      <c r="B50" s="323">
        <v>44384</v>
      </c>
      <c r="C50" s="334" t="s">
        <v>846</v>
      </c>
      <c r="D50" s="346" t="s">
        <v>558</v>
      </c>
      <c r="E50" s="336">
        <v>2022</v>
      </c>
      <c r="F50" s="337">
        <v>235247.00467153286</v>
      </c>
      <c r="G50" s="337">
        <v>235247.00467153286</v>
      </c>
      <c r="H50" s="338">
        <v>235247.00467153286</v>
      </c>
    </row>
    <row r="51" spans="1:14" x14ac:dyDescent="0.3">
      <c r="A51" s="280"/>
      <c r="B51" s="323">
        <v>44473</v>
      </c>
      <c r="C51" s="334" t="s">
        <v>896</v>
      </c>
      <c r="D51" s="346" t="s">
        <v>558</v>
      </c>
      <c r="E51" s="336">
        <v>2022</v>
      </c>
      <c r="F51" s="337">
        <v>315053.03286618006</v>
      </c>
      <c r="G51" s="337">
        <v>315053.03286618006</v>
      </c>
      <c r="H51" s="338">
        <v>315053.03286618006</v>
      </c>
      <c r="I51" s="357"/>
    </row>
    <row r="52" spans="1:14" x14ac:dyDescent="0.3">
      <c r="A52" s="280"/>
      <c r="B52" s="323">
        <v>43608</v>
      </c>
      <c r="C52" s="334" t="s">
        <v>768</v>
      </c>
      <c r="D52" s="346">
        <v>4.2500000000000003E-2</v>
      </c>
      <c r="E52" s="336">
        <v>2022</v>
      </c>
      <c r="F52" s="337">
        <v>4.8570000000000002</v>
      </c>
      <c r="G52" s="337">
        <v>2.9141999999999997</v>
      </c>
      <c r="H52" s="338">
        <v>2.9141999999999997</v>
      </c>
      <c r="I52" s="357"/>
    </row>
    <row r="53" spans="1:14" x14ac:dyDescent="0.3">
      <c r="A53" s="280"/>
      <c r="B53" s="323">
        <v>44377</v>
      </c>
      <c r="C53" s="334" t="s">
        <v>833</v>
      </c>
      <c r="D53" s="346" t="s">
        <v>49</v>
      </c>
      <c r="E53" s="336">
        <v>2021</v>
      </c>
      <c r="F53" s="337">
        <v>2077779.8332457421</v>
      </c>
      <c r="G53" s="337">
        <v>2077779.8332457421</v>
      </c>
      <c r="H53" s="338">
        <v>2077779.8332457421</v>
      </c>
    </row>
    <row r="54" spans="1:14" x14ac:dyDescent="0.3">
      <c r="A54" s="280"/>
      <c r="B54" s="323">
        <v>44545</v>
      </c>
      <c r="C54" s="334" t="s">
        <v>897</v>
      </c>
      <c r="D54" s="346" t="s">
        <v>49</v>
      </c>
      <c r="E54" s="336">
        <v>2021</v>
      </c>
      <c r="F54" s="337">
        <v>9218.9781021897816</v>
      </c>
      <c r="G54" s="337">
        <v>9218.9781021897816</v>
      </c>
      <c r="H54" s="338">
        <v>9218.9781021897816</v>
      </c>
    </row>
    <row r="55" spans="1:14" x14ac:dyDescent="0.3">
      <c r="A55" s="280"/>
      <c r="B55" s="323"/>
      <c r="C55" s="334"/>
      <c r="D55" s="346"/>
      <c r="E55" s="336"/>
      <c r="F55" s="337"/>
      <c r="G55" s="337"/>
      <c r="H55" s="338"/>
    </row>
    <row r="56" spans="1:14" s="437" customFormat="1" x14ac:dyDescent="0.3">
      <c r="B56" s="1290"/>
      <c r="C56" s="1291" t="s">
        <v>339</v>
      </c>
      <c r="D56" s="1292"/>
      <c r="E56" s="471"/>
      <c r="F56" s="449">
        <f>+SUM(F57:F60)</f>
        <v>827250.60827250604</v>
      </c>
      <c r="G56" s="449">
        <f t="shared" ref="G56:H56" si="1">+SUM(G57:G60)</f>
        <v>827250.60827250604</v>
      </c>
      <c r="H56" s="450">
        <f t="shared" si="1"/>
        <v>827250.60827250604</v>
      </c>
      <c r="I56" s="365"/>
      <c r="J56" s="288"/>
      <c r="K56" s="288"/>
      <c r="L56" s="288"/>
      <c r="M56" s="288"/>
      <c r="N56" s="288"/>
    </row>
    <row r="57" spans="1:14" s="437" customFormat="1" x14ac:dyDescent="0.3">
      <c r="B57" s="323">
        <v>44525</v>
      </c>
      <c r="C57" s="334" t="s">
        <v>902</v>
      </c>
      <c r="D57" s="1293" t="s">
        <v>49</v>
      </c>
      <c r="E57" s="441">
        <v>2022</v>
      </c>
      <c r="F57" s="472">
        <v>291970.80291970802</v>
      </c>
      <c r="G57" s="472">
        <v>291970.80291970802</v>
      </c>
      <c r="H57" s="454">
        <v>291970.80291970802</v>
      </c>
      <c r="I57" s="365"/>
      <c r="J57" s="288"/>
      <c r="K57" s="288"/>
      <c r="L57" s="288"/>
      <c r="M57" s="288"/>
      <c r="N57" s="288"/>
    </row>
    <row r="58" spans="1:14" s="437" customFormat="1" x14ac:dyDescent="0.3">
      <c r="B58" s="323">
        <v>44525</v>
      </c>
      <c r="C58" s="334" t="s">
        <v>903</v>
      </c>
      <c r="D58" s="1293" t="s">
        <v>49</v>
      </c>
      <c r="E58" s="441">
        <v>2022</v>
      </c>
      <c r="F58" s="472">
        <v>58394.160583941608</v>
      </c>
      <c r="G58" s="472">
        <v>58394.160583941608</v>
      </c>
      <c r="H58" s="454">
        <v>58394.160583941608</v>
      </c>
      <c r="I58" s="365"/>
      <c r="J58" s="288"/>
      <c r="K58" s="288"/>
      <c r="L58" s="288"/>
      <c r="M58" s="288"/>
      <c r="N58" s="288"/>
    </row>
    <row r="59" spans="1:14" s="437" customFormat="1" x14ac:dyDescent="0.3">
      <c r="B59" s="323">
        <v>44525</v>
      </c>
      <c r="C59" s="334" t="s">
        <v>904</v>
      </c>
      <c r="D59" s="1293" t="s">
        <v>49</v>
      </c>
      <c r="E59" s="441">
        <v>2022</v>
      </c>
      <c r="F59" s="472">
        <v>418491.48418491485</v>
      </c>
      <c r="G59" s="472">
        <v>418491.48418491485</v>
      </c>
      <c r="H59" s="454">
        <v>418491.48418491485</v>
      </c>
      <c r="I59" s="365"/>
      <c r="J59" s="288"/>
      <c r="K59" s="288"/>
      <c r="L59" s="288"/>
      <c r="M59" s="288"/>
      <c r="N59" s="288"/>
    </row>
    <row r="60" spans="1:14" s="437" customFormat="1" x14ac:dyDescent="0.3">
      <c r="B60" s="323">
        <v>44525</v>
      </c>
      <c r="C60" s="334" t="s">
        <v>905</v>
      </c>
      <c r="D60" s="1293" t="s">
        <v>49</v>
      </c>
      <c r="E60" s="441">
        <v>2022</v>
      </c>
      <c r="F60" s="472">
        <v>58394.160583941608</v>
      </c>
      <c r="G60" s="472">
        <v>58394.160583941608</v>
      </c>
      <c r="H60" s="454">
        <v>58394.160583941608</v>
      </c>
      <c r="I60" s="365"/>
      <c r="J60" s="288"/>
      <c r="K60" s="288"/>
      <c r="L60" s="288"/>
      <c r="M60" s="288"/>
      <c r="N60" s="288"/>
    </row>
    <row r="61" spans="1:14" x14ac:dyDescent="0.3">
      <c r="A61" s="280"/>
      <c r="B61" s="323"/>
      <c r="C61" s="334"/>
      <c r="D61" s="346"/>
      <c r="E61" s="336"/>
      <c r="F61" s="337"/>
      <c r="G61" s="337"/>
      <c r="H61" s="338"/>
    </row>
    <row r="62" spans="1:14" ht="16.8" thickBot="1" x14ac:dyDescent="0.35">
      <c r="B62" s="1331" t="s">
        <v>275</v>
      </c>
      <c r="C62" s="1332"/>
      <c r="D62" s="1332"/>
      <c r="E62" s="1333"/>
      <c r="F62" s="358">
        <f>+F42+F18+F56</f>
        <v>22193058.685757738</v>
      </c>
      <c r="G62" s="358">
        <f t="shared" ref="G62:H62" si="2">+G42+G18+G56</f>
        <v>21938150.167683996</v>
      </c>
      <c r="H62" s="359">
        <f t="shared" si="2"/>
        <v>21990541.054074615</v>
      </c>
    </row>
    <row r="63" spans="1:14" ht="15.6" thickTop="1" x14ac:dyDescent="0.3">
      <c r="A63" s="280"/>
      <c r="B63" s="360"/>
      <c r="C63" s="288"/>
      <c r="D63" s="288"/>
      <c r="E63" s="286"/>
      <c r="F63" s="361"/>
      <c r="G63" s="361"/>
      <c r="H63" s="361"/>
    </row>
    <row r="64" spans="1:14" x14ac:dyDescent="0.3">
      <c r="A64" s="280"/>
      <c r="B64" s="362" t="s">
        <v>890</v>
      </c>
      <c r="C64" s="288"/>
      <c r="D64" s="288"/>
      <c r="E64" s="286"/>
      <c r="F64" s="363"/>
      <c r="G64" s="363"/>
      <c r="H64" s="364"/>
    </row>
    <row r="65" spans="1:8" x14ac:dyDescent="0.3">
      <c r="A65" s="280"/>
      <c r="B65" s="362" t="s">
        <v>891</v>
      </c>
      <c r="C65" s="288"/>
      <c r="D65" s="288"/>
      <c r="E65" s="286"/>
      <c r="F65" s="288"/>
      <c r="G65" s="365"/>
      <c r="H65" s="366"/>
    </row>
    <row r="66" spans="1:8" x14ac:dyDescent="0.3">
      <c r="B66" s="362" t="s">
        <v>660</v>
      </c>
      <c r="C66" s="286"/>
      <c r="D66" s="286"/>
      <c r="E66" s="286"/>
      <c r="F66" s="367"/>
      <c r="G66" s="367"/>
      <c r="H66" s="368"/>
    </row>
    <row r="67" spans="1:8" x14ac:dyDescent="0.3">
      <c r="F67" s="15"/>
      <c r="G67" s="15"/>
      <c r="H67" s="15"/>
    </row>
    <row r="68" spans="1:8" x14ac:dyDescent="0.3">
      <c r="F68" s="15"/>
      <c r="G68" s="15"/>
      <c r="H68" s="15"/>
    </row>
    <row r="69" spans="1:8" x14ac:dyDescent="0.3">
      <c r="F69" s="15"/>
      <c r="G69" s="15"/>
      <c r="H69" s="15"/>
    </row>
    <row r="70" spans="1:8" x14ac:dyDescent="0.3">
      <c r="F70" s="15"/>
      <c r="G70" s="15"/>
      <c r="H70" s="15"/>
    </row>
    <row r="71" spans="1:8" x14ac:dyDescent="0.3">
      <c r="F71" s="15"/>
      <c r="G71" s="15"/>
      <c r="H71" s="15"/>
    </row>
  </sheetData>
  <mergeCells count="11">
    <mergeCell ref="B62:E62"/>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N78"/>
  <sheetViews>
    <sheetView showGridLines="0" showRuler="0" zoomScale="85" zoomScaleNormal="85" zoomScaleSheetLayoutView="85" workbookViewId="0"/>
  </sheetViews>
  <sheetFormatPr baseColWidth="10" defaultColWidth="11.44140625" defaultRowHeight="14.4" x14ac:dyDescent="0.3"/>
  <cols>
    <col min="1" max="1" width="6.77734375" style="288" customWidth="1"/>
    <col min="2" max="2" width="10.5546875" style="288" customWidth="1"/>
    <col min="3" max="3" width="65.44140625" style="288" customWidth="1"/>
    <col min="4" max="4" width="14.21875" style="288" bestFit="1" customWidth="1"/>
    <col min="5" max="5" width="13.77734375" style="288" bestFit="1" customWidth="1"/>
    <col min="6" max="8" width="24.21875" style="288" customWidth="1"/>
    <col min="9" max="9" width="18.5546875" style="288" bestFit="1" customWidth="1"/>
    <col min="10" max="11" width="18.77734375" style="288" bestFit="1" customWidth="1"/>
    <col min="12" max="16384" width="11.44140625" style="288"/>
  </cols>
  <sheetData>
    <row r="1" spans="1:14" ht="15" x14ac:dyDescent="0.3">
      <c r="A1" s="1" t="s">
        <v>216</v>
      </c>
      <c r="B1" s="286"/>
    </row>
    <row r="2" spans="1:14" ht="15" customHeight="1" x14ac:dyDescent="0.3">
      <c r="A2" s="1"/>
      <c r="B2" s="4" t="s">
        <v>693</v>
      </c>
      <c r="C2" s="312"/>
      <c r="D2" s="312"/>
      <c r="E2" s="369"/>
      <c r="F2" s="369"/>
      <c r="G2" s="369"/>
      <c r="H2" s="9"/>
    </row>
    <row r="3" spans="1:14" ht="15" customHeight="1" x14ac:dyDescent="0.3">
      <c r="A3" s="286"/>
      <c r="B3" s="4" t="s">
        <v>299</v>
      </c>
      <c r="C3" s="312"/>
      <c r="D3" s="312"/>
      <c r="E3" s="369"/>
      <c r="F3" s="369"/>
      <c r="G3" s="369"/>
      <c r="H3" s="9"/>
    </row>
    <row r="4" spans="1:14" s="287" customFormat="1" x14ac:dyDescent="0.3">
      <c r="B4" s="135"/>
      <c r="C4" s="135"/>
      <c r="D4" s="135"/>
      <c r="E4" s="370"/>
      <c r="F4" s="371"/>
      <c r="G4" s="371"/>
      <c r="H4" s="135"/>
      <c r="I4" s="288"/>
      <c r="J4" s="372"/>
      <c r="K4" s="288"/>
      <c r="L4" s="288"/>
      <c r="M4" s="288"/>
      <c r="N4" s="288"/>
    </row>
    <row r="5" spans="1:14" s="287" customFormat="1" x14ac:dyDescent="0.3">
      <c r="B5" s="135"/>
      <c r="C5" s="135"/>
      <c r="D5" s="135"/>
      <c r="E5" s="370"/>
      <c r="F5" s="371"/>
      <c r="G5" s="371"/>
      <c r="H5" s="135"/>
      <c r="I5" s="288"/>
      <c r="J5" s="372"/>
      <c r="K5" s="288"/>
      <c r="L5" s="288"/>
      <c r="M5" s="288"/>
      <c r="N5" s="288"/>
    </row>
    <row r="6" spans="1:14" ht="18" x14ac:dyDescent="0.3">
      <c r="B6" s="1305" t="s">
        <v>349</v>
      </c>
      <c r="C6" s="1305"/>
      <c r="D6" s="1305"/>
      <c r="E6" s="1305"/>
      <c r="F6" s="1305"/>
      <c r="G6" s="1305"/>
      <c r="H6" s="1305"/>
      <c r="J6" s="372"/>
    </row>
    <row r="7" spans="1:14" ht="18" x14ac:dyDescent="0.3">
      <c r="B7" s="1349" t="s">
        <v>224</v>
      </c>
      <c r="C7" s="1349"/>
      <c r="D7" s="1349"/>
      <c r="E7" s="1349"/>
      <c r="F7" s="1349"/>
      <c r="G7" s="1349"/>
      <c r="H7" s="1349"/>
      <c r="J7" s="372"/>
    </row>
    <row r="8" spans="1:14" ht="15" x14ac:dyDescent="0.3">
      <c r="B8" s="1334" t="s">
        <v>888</v>
      </c>
      <c r="C8" s="1334"/>
      <c r="D8" s="1334"/>
      <c r="E8" s="1334"/>
      <c r="F8" s="1334"/>
      <c r="G8" s="1334"/>
      <c r="H8" s="1334"/>
      <c r="J8" s="373"/>
    </row>
    <row r="9" spans="1:14" s="287" customFormat="1" ht="7.5" customHeight="1" x14ac:dyDescent="0.3">
      <c r="B9" s="374"/>
      <c r="C9" s="374"/>
      <c r="D9" s="374"/>
      <c r="E9" s="374"/>
      <c r="F9" s="374"/>
      <c r="G9" s="374"/>
      <c r="H9" s="374"/>
      <c r="I9" s="288"/>
      <c r="J9" s="373"/>
      <c r="K9" s="288"/>
      <c r="L9" s="288"/>
      <c r="M9" s="288"/>
      <c r="N9" s="288"/>
    </row>
    <row r="10" spans="1:14" s="287" customFormat="1" ht="7.5" customHeight="1" x14ac:dyDescent="0.3">
      <c r="B10" s="374"/>
      <c r="C10" s="374"/>
      <c r="D10" s="374"/>
      <c r="E10" s="374"/>
      <c r="F10" s="374"/>
      <c r="G10" s="374"/>
      <c r="H10" s="374"/>
      <c r="I10" s="288"/>
      <c r="J10" s="373"/>
      <c r="K10" s="288"/>
      <c r="L10" s="288"/>
      <c r="M10" s="288"/>
      <c r="N10" s="288"/>
    </row>
    <row r="11" spans="1:14" ht="15.6" thickBot="1" x14ac:dyDescent="0.35">
      <c r="B11" s="9"/>
      <c r="C11" s="9"/>
      <c r="D11" s="134"/>
      <c r="E11" s="134"/>
      <c r="F11" s="375"/>
      <c r="G11" s="375"/>
      <c r="H11" s="376" t="s">
        <v>289</v>
      </c>
      <c r="J11" s="373"/>
    </row>
    <row r="12" spans="1:14" ht="15.6" thickTop="1" x14ac:dyDescent="0.3">
      <c r="B12" s="1350" t="s">
        <v>290</v>
      </c>
      <c r="C12" s="1353" t="s">
        <v>285</v>
      </c>
      <c r="D12" s="1353" t="s">
        <v>230</v>
      </c>
      <c r="E12" s="1338" t="s">
        <v>286</v>
      </c>
      <c r="F12" s="1341" t="s">
        <v>324</v>
      </c>
      <c r="G12" s="1341" t="s">
        <v>325</v>
      </c>
      <c r="H12" s="1344" t="s">
        <v>326</v>
      </c>
      <c r="J12" s="373"/>
    </row>
    <row r="13" spans="1:14" ht="17.25" customHeight="1" x14ac:dyDescent="0.3">
      <c r="B13" s="1351"/>
      <c r="C13" s="1354"/>
      <c r="D13" s="1354"/>
      <c r="E13" s="1339"/>
      <c r="F13" s="1342"/>
      <c r="G13" s="1342"/>
      <c r="H13" s="1345"/>
      <c r="J13" s="373"/>
    </row>
    <row r="14" spans="1:14" ht="15" x14ac:dyDescent="0.3">
      <c r="B14" s="1351"/>
      <c r="C14" s="1354"/>
      <c r="D14" s="1354"/>
      <c r="E14" s="1339"/>
      <c r="F14" s="1342"/>
      <c r="G14" s="1342"/>
      <c r="H14" s="1345"/>
      <c r="J14" s="377"/>
    </row>
    <row r="15" spans="1:14" ht="15" x14ac:dyDescent="0.3">
      <c r="B15" s="1352"/>
      <c r="C15" s="1355"/>
      <c r="D15" s="1355"/>
      <c r="E15" s="1340"/>
      <c r="F15" s="1343"/>
      <c r="G15" s="1343"/>
      <c r="H15" s="1346"/>
      <c r="J15" s="373"/>
    </row>
    <row r="16" spans="1:14" ht="13.5" customHeight="1" x14ac:dyDescent="0.3">
      <c r="B16" s="378"/>
      <c r="C16" s="379"/>
      <c r="D16" s="380"/>
      <c r="E16" s="381"/>
      <c r="F16" s="382"/>
      <c r="G16" s="383"/>
      <c r="H16" s="384"/>
      <c r="J16" s="373"/>
    </row>
    <row r="17" spans="2:14" s="387" customFormat="1" ht="16.2" x14ac:dyDescent="0.3">
      <c r="B17" s="378"/>
      <c r="C17" s="385" t="s">
        <v>300</v>
      </c>
      <c r="D17" s="380"/>
      <c r="E17" s="381"/>
      <c r="F17" s="326">
        <f>+F22+F19+F35+F42</f>
        <v>18503479.208969999</v>
      </c>
      <c r="G17" s="386">
        <f>+G22+G19+G35+G42</f>
        <v>18488958.24955</v>
      </c>
      <c r="H17" s="327">
        <f>+H22+H19+H35+H42</f>
        <v>47437757.001836754</v>
      </c>
      <c r="I17" s="365"/>
      <c r="J17" s="373"/>
      <c r="K17" s="288"/>
      <c r="L17" s="288"/>
      <c r="M17" s="288"/>
      <c r="N17" s="288"/>
    </row>
    <row r="18" spans="2:14" ht="13.5" customHeight="1" x14ac:dyDescent="0.3">
      <c r="B18" s="378"/>
      <c r="C18" s="379"/>
      <c r="D18" s="380"/>
      <c r="E18" s="381"/>
      <c r="F18" s="382"/>
      <c r="G18" s="383"/>
      <c r="H18" s="384"/>
      <c r="I18" s="365"/>
      <c r="J18" s="373"/>
    </row>
    <row r="19" spans="2:14" s="395" customFormat="1" ht="15" x14ac:dyDescent="0.3">
      <c r="B19" s="388"/>
      <c r="C19" s="389" t="s">
        <v>368</v>
      </c>
      <c r="D19" s="390"/>
      <c r="E19" s="391"/>
      <c r="F19" s="392">
        <f>+F20</f>
        <v>18811.969710000001</v>
      </c>
      <c r="G19" s="393">
        <f>+G20</f>
        <v>4291.0102900000002</v>
      </c>
      <c r="H19" s="394">
        <f>+H20</f>
        <v>138012.37065811019</v>
      </c>
      <c r="I19" s="365"/>
      <c r="J19" s="373"/>
      <c r="K19" s="288"/>
      <c r="L19" s="288"/>
      <c r="M19" s="288"/>
      <c r="N19" s="288"/>
    </row>
    <row r="20" spans="2:14" ht="15" x14ac:dyDescent="0.3">
      <c r="B20" s="323">
        <v>38061</v>
      </c>
      <c r="C20" s="396" t="s">
        <v>600</v>
      </c>
      <c r="D20" s="397">
        <v>0.02</v>
      </c>
      <c r="E20" s="398">
        <v>2024</v>
      </c>
      <c r="F20" s="339">
        <v>18811.969710000001</v>
      </c>
      <c r="G20" s="399">
        <v>4291.0102900000002</v>
      </c>
      <c r="H20" s="400">
        <v>138012.37065811019</v>
      </c>
      <c r="I20" s="365"/>
      <c r="J20" s="373"/>
    </row>
    <row r="21" spans="2:14" ht="13.5" customHeight="1" x14ac:dyDescent="0.3">
      <c r="B21" s="323"/>
      <c r="C21" s="379"/>
      <c r="D21" s="380"/>
      <c r="E21" s="381"/>
      <c r="F21" s="382"/>
      <c r="G21" s="383"/>
      <c r="H21" s="384"/>
      <c r="I21" s="365"/>
      <c r="J21" s="372"/>
    </row>
    <row r="22" spans="2:14" s="401" customFormat="1" ht="15" x14ac:dyDescent="0.3">
      <c r="B22" s="323"/>
      <c r="C22" s="389" t="s">
        <v>675</v>
      </c>
      <c r="D22" s="390"/>
      <c r="E22" s="391"/>
      <c r="F22" s="392">
        <f>+SUM(F23:F33)</f>
        <v>18126130.969450001</v>
      </c>
      <c r="G22" s="392">
        <f>+SUM(G23:G33)</f>
        <v>18126130.969450001</v>
      </c>
      <c r="H22" s="394">
        <f>+SUM(H23:H33)</f>
        <v>34701204.115507193</v>
      </c>
      <c r="J22" s="372"/>
      <c r="K22" s="288"/>
      <c r="L22" s="288"/>
      <c r="M22" s="288"/>
      <c r="N22" s="288"/>
    </row>
    <row r="23" spans="2:14" ht="13.5" customHeight="1" x14ac:dyDescent="0.3">
      <c r="B23" s="323">
        <v>43165</v>
      </c>
      <c r="C23" s="396" t="s">
        <v>585</v>
      </c>
      <c r="D23" s="397">
        <v>0.04</v>
      </c>
      <c r="E23" s="398">
        <v>2023</v>
      </c>
      <c r="F23" s="339">
        <v>275352.67588</v>
      </c>
      <c r="G23" s="399">
        <v>275352.67588</v>
      </c>
      <c r="H23" s="400">
        <v>1207485.5898072913</v>
      </c>
    </row>
    <row r="24" spans="2:14" ht="13.5" customHeight="1" x14ac:dyDescent="0.3">
      <c r="B24" s="323">
        <v>43217</v>
      </c>
      <c r="C24" s="396" t="s">
        <v>586</v>
      </c>
      <c r="D24" s="397">
        <v>0.04</v>
      </c>
      <c r="E24" s="398">
        <v>2025</v>
      </c>
      <c r="F24" s="339">
        <v>283190.24655000004</v>
      </c>
      <c r="G24" s="399">
        <v>283190.24655000004</v>
      </c>
      <c r="H24" s="400">
        <v>1194791.8762575036</v>
      </c>
    </row>
    <row r="25" spans="2:14" ht="13.5" customHeight="1" x14ac:dyDescent="0.3">
      <c r="B25" s="323">
        <v>43908</v>
      </c>
      <c r="C25" s="396" t="s">
        <v>791</v>
      </c>
      <c r="D25" s="397">
        <v>1.2E-2</v>
      </c>
      <c r="E25" s="398">
        <v>2022</v>
      </c>
      <c r="F25" s="339">
        <v>2558863.3997900002</v>
      </c>
      <c r="G25" s="399">
        <v>2558863.3997900002</v>
      </c>
      <c r="H25" s="400">
        <v>4874251.8822371103</v>
      </c>
    </row>
    <row r="26" spans="2:14" ht="13.5" customHeight="1" x14ac:dyDescent="0.3">
      <c r="B26" s="323">
        <v>43915</v>
      </c>
      <c r="C26" s="396" t="s">
        <v>792</v>
      </c>
      <c r="D26" s="397">
        <v>1.4E-2</v>
      </c>
      <c r="E26" s="398">
        <v>2023</v>
      </c>
      <c r="F26" s="339">
        <v>2997791.8500900003</v>
      </c>
      <c r="G26" s="399">
        <v>2997791.8500900003</v>
      </c>
      <c r="H26" s="400">
        <v>5684871.4311754853</v>
      </c>
    </row>
    <row r="27" spans="2:14" ht="13.5" customHeight="1" x14ac:dyDescent="0.3">
      <c r="B27" s="323">
        <v>43915</v>
      </c>
      <c r="C27" s="396" t="s">
        <v>793</v>
      </c>
      <c r="D27" s="397">
        <v>1.4999999999999999E-2</v>
      </c>
      <c r="E27" s="398">
        <v>2024</v>
      </c>
      <c r="F27" s="339">
        <v>3365285.0382399997</v>
      </c>
      <c r="G27" s="399">
        <v>3365285.0382399997</v>
      </c>
      <c r="H27" s="400">
        <v>6381768.2241885979</v>
      </c>
    </row>
    <row r="28" spans="2:14" s="286" customFormat="1" ht="15" x14ac:dyDescent="0.3">
      <c r="B28" s="323">
        <v>43433</v>
      </c>
      <c r="C28" s="396" t="s">
        <v>597</v>
      </c>
      <c r="D28" s="397">
        <v>8.5000000000000006E-2</v>
      </c>
      <c r="E28" s="398">
        <v>2022</v>
      </c>
      <c r="F28" s="339">
        <v>330552.50686999998</v>
      </c>
      <c r="G28" s="399">
        <v>330552.50686999998</v>
      </c>
      <c r="H28" s="400">
        <v>1082102.8504293659</v>
      </c>
      <c r="L28" s="288"/>
      <c r="M28" s="288"/>
      <c r="N28" s="288"/>
    </row>
    <row r="29" spans="2:14" s="286" customFormat="1" ht="15" x14ac:dyDescent="0.3">
      <c r="B29" s="323">
        <v>43971</v>
      </c>
      <c r="C29" s="396" t="s">
        <v>794</v>
      </c>
      <c r="D29" s="397">
        <v>1.2999999999999999E-2</v>
      </c>
      <c r="E29" s="398">
        <v>2022</v>
      </c>
      <c r="F29" s="339">
        <v>3566194.0563499997</v>
      </c>
      <c r="G29" s="399">
        <v>3566194.0563499997</v>
      </c>
      <c r="H29" s="400">
        <v>6443992.6266379049</v>
      </c>
      <c r="L29" s="288"/>
      <c r="M29" s="288"/>
      <c r="N29" s="288"/>
    </row>
    <row r="30" spans="2:14" s="286" customFormat="1" ht="15" x14ac:dyDescent="0.3">
      <c r="B30" s="323">
        <v>44056</v>
      </c>
      <c r="C30" s="396" t="s">
        <v>795</v>
      </c>
      <c r="D30" s="397">
        <v>1.4500000000000001E-2</v>
      </c>
      <c r="E30" s="398">
        <v>2023</v>
      </c>
      <c r="F30" s="339">
        <v>2934639.63436</v>
      </c>
      <c r="G30" s="399">
        <v>2934639.63436</v>
      </c>
      <c r="H30" s="400">
        <v>5055604.7222604575</v>
      </c>
      <c r="I30" s="373"/>
      <c r="J30" s="372"/>
      <c r="K30" s="288"/>
      <c r="L30" s="288"/>
      <c r="M30" s="288"/>
      <c r="N30" s="288"/>
    </row>
    <row r="31" spans="2:14" s="286" customFormat="1" ht="15" x14ac:dyDescent="0.3">
      <c r="B31" s="323">
        <v>44078</v>
      </c>
      <c r="C31" s="396" t="s">
        <v>796</v>
      </c>
      <c r="D31" s="397">
        <v>0.02</v>
      </c>
      <c r="E31" s="398">
        <v>2026</v>
      </c>
      <c r="F31" s="339">
        <v>651003.01323000004</v>
      </c>
      <c r="G31" s="399">
        <v>651003.01323000004</v>
      </c>
      <c r="H31" s="400">
        <v>1106416.3484463179</v>
      </c>
      <c r="I31" s="373"/>
      <c r="J31" s="402"/>
      <c r="K31" s="288"/>
      <c r="L31" s="288"/>
      <c r="M31" s="288"/>
      <c r="N31" s="288"/>
    </row>
    <row r="32" spans="2:14" s="286" customFormat="1" ht="15" x14ac:dyDescent="0.3">
      <c r="B32" s="323">
        <v>44078</v>
      </c>
      <c r="C32" s="396" t="s">
        <v>797</v>
      </c>
      <c r="D32" s="397">
        <v>2.2499999999999999E-2</v>
      </c>
      <c r="E32" s="398">
        <v>2028</v>
      </c>
      <c r="F32" s="339">
        <v>89993.209220000004</v>
      </c>
      <c r="G32" s="399">
        <v>89993.209220000004</v>
      </c>
      <c r="H32" s="400">
        <v>152948.53618489092</v>
      </c>
      <c r="I32" s="373"/>
      <c r="J32" s="402"/>
      <c r="K32" s="288"/>
      <c r="L32" s="288"/>
      <c r="M32" s="288"/>
      <c r="N32" s="288"/>
    </row>
    <row r="33" spans="2:14" s="286" customFormat="1" ht="15" x14ac:dyDescent="0.3">
      <c r="B33" s="323">
        <v>44253</v>
      </c>
      <c r="C33" s="396" t="s">
        <v>927</v>
      </c>
      <c r="D33" s="397">
        <v>1.55E-2</v>
      </c>
      <c r="E33" s="398">
        <v>2024</v>
      </c>
      <c r="F33" s="339">
        <v>1073265.3388700001</v>
      </c>
      <c r="G33" s="399">
        <v>1073265.3388700001</v>
      </c>
      <c r="H33" s="400">
        <v>1516970.0278822645</v>
      </c>
      <c r="I33" s="403"/>
      <c r="J33" s="404"/>
      <c r="K33" s="405"/>
      <c r="L33" s="288"/>
      <c r="M33" s="288"/>
      <c r="N33" s="288"/>
    </row>
    <row r="34" spans="2:14" s="286" customFormat="1" ht="15" x14ac:dyDescent="0.3">
      <c r="B34" s="323"/>
      <c r="C34" s="396"/>
      <c r="D34" s="397"/>
      <c r="E34" s="398"/>
      <c r="F34" s="339"/>
      <c r="G34" s="399"/>
      <c r="H34" s="400"/>
      <c r="L34" s="288"/>
      <c r="M34" s="288"/>
      <c r="N34" s="288"/>
    </row>
    <row r="35" spans="2:14" ht="15" x14ac:dyDescent="0.3">
      <c r="B35" s="323"/>
      <c r="C35" s="389" t="s">
        <v>369</v>
      </c>
      <c r="D35" s="390"/>
      <c r="E35" s="391"/>
      <c r="F35" s="392">
        <f>SUM(F36:F40)</f>
        <v>358536.26980999997</v>
      </c>
      <c r="G35" s="393">
        <f>SUM(G36:G40)</f>
        <v>358536.26980999997</v>
      </c>
      <c r="H35" s="394">
        <f>SUM(H36:H40)</f>
        <v>12597354.846459512</v>
      </c>
    </row>
    <row r="36" spans="2:14" s="395" customFormat="1" ht="15" x14ac:dyDescent="0.3">
      <c r="B36" s="323">
        <v>37986</v>
      </c>
      <c r="C36" s="396" t="s">
        <v>560</v>
      </c>
      <c r="D36" s="397">
        <v>1.77E-2</v>
      </c>
      <c r="E36" s="398">
        <v>2038</v>
      </c>
      <c r="F36" s="339">
        <v>27519.580100000003</v>
      </c>
      <c r="G36" s="399">
        <v>27519.580100000003</v>
      </c>
      <c r="H36" s="400">
        <v>729960.15871529479</v>
      </c>
      <c r="I36" s="405"/>
      <c r="J36" s="405"/>
      <c r="K36" s="405"/>
      <c r="L36" s="288"/>
      <c r="M36" s="288"/>
      <c r="N36" s="288"/>
    </row>
    <row r="37" spans="2:14" ht="15" x14ac:dyDescent="0.3">
      <c r="B37" s="323">
        <v>37986</v>
      </c>
      <c r="C37" s="396" t="s">
        <v>561</v>
      </c>
      <c r="D37" s="397">
        <v>1.77E-2</v>
      </c>
      <c r="E37" s="398">
        <v>2038</v>
      </c>
      <c r="F37" s="339">
        <v>109.44542999999999</v>
      </c>
      <c r="G37" s="399">
        <v>109.44542999999999</v>
      </c>
      <c r="H37" s="400">
        <v>2903.0531605791266</v>
      </c>
      <c r="I37" s="405"/>
      <c r="J37" s="405"/>
      <c r="K37" s="405"/>
    </row>
    <row r="38" spans="2:14" ht="15" x14ac:dyDescent="0.3">
      <c r="B38" s="323">
        <v>37986</v>
      </c>
      <c r="C38" s="396" t="s">
        <v>562</v>
      </c>
      <c r="D38" s="397">
        <v>5.8299999999999998E-2</v>
      </c>
      <c r="E38" s="398">
        <v>2033</v>
      </c>
      <c r="F38" s="339">
        <v>101617.11095999999</v>
      </c>
      <c r="G38" s="399">
        <v>101617.11095999999</v>
      </c>
      <c r="H38" s="400">
        <v>3422993.9234565287</v>
      </c>
    </row>
    <row r="39" spans="2:14" ht="15" x14ac:dyDescent="0.3">
      <c r="B39" s="323">
        <v>37986</v>
      </c>
      <c r="C39" s="396" t="s">
        <v>563</v>
      </c>
      <c r="D39" s="397">
        <v>5.8299999999999998E-2</v>
      </c>
      <c r="E39" s="398">
        <v>2033</v>
      </c>
      <c r="F39" s="339">
        <v>1221.51351</v>
      </c>
      <c r="G39" s="399">
        <v>1221.51351</v>
      </c>
      <c r="H39" s="400">
        <v>41146.922650221626</v>
      </c>
    </row>
    <row r="40" spans="2:14" ht="15" x14ac:dyDescent="0.3">
      <c r="B40" s="323">
        <v>37986</v>
      </c>
      <c r="C40" s="396" t="s">
        <v>564</v>
      </c>
      <c r="D40" s="397">
        <v>3.3099999999999997E-2</v>
      </c>
      <c r="E40" s="398">
        <v>2045</v>
      </c>
      <c r="F40" s="339">
        <v>228068.61981</v>
      </c>
      <c r="G40" s="399">
        <v>228068.61981</v>
      </c>
      <c r="H40" s="400">
        <v>8400350.7884768862</v>
      </c>
    </row>
    <row r="41" spans="2:14" s="286" customFormat="1" ht="15" x14ac:dyDescent="0.3">
      <c r="B41" s="323"/>
      <c r="C41" s="396"/>
      <c r="D41" s="397"/>
      <c r="E41" s="398"/>
      <c r="F41" s="406"/>
      <c r="G41" s="407"/>
      <c r="H41" s="408"/>
      <c r="L41" s="288"/>
      <c r="M41" s="288"/>
      <c r="N41" s="288"/>
    </row>
    <row r="42" spans="2:14" ht="15" x14ac:dyDescent="0.3">
      <c r="B42" s="323"/>
      <c r="C42" s="389" t="s">
        <v>292</v>
      </c>
      <c r="D42" s="390"/>
      <c r="E42" s="391"/>
      <c r="F42" s="392"/>
      <c r="G42" s="393"/>
      <c r="H42" s="394">
        <v>1185.6692119480806</v>
      </c>
    </row>
    <row r="43" spans="2:14" s="387" customFormat="1" ht="16.2" x14ac:dyDescent="0.3">
      <c r="B43" s="323"/>
      <c r="C43" s="396"/>
      <c r="D43" s="397"/>
      <c r="E43" s="398"/>
      <c r="F43" s="406"/>
      <c r="G43" s="407"/>
      <c r="H43" s="408"/>
      <c r="I43" s="365"/>
      <c r="J43" s="365"/>
      <c r="K43" s="288"/>
      <c r="L43" s="288"/>
      <c r="M43" s="288"/>
      <c r="N43" s="288"/>
    </row>
    <row r="44" spans="2:14" s="395" customFormat="1" ht="15" x14ac:dyDescent="0.3">
      <c r="B44" s="323"/>
      <c r="C44" s="385" t="s">
        <v>217</v>
      </c>
      <c r="D44" s="397"/>
      <c r="E44" s="398"/>
      <c r="F44" s="409">
        <f>+SUM(F45:F52)</f>
        <v>10872357.12692</v>
      </c>
      <c r="G44" s="409">
        <f t="shared" ref="G44:H44" si="0">+SUM(G45:G52)</f>
        <v>10872357.12692</v>
      </c>
      <c r="H44" s="1239">
        <f t="shared" si="0"/>
        <v>13635760.836114414</v>
      </c>
      <c r="I44" s="402"/>
      <c r="J44" s="288"/>
      <c r="K44" s="288"/>
      <c r="L44" s="288"/>
      <c r="M44" s="288"/>
      <c r="N44" s="288"/>
    </row>
    <row r="45" spans="2:14" s="395" customFormat="1" ht="15" x14ac:dyDescent="0.3">
      <c r="B45" s="323">
        <v>44273</v>
      </c>
      <c r="C45" s="396" t="s">
        <v>816</v>
      </c>
      <c r="D45" s="397" t="s">
        <v>49</v>
      </c>
      <c r="E45" s="398">
        <v>2022</v>
      </c>
      <c r="F45" s="406">
        <v>1926290.0290399999</v>
      </c>
      <c r="G45" s="407">
        <v>1926290.0290399999</v>
      </c>
      <c r="H45" s="408">
        <v>2649499.4848023988</v>
      </c>
      <c r="I45" s="405"/>
      <c r="J45" s="405"/>
      <c r="K45" s="405"/>
      <c r="L45" s="288"/>
      <c r="M45" s="410"/>
      <c r="N45" s="410"/>
    </row>
    <row r="46" spans="2:14" s="395" customFormat="1" ht="15" x14ac:dyDescent="0.3">
      <c r="B46" s="323">
        <v>44286</v>
      </c>
      <c r="C46" s="396" t="s">
        <v>817</v>
      </c>
      <c r="D46" s="397" t="s">
        <v>49</v>
      </c>
      <c r="E46" s="398">
        <v>2022</v>
      </c>
      <c r="F46" s="406">
        <v>1100979.27315</v>
      </c>
      <c r="G46" s="407">
        <v>1100979.27315</v>
      </c>
      <c r="H46" s="408">
        <v>1492037.7372719008</v>
      </c>
      <c r="I46" s="405"/>
      <c r="J46" s="405"/>
      <c r="K46" s="405"/>
      <c r="L46" s="288"/>
      <c r="M46" s="410"/>
      <c r="N46" s="410"/>
    </row>
    <row r="47" spans="2:14" s="395" customFormat="1" ht="15" x14ac:dyDescent="0.3">
      <c r="B47" s="323">
        <v>44305</v>
      </c>
      <c r="C47" s="396" t="s">
        <v>834</v>
      </c>
      <c r="D47" s="397" t="s">
        <v>49</v>
      </c>
      <c r="E47" s="398">
        <v>2022</v>
      </c>
      <c r="F47" s="406">
        <v>1339148.49569</v>
      </c>
      <c r="G47" s="407">
        <v>1339148.49569</v>
      </c>
      <c r="H47" s="408">
        <v>1772889.5776931359</v>
      </c>
      <c r="I47" s="405"/>
      <c r="J47" s="405"/>
      <c r="K47" s="405"/>
      <c r="L47" s="288"/>
      <c r="M47" s="410"/>
      <c r="N47" s="410"/>
    </row>
    <row r="48" spans="2:14" s="395" customFormat="1" ht="15" x14ac:dyDescent="0.3">
      <c r="B48" s="323">
        <v>44337</v>
      </c>
      <c r="C48" s="396" t="s">
        <v>835</v>
      </c>
      <c r="D48" s="397" t="s">
        <v>49</v>
      </c>
      <c r="E48" s="398">
        <v>2022</v>
      </c>
      <c r="F48" s="406">
        <v>1733516.6758099999</v>
      </c>
      <c r="G48" s="407">
        <v>1733516.6758099999</v>
      </c>
      <c r="H48" s="408">
        <v>2186540.3817282794</v>
      </c>
      <c r="I48" s="405"/>
      <c r="J48" s="405"/>
      <c r="K48" s="405"/>
      <c r="L48" s="288"/>
      <c r="M48" s="410"/>
      <c r="N48" s="410"/>
    </row>
    <row r="49" spans="2:14" ht="15" x14ac:dyDescent="0.3">
      <c r="B49" s="323">
        <v>44377</v>
      </c>
      <c r="C49" s="396" t="s">
        <v>836</v>
      </c>
      <c r="D49" s="397" t="s">
        <v>49</v>
      </c>
      <c r="E49" s="398">
        <v>2022</v>
      </c>
      <c r="F49" s="406">
        <v>2146315.8727199999</v>
      </c>
      <c r="G49" s="407">
        <v>2146315.8727199999</v>
      </c>
      <c r="H49" s="408">
        <v>2578693.7907694438</v>
      </c>
      <c r="I49" s="405"/>
      <c r="J49" s="405"/>
      <c r="K49" s="405"/>
    </row>
    <row r="50" spans="2:14" ht="15" x14ac:dyDescent="0.3">
      <c r="B50" s="323">
        <v>44413</v>
      </c>
      <c r="C50" s="396" t="s">
        <v>847</v>
      </c>
      <c r="D50" s="397" t="s">
        <v>49</v>
      </c>
      <c r="E50" s="398">
        <v>2022</v>
      </c>
      <c r="F50" s="406">
        <v>1479318.7347899999</v>
      </c>
      <c r="G50" s="407">
        <v>1479318.7347899999</v>
      </c>
      <c r="H50" s="408">
        <v>1711790.4584665585</v>
      </c>
      <c r="I50" s="405"/>
      <c r="J50" s="405"/>
      <c r="K50" s="405"/>
    </row>
    <row r="51" spans="2:14" ht="15" x14ac:dyDescent="0.3">
      <c r="B51" s="323">
        <v>44530</v>
      </c>
      <c r="C51" s="396" t="s">
        <v>898</v>
      </c>
      <c r="D51" s="397" t="s">
        <v>49</v>
      </c>
      <c r="E51" s="398">
        <v>2022</v>
      </c>
      <c r="F51" s="406">
        <v>780450.95660999999</v>
      </c>
      <c r="G51" s="407">
        <v>780450.95660999999</v>
      </c>
      <c r="H51" s="408">
        <v>804173.26837751106</v>
      </c>
      <c r="I51" s="405"/>
      <c r="J51" s="405"/>
      <c r="K51" s="405"/>
    </row>
    <row r="52" spans="2:14" ht="15" x14ac:dyDescent="0.3">
      <c r="B52" s="323">
        <v>44377</v>
      </c>
      <c r="C52" s="396" t="s">
        <v>837</v>
      </c>
      <c r="D52" s="397" t="s">
        <v>49</v>
      </c>
      <c r="E52" s="398">
        <v>2021</v>
      </c>
      <c r="F52" s="406">
        <v>366337.08911</v>
      </c>
      <c r="G52" s="407">
        <v>366337.08911</v>
      </c>
      <c r="H52" s="408">
        <v>440136.13700518763</v>
      </c>
      <c r="I52" s="405"/>
      <c r="J52" s="405"/>
      <c r="K52" s="405"/>
    </row>
    <row r="53" spans="2:14" ht="15" x14ac:dyDescent="0.3">
      <c r="B53" s="323"/>
      <c r="C53" s="396"/>
      <c r="D53" s="397"/>
      <c r="E53" s="398"/>
      <c r="F53" s="406"/>
      <c r="G53" s="407"/>
      <c r="H53" s="408"/>
      <c r="I53" s="405"/>
      <c r="J53" s="405"/>
      <c r="K53" s="405"/>
    </row>
    <row r="54" spans="2:14" s="395" customFormat="1" ht="15" x14ac:dyDescent="0.3">
      <c r="B54" s="323"/>
      <c r="C54" s="385" t="s">
        <v>367</v>
      </c>
      <c r="D54" s="411"/>
      <c r="E54" s="391"/>
      <c r="F54" s="326">
        <f>SUM(F55:F62)</f>
        <v>16339.093543478684</v>
      </c>
      <c r="G54" s="386">
        <f>SUM(G55:G62)</f>
        <v>16339.093543478684</v>
      </c>
      <c r="H54" s="327">
        <f>SUM(H55:H62)</f>
        <v>751015.36872733675</v>
      </c>
      <c r="I54" s="405"/>
      <c r="J54" s="405"/>
      <c r="K54" s="405"/>
      <c r="L54" s="288"/>
      <c r="M54" s="288"/>
      <c r="N54" s="288"/>
    </row>
    <row r="55" spans="2:14" ht="15" x14ac:dyDescent="0.3">
      <c r="B55" s="323">
        <v>37201</v>
      </c>
      <c r="C55" s="396" t="s">
        <v>309</v>
      </c>
      <c r="D55" s="412">
        <v>0.05</v>
      </c>
      <c r="E55" s="398">
        <v>2031</v>
      </c>
      <c r="F55" s="406">
        <v>28.122623771427328</v>
      </c>
      <c r="G55" s="413">
        <v>28.122623771427328</v>
      </c>
      <c r="H55" s="400">
        <v>1113.9944258036178</v>
      </c>
      <c r="I55" s="365"/>
      <c r="J55" s="365"/>
    </row>
    <row r="56" spans="2:14" ht="15" x14ac:dyDescent="0.3">
      <c r="B56" s="323">
        <v>37201</v>
      </c>
      <c r="C56" s="396" t="s">
        <v>308</v>
      </c>
      <c r="D56" s="412">
        <v>0.05</v>
      </c>
      <c r="E56" s="398">
        <v>2030</v>
      </c>
      <c r="F56" s="406">
        <v>122.78560984475112</v>
      </c>
      <c r="G56" s="413">
        <v>122.78560984475112</v>
      </c>
      <c r="H56" s="400">
        <v>4863.7881745202585</v>
      </c>
      <c r="I56" s="365"/>
      <c r="J56" s="365"/>
    </row>
    <row r="57" spans="2:14" ht="15" x14ac:dyDescent="0.3">
      <c r="B57" s="323">
        <v>37201</v>
      </c>
      <c r="C57" s="396" t="s">
        <v>304</v>
      </c>
      <c r="D57" s="412">
        <v>0.05</v>
      </c>
      <c r="E57" s="398">
        <v>2027</v>
      </c>
      <c r="F57" s="406">
        <v>569.94640492900703</v>
      </c>
      <c r="G57" s="413">
        <v>569.94640492900703</v>
      </c>
      <c r="H57" s="400">
        <v>22574.377605735612</v>
      </c>
      <c r="I57" s="365"/>
      <c r="J57" s="365"/>
    </row>
    <row r="58" spans="2:14" ht="15" x14ac:dyDescent="0.3">
      <c r="B58" s="323">
        <v>37201</v>
      </c>
      <c r="C58" s="396" t="s">
        <v>307</v>
      </c>
      <c r="D58" s="412">
        <v>0.05</v>
      </c>
      <c r="E58" s="398">
        <v>2030</v>
      </c>
      <c r="F58" s="406">
        <v>922.39358220608028</v>
      </c>
      <c r="G58" s="413">
        <v>922.39358220608028</v>
      </c>
      <c r="H58" s="400">
        <v>36388.420018818841</v>
      </c>
      <c r="I58" s="365"/>
      <c r="J58" s="365"/>
    </row>
    <row r="59" spans="2:14" ht="15" x14ac:dyDescent="0.3">
      <c r="B59" s="323">
        <v>37201</v>
      </c>
      <c r="C59" s="396" t="s">
        <v>305</v>
      </c>
      <c r="D59" s="412">
        <v>0.05</v>
      </c>
      <c r="E59" s="398">
        <v>2027</v>
      </c>
      <c r="F59" s="406">
        <v>1619.4615216784205</v>
      </c>
      <c r="G59" s="413">
        <v>1619.4615216784205</v>
      </c>
      <c r="H59" s="400">
        <v>64123.491604858609</v>
      </c>
      <c r="I59" s="365"/>
      <c r="J59" s="365"/>
    </row>
    <row r="60" spans="2:14" ht="15" x14ac:dyDescent="0.3">
      <c r="B60" s="323">
        <v>37201</v>
      </c>
      <c r="C60" s="396" t="s">
        <v>306</v>
      </c>
      <c r="D60" s="412">
        <v>0.05</v>
      </c>
      <c r="E60" s="398">
        <v>2027</v>
      </c>
      <c r="F60" s="406">
        <v>1658.3877832913765</v>
      </c>
      <c r="G60" s="413">
        <v>1658.3877832913765</v>
      </c>
      <c r="H60" s="400">
        <v>65402.784074541247</v>
      </c>
      <c r="I60" s="365"/>
      <c r="J60" s="365"/>
    </row>
    <row r="61" spans="2:14" ht="15" x14ac:dyDescent="0.3">
      <c r="B61" s="323">
        <v>37201</v>
      </c>
      <c r="C61" s="396" t="s">
        <v>311</v>
      </c>
      <c r="D61" s="412">
        <v>0.05</v>
      </c>
      <c r="E61" s="398">
        <v>2031</v>
      </c>
      <c r="F61" s="406">
        <v>2231.4899305971744</v>
      </c>
      <c r="G61" s="413">
        <v>2231.4899305971744</v>
      </c>
      <c r="H61" s="400">
        <v>108411.43888880115</v>
      </c>
      <c r="I61" s="365"/>
      <c r="J61" s="365"/>
    </row>
    <row r="62" spans="2:14" ht="15" x14ac:dyDescent="0.3">
      <c r="B62" s="323">
        <v>37201</v>
      </c>
      <c r="C62" s="396" t="s">
        <v>310</v>
      </c>
      <c r="D62" s="412">
        <v>0.05</v>
      </c>
      <c r="E62" s="398">
        <v>2031</v>
      </c>
      <c r="F62" s="406">
        <v>9186.5060871604474</v>
      </c>
      <c r="G62" s="413">
        <v>9186.5060871604474</v>
      </c>
      <c r="H62" s="400">
        <v>448137.07393425744</v>
      </c>
      <c r="I62" s="365"/>
    </row>
    <row r="63" spans="2:14" s="414" customFormat="1" ht="16.2" x14ac:dyDescent="0.3">
      <c r="B63" s="323"/>
      <c r="C63" s="396"/>
      <c r="D63" s="412"/>
      <c r="E63" s="398"/>
      <c r="F63" s="406"/>
      <c r="G63" s="407"/>
      <c r="H63" s="408"/>
      <c r="I63" s="365"/>
      <c r="J63" s="365"/>
      <c r="K63" s="288"/>
      <c r="L63" s="288"/>
      <c r="M63" s="288"/>
      <c r="N63" s="288"/>
    </row>
    <row r="64" spans="2:14" ht="15" x14ac:dyDescent="0.3">
      <c r="B64" s="323"/>
      <c r="C64" s="415" t="s">
        <v>339</v>
      </c>
      <c r="D64" s="416"/>
      <c r="E64" s="391"/>
      <c r="F64" s="326">
        <f>+F65</f>
        <v>14273.245847980537</v>
      </c>
      <c r="G64" s="386">
        <f>+G65</f>
        <v>14273.245847980537</v>
      </c>
      <c r="H64" s="327">
        <f>+H65</f>
        <v>378599.55594466871</v>
      </c>
      <c r="I64" s="365"/>
      <c r="J64" s="365"/>
    </row>
    <row r="65" spans="2:14" s="387" customFormat="1" ht="16.2" x14ac:dyDescent="0.3">
      <c r="B65" s="323">
        <v>37986</v>
      </c>
      <c r="C65" s="396" t="s">
        <v>513</v>
      </c>
      <c r="D65" s="412">
        <v>1.77E-2</v>
      </c>
      <c r="E65" s="398">
        <v>2038</v>
      </c>
      <c r="F65" s="406">
        <v>14273.245847980537</v>
      </c>
      <c r="G65" s="399">
        <v>14273.245847980537</v>
      </c>
      <c r="H65" s="400">
        <v>378599.55594466871</v>
      </c>
      <c r="I65" s="365"/>
      <c r="J65" s="365"/>
      <c r="K65" s="288"/>
      <c r="L65" s="288"/>
      <c r="M65" s="288"/>
      <c r="N65" s="288"/>
    </row>
    <row r="66" spans="2:14" ht="15" x14ac:dyDescent="0.3">
      <c r="B66" s="417"/>
      <c r="C66" s="418"/>
      <c r="D66" s="412"/>
      <c r="E66" s="398"/>
      <c r="F66" s="419"/>
      <c r="G66" s="383"/>
      <c r="H66" s="384"/>
      <c r="I66" s="365"/>
    </row>
    <row r="67" spans="2:14" ht="16.8" thickBot="1" x14ac:dyDescent="0.35">
      <c r="B67" s="1347" t="s">
        <v>275</v>
      </c>
      <c r="C67" s="1348"/>
      <c r="D67" s="1348"/>
      <c r="E67" s="1348"/>
      <c r="F67" s="420">
        <f>+F64+F54+F44+F17</f>
        <v>29406448.675281458</v>
      </c>
      <c r="G67" s="421">
        <f>+G64+G54+G44+G17</f>
        <v>29391927.715861458</v>
      </c>
      <c r="H67" s="422">
        <f>+H64+H54+H44+H17</f>
        <v>62203132.762623176</v>
      </c>
      <c r="I67" s="365"/>
    </row>
    <row r="68" spans="2:14" ht="15.6" thickTop="1" x14ac:dyDescent="0.3">
      <c r="B68" s="423"/>
      <c r="C68" s="286"/>
      <c r="D68" s="286"/>
      <c r="E68" s="286"/>
      <c r="F68" s="424"/>
      <c r="G68" s="424"/>
      <c r="H68" s="425"/>
      <c r="I68" s="365"/>
    </row>
    <row r="69" spans="2:14" x14ac:dyDescent="0.3">
      <c r="B69" s="362" t="s">
        <v>327</v>
      </c>
      <c r="C69" s="426"/>
      <c r="D69" s="426"/>
      <c r="E69" s="426"/>
      <c r="F69" s="427"/>
      <c r="G69" s="427"/>
      <c r="H69" s="427"/>
      <c r="I69" s="365"/>
    </row>
    <row r="70" spans="2:14" x14ac:dyDescent="0.3">
      <c r="B70" s="362" t="s">
        <v>899</v>
      </c>
      <c r="C70" s="426"/>
      <c r="D70" s="426"/>
      <c r="E70" s="426"/>
      <c r="F70" s="426"/>
      <c r="G70" s="426"/>
      <c r="H70" s="428"/>
      <c r="I70" s="365"/>
    </row>
    <row r="71" spans="2:14" x14ac:dyDescent="0.3">
      <c r="B71" s="362" t="s">
        <v>900</v>
      </c>
      <c r="C71" s="426"/>
      <c r="D71" s="426"/>
      <c r="E71" s="426"/>
      <c r="F71" s="426"/>
      <c r="G71" s="426"/>
      <c r="H71" s="405"/>
      <c r="I71" s="365"/>
    </row>
    <row r="72" spans="2:14" x14ac:dyDescent="0.3">
      <c r="F72" s="429"/>
      <c r="G72" s="429"/>
      <c r="H72" s="405"/>
      <c r="I72" s="365"/>
    </row>
    <row r="73" spans="2:14" x14ac:dyDescent="0.3">
      <c r="H73" s="405"/>
      <c r="I73" s="365"/>
    </row>
    <row r="74" spans="2:14" x14ac:dyDescent="0.3">
      <c r="H74" s="405"/>
      <c r="I74" s="365"/>
    </row>
    <row r="75" spans="2:14" x14ac:dyDescent="0.3">
      <c r="F75" s="429"/>
      <c r="G75" s="429"/>
      <c r="H75" s="429"/>
      <c r="I75" s="365"/>
    </row>
    <row r="76" spans="2:14" x14ac:dyDescent="0.3">
      <c r="I76" s="365"/>
    </row>
    <row r="77" spans="2:14" x14ac:dyDescent="0.3">
      <c r="I77" s="365"/>
    </row>
    <row r="78" spans="2:14" x14ac:dyDescent="0.3">
      <c r="I78" s="365"/>
    </row>
  </sheetData>
  <mergeCells count="11">
    <mergeCell ref="B67:E67"/>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N282"/>
  <sheetViews>
    <sheetView showGridLines="0" showRuler="0" zoomScale="85" zoomScaleNormal="85" zoomScaleSheetLayoutView="85" workbookViewId="0"/>
  </sheetViews>
  <sheetFormatPr baseColWidth="10" defaultColWidth="11.44140625" defaultRowHeight="14.4" x14ac:dyDescent="0.3"/>
  <cols>
    <col min="1" max="1" width="6.77734375" style="288" customWidth="1"/>
    <col min="2" max="2" width="12.5546875" style="288" customWidth="1"/>
    <col min="3" max="3" width="62" style="288" customWidth="1"/>
    <col min="4" max="4" width="12.44140625" style="288" bestFit="1" customWidth="1"/>
    <col min="5" max="5" width="13.21875" style="288" customWidth="1"/>
    <col min="6" max="8" width="18.21875" style="288" customWidth="1"/>
    <col min="9" max="9" width="15.44140625" style="288" bestFit="1" customWidth="1"/>
    <col min="10" max="11" width="14.21875" style="288" bestFit="1" customWidth="1"/>
    <col min="12" max="14" width="13.21875" style="288" bestFit="1" customWidth="1"/>
    <col min="15" max="16384" width="11.44140625" style="288"/>
  </cols>
  <sheetData>
    <row r="1" spans="1:14" ht="15" x14ac:dyDescent="0.3">
      <c r="A1" s="1" t="s">
        <v>216</v>
      </c>
      <c r="B1" s="286"/>
    </row>
    <row r="2" spans="1:14" s="286" customFormat="1" ht="15" x14ac:dyDescent="0.3">
      <c r="B2" s="4" t="s">
        <v>693</v>
      </c>
      <c r="C2" s="9"/>
      <c r="D2" s="9"/>
      <c r="E2" s="9"/>
      <c r="F2" s="9"/>
      <c r="G2" s="9"/>
      <c r="H2" s="430"/>
      <c r="I2" s="288"/>
      <c r="J2" s="288"/>
      <c r="K2" s="288"/>
      <c r="L2" s="288"/>
      <c r="M2" s="288"/>
      <c r="N2" s="288"/>
    </row>
    <row r="3" spans="1:14" s="286" customFormat="1" ht="15" x14ac:dyDescent="0.3">
      <c r="B3" s="4" t="s">
        <v>299</v>
      </c>
      <c r="C3" s="9"/>
      <c r="D3" s="9"/>
      <c r="E3" s="9"/>
      <c r="F3" s="9"/>
      <c r="G3" s="9"/>
      <c r="H3" s="431"/>
      <c r="I3" s="288"/>
      <c r="J3" s="288"/>
      <c r="K3" s="288"/>
      <c r="L3" s="288"/>
      <c r="M3" s="288"/>
      <c r="N3" s="288"/>
    </row>
    <row r="4" spans="1:14" s="287" customFormat="1" x14ac:dyDescent="0.3">
      <c r="B4" s="135"/>
      <c r="C4" s="135"/>
      <c r="D4" s="135"/>
      <c r="E4" s="135"/>
      <c r="F4" s="135"/>
      <c r="G4" s="135"/>
      <c r="H4" s="432"/>
      <c r="I4" s="288"/>
      <c r="J4" s="288"/>
      <c r="K4" s="288"/>
      <c r="L4" s="288"/>
      <c r="M4" s="288"/>
      <c r="N4" s="288"/>
    </row>
    <row r="5" spans="1:14" s="287" customFormat="1" x14ac:dyDescent="0.3">
      <c r="B5" s="135"/>
      <c r="C5" s="135"/>
      <c r="D5" s="135"/>
      <c r="E5" s="135"/>
      <c r="F5" s="135"/>
      <c r="G5" s="135"/>
      <c r="H5" s="432"/>
      <c r="I5" s="288"/>
      <c r="J5" s="288"/>
      <c r="K5" s="288"/>
      <c r="L5" s="288"/>
      <c r="M5" s="288"/>
      <c r="N5" s="288"/>
    </row>
    <row r="6" spans="1:14" ht="18" x14ac:dyDescent="0.3">
      <c r="B6" s="1359" t="s">
        <v>514</v>
      </c>
      <c r="C6" s="1359"/>
      <c r="D6" s="1359"/>
      <c r="E6" s="1359"/>
      <c r="F6" s="1359"/>
      <c r="G6" s="1359"/>
      <c r="H6" s="1359"/>
    </row>
    <row r="7" spans="1:14" ht="18" x14ac:dyDescent="0.3">
      <c r="B7" s="1359" t="s">
        <v>515</v>
      </c>
      <c r="C7" s="1359"/>
      <c r="D7" s="1359"/>
      <c r="E7" s="1359"/>
      <c r="F7" s="1359"/>
      <c r="G7" s="1359"/>
      <c r="H7" s="1359"/>
    </row>
    <row r="8" spans="1:14" ht="15" x14ac:dyDescent="0.3">
      <c r="B8" s="1334" t="s">
        <v>888</v>
      </c>
      <c r="C8" s="1334"/>
      <c r="D8" s="1334"/>
      <c r="E8" s="1334"/>
      <c r="F8" s="1334"/>
      <c r="G8" s="1334"/>
      <c r="H8" s="1334"/>
    </row>
    <row r="9" spans="1:14" s="287" customFormat="1" ht="10.5" customHeight="1" x14ac:dyDescent="0.3">
      <c r="B9" s="433"/>
      <c r="C9" s="433"/>
      <c r="D9" s="433"/>
      <c r="E9" s="433"/>
      <c r="F9" s="433"/>
      <c r="G9" s="433"/>
      <c r="H9" s="433"/>
      <c r="I9" s="288"/>
      <c r="J9" s="288"/>
      <c r="K9" s="288"/>
      <c r="L9" s="288"/>
      <c r="M9" s="288"/>
      <c r="N9" s="288"/>
    </row>
    <row r="10" spans="1:14" s="287" customFormat="1" x14ac:dyDescent="0.3">
      <c r="B10" s="434"/>
      <c r="C10" s="135"/>
      <c r="D10" s="135"/>
      <c r="E10" s="135"/>
      <c r="F10" s="135"/>
      <c r="G10" s="135"/>
      <c r="H10" s="432"/>
      <c r="I10" s="288"/>
      <c r="J10" s="288"/>
      <c r="K10" s="288"/>
      <c r="L10" s="288"/>
      <c r="M10" s="288"/>
      <c r="N10" s="288"/>
    </row>
    <row r="11" spans="1:14" ht="15" thickBot="1" x14ac:dyDescent="0.35">
      <c r="B11" s="9"/>
      <c r="C11" s="9"/>
      <c r="D11" s="435"/>
      <c r="E11" s="9"/>
      <c r="F11" s="9"/>
      <c r="G11" s="9"/>
      <c r="H11" s="436" t="s">
        <v>289</v>
      </c>
    </row>
    <row r="12" spans="1:14" s="437" customFormat="1" ht="15" thickTop="1" x14ac:dyDescent="0.3">
      <c r="B12" s="1335" t="s">
        <v>290</v>
      </c>
      <c r="C12" s="1338" t="s">
        <v>285</v>
      </c>
      <c r="D12" s="1353" t="s">
        <v>228</v>
      </c>
      <c r="E12" s="1338" t="s">
        <v>286</v>
      </c>
      <c r="F12" s="1341" t="s">
        <v>291</v>
      </c>
      <c r="G12" s="1341" t="s">
        <v>322</v>
      </c>
      <c r="H12" s="1344" t="s">
        <v>323</v>
      </c>
      <c r="I12" s="288"/>
      <c r="J12" s="288"/>
      <c r="K12" s="288"/>
      <c r="L12" s="288"/>
      <c r="M12" s="288"/>
      <c r="N12" s="288"/>
    </row>
    <row r="13" spans="1:14" s="437" customFormat="1" x14ac:dyDescent="0.3">
      <c r="B13" s="1336"/>
      <c r="C13" s="1339"/>
      <c r="D13" s="1354"/>
      <c r="E13" s="1339"/>
      <c r="F13" s="1342"/>
      <c r="G13" s="1342"/>
      <c r="H13" s="1345"/>
      <c r="I13" s="288"/>
      <c r="J13" s="288"/>
      <c r="K13" s="288"/>
      <c r="L13" s="288"/>
      <c r="M13" s="288"/>
      <c r="N13" s="288"/>
    </row>
    <row r="14" spans="1:14" s="437" customFormat="1" x14ac:dyDescent="0.3">
      <c r="B14" s="1336"/>
      <c r="C14" s="1339"/>
      <c r="D14" s="1354"/>
      <c r="E14" s="1339"/>
      <c r="F14" s="1342"/>
      <c r="G14" s="1342"/>
      <c r="H14" s="1345"/>
      <c r="I14" s="288"/>
      <c r="J14" s="288"/>
      <c r="K14" s="288"/>
      <c r="L14" s="288"/>
      <c r="M14" s="288"/>
      <c r="N14" s="288"/>
    </row>
    <row r="15" spans="1:14" s="437" customFormat="1" x14ac:dyDescent="0.3">
      <c r="B15" s="1336"/>
      <c r="C15" s="1339"/>
      <c r="D15" s="1354"/>
      <c r="E15" s="1339"/>
      <c r="F15" s="1342"/>
      <c r="G15" s="1342"/>
      <c r="H15" s="1345"/>
      <c r="I15" s="288"/>
      <c r="J15" s="288"/>
      <c r="K15" s="365"/>
      <c r="L15" s="288"/>
      <c r="M15" s="288"/>
      <c r="N15" s="288"/>
    </row>
    <row r="16" spans="1:14" s="437" customFormat="1" x14ac:dyDescent="0.3">
      <c r="B16" s="1337"/>
      <c r="C16" s="1340"/>
      <c r="D16" s="1355"/>
      <c r="E16" s="1340"/>
      <c r="F16" s="1343"/>
      <c r="G16" s="1343"/>
      <c r="H16" s="1346"/>
      <c r="I16" s="288"/>
      <c r="J16" s="288"/>
      <c r="K16" s="365"/>
      <c r="L16" s="288"/>
      <c r="M16" s="288"/>
      <c r="N16" s="288"/>
    </row>
    <row r="17" spans="2:14" s="437" customFormat="1" ht="15" x14ac:dyDescent="0.3">
      <c r="B17" s="438"/>
      <c r="C17" s="439"/>
      <c r="D17" s="440"/>
      <c r="E17" s="441"/>
      <c r="F17" s="442"/>
      <c r="G17" s="442"/>
      <c r="H17" s="443"/>
      <c r="I17" s="288"/>
      <c r="J17" s="288"/>
      <c r="K17" s="288"/>
      <c r="L17" s="288"/>
      <c r="M17" s="288"/>
      <c r="N17" s="288"/>
    </row>
    <row r="18" spans="2:14" s="444" customFormat="1" ht="16.2" x14ac:dyDescent="0.3">
      <c r="B18" s="438"/>
      <c r="C18" s="385" t="s">
        <v>300</v>
      </c>
      <c r="D18" s="440"/>
      <c r="E18" s="441"/>
      <c r="F18" s="326">
        <f>+F20+F44+F56</f>
        <v>112498898.53320649</v>
      </c>
      <c r="G18" s="326">
        <f>+G20+G44+G56</f>
        <v>112493693.87390329</v>
      </c>
      <c r="H18" s="327">
        <f>+H20+H44+H56</f>
        <v>112525257.74208494</v>
      </c>
      <c r="I18" s="365"/>
      <c r="J18" s="365"/>
      <c r="K18" s="288"/>
      <c r="L18" s="288"/>
      <c r="M18" s="288"/>
      <c r="N18" s="288"/>
    </row>
    <row r="19" spans="2:14" s="437" customFormat="1" ht="15" x14ac:dyDescent="0.3">
      <c r="B19" s="438"/>
      <c r="C19" s="439"/>
      <c r="D19" s="440"/>
      <c r="E19" s="441"/>
      <c r="F19" s="442"/>
      <c r="G19" s="442"/>
      <c r="H19" s="443"/>
      <c r="I19" s="365"/>
      <c r="J19" s="288"/>
      <c r="K19" s="288"/>
      <c r="L19" s="288"/>
      <c r="M19" s="288"/>
      <c r="N19" s="288"/>
    </row>
    <row r="20" spans="2:14" s="451" customFormat="1" ht="15" x14ac:dyDescent="0.3">
      <c r="B20" s="445"/>
      <c r="C20" s="446" t="s">
        <v>675</v>
      </c>
      <c r="D20" s="447"/>
      <c r="E20" s="448"/>
      <c r="F20" s="449">
        <f>SUM(F21:F42)</f>
        <v>111543888.2231261</v>
      </c>
      <c r="G20" s="449">
        <f>SUM(G21:G42)</f>
        <v>111538683.5638229</v>
      </c>
      <c r="H20" s="450">
        <f>SUM(H21:H42)</f>
        <v>111538683.5638361</v>
      </c>
      <c r="I20" s="365"/>
      <c r="J20" s="365"/>
      <c r="K20" s="288"/>
      <c r="L20" s="288"/>
      <c r="M20" s="288"/>
      <c r="N20" s="288"/>
    </row>
    <row r="21" spans="2:14" s="437" customFormat="1" ht="15" x14ac:dyDescent="0.3">
      <c r="B21" s="452">
        <v>41766</v>
      </c>
      <c r="C21" s="453" t="s">
        <v>559</v>
      </c>
      <c r="D21" s="462">
        <v>8.7499999999999994E-2</v>
      </c>
      <c r="E21" s="441">
        <v>2024</v>
      </c>
      <c r="F21" s="339">
        <v>31240.452000000001</v>
      </c>
      <c r="G21" s="339">
        <v>26035.792696799999</v>
      </c>
      <c r="H21" s="454">
        <v>26035.792710000002</v>
      </c>
      <c r="I21" s="365"/>
      <c r="J21" s="405"/>
      <c r="K21" s="288"/>
      <c r="L21" s="288"/>
      <c r="M21" s="288"/>
      <c r="N21" s="288"/>
    </row>
    <row r="22" spans="2:14" s="437" customFormat="1" ht="15" x14ac:dyDescent="0.3">
      <c r="B22" s="452">
        <v>42285</v>
      </c>
      <c r="C22" s="455" t="s">
        <v>742</v>
      </c>
      <c r="D22" s="462">
        <v>0.08</v>
      </c>
      <c r="E22" s="441">
        <v>2022</v>
      </c>
      <c r="F22" s="339">
        <v>7924.43</v>
      </c>
      <c r="G22" s="339">
        <v>7924.43</v>
      </c>
      <c r="H22" s="454">
        <v>7924.43</v>
      </c>
      <c r="I22" s="365"/>
      <c r="J22" s="405"/>
      <c r="K22" s="288"/>
      <c r="L22" s="288"/>
      <c r="M22" s="288"/>
      <c r="N22" s="288"/>
    </row>
    <row r="23" spans="2:14" s="437" customFormat="1" ht="15" x14ac:dyDescent="0.3">
      <c r="B23" s="452">
        <v>42587</v>
      </c>
      <c r="C23" s="453" t="s">
        <v>743</v>
      </c>
      <c r="D23" s="462">
        <v>0.01</v>
      </c>
      <c r="E23" s="441">
        <v>2023</v>
      </c>
      <c r="F23" s="339">
        <v>24998.895</v>
      </c>
      <c r="G23" s="339">
        <v>24998.895</v>
      </c>
      <c r="H23" s="454">
        <v>24998.895</v>
      </c>
      <c r="I23" s="365"/>
      <c r="J23" s="405"/>
      <c r="K23" s="288"/>
      <c r="L23" s="288"/>
      <c r="M23" s="288"/>
      <c r="N23" s="288"/>
    </row>
    <row r="24" spans="2:14" s="437" customFormat="1" ht="15" x14ac:dyDescent="0.3">
      <c r="B24" s="452">
        <v>42843</v>
      </c>
      <c r="C24" s="453" t="s">
        <v>497</v>
      </c>
      <c r="D24" s="462">
        <v>5.7500000000000002E-2</v>
      </c>
      <c r="E24" s="441">
        <v>2025</v>
      </c>
      <c r="F24" s="339">
        <v>1960.808</v>
      </c>
      <c r="G24" s="339">
        <v>1960.808</v>
      </c>
      <c r="H24" s="454">
        <v>1960.808</v>
      </c>
      <c r="I24" s="365"/>
      <c r="J24" s="405"/>
      <c r="K24" s="288"/>
      <c r="L24" s="288"/>
      <c r="M24" s="288"/>
      <c r="N24" s="288"/>
    </row>
    <row r="25" spans="2:14" s="437" customFormat="1" ht="15" x14ac:dyDescent="0.3">
      <c r="B25" s="452">
        <v>42843</v>
      </c>
      <c r="C25" s="453" t="s">
        <v>498</v>
      </c>
      <c r="D25" s="462">
        <v>7.6249999999999998E-2</v>
      </c>
      <c r="E25" s="441">
        <v>2037</v>
      </c>
      <c r="F25" s="339">
        <v>4021.279</v>
      </c>
      <c r="G25" s="339">
        <v>4021.279</v>
      </c>
      <c r="H25" s="454">
        <v>4021.279</v>
      </c>
      <c r="I25" s="365"/>
      <c r="J25" s="405"/>
      <c r="K25" s="288"/>
      <c r="L25" s="288"/>
      <c r="M25" s="288"/>
      <c r="N25" s="288"/>
    </row>
    <row r="26" spans="2:14" s="437" customFormat="1" ht="15" x14ac:dyDescent="0.3">
      <c r="B26" s="452">
        <v>44078</v>
      </c>
      <c r="C26" s="453" t="s">
        <v>769</v>
      </c>
      <c r="D26" s="462">
        <v>5.0000000000000001E-3</v>
      </c>
      <c r="E26" s="441">
        <v>2030</v>
      </c>
      <c r="F26" s="339">
        <v>16090612.052999999</v>
      </c>
      <c r="G26" s="339">
        <v>16090612.052999999</v>
      </c>
      <c r="H26" s="454">
        <v>16090612.052999999</v>
      </c>
      <c r="I26" s="365"/>
      <c r="J26" s="405"/>
      <c r="K26" s="288"/>
      <c r="L26" s="288"/>
      <c r="M26" s="288"/>
      <c r="N26" s="288"/>
    </row>
    <row r="27" spans="2:14" s="437" customFormat="1" ht="15" x14ac:dyDescent="0.3">
      <c r="B27" s="452">
        <v>44078</v>
      </c>
      <c r="C27" s="453" t="s">
        <v>770</v>
      </c>
      <c r="D27" s="462">
        <v>1.125E-2</v>
      </c>
      <c r="E27" s="441">
        <v>2035</v>
      </c>
      <c r="F27" s="339">
        <v>20501717.796999998</v>
      </c>
      <c r="G27" s="339">
        <v>20501717.796999998</v>
      </c>
      <c r="H27" s="454">
        <v>20501717.796999998</v>
      </c>
      <c r="I27" s="365"/>
      <c r="J27" s="405"/>
      <c r="K27" s="288"/>
      <c r="L27" s="288"/>
      <c r="M27" s="288"/>
      <c r="N27" s="288"/>
    </row>
    <row r="28" spans="2:14" s="437" customFormat="1" ht="15" x14ac:dyDescent="0.3">
      <c r="B28" s="452">
        <v>44078</v>
      </c>
      <c r="C28" s="453" t="s">
        <v>771</v>
      </c>
      <c r="D28" s="462">
        <v>0.02</v>
      </c>
      <c r="E28" s="441">
        <v>2038</v>
      </c>
      <c r="F28" s="339">
        <v>11405065.267000001</v>
      </c>
      <c r="G28" s="339">
        <v>11405065.267000001</v>
      </c>
      <c r="H28" s="454">
        <v>11405065.267000001</v>
      </c>
      <c r="I28" s="365"/>
      <c r="J28" s="405"/>
      <c r="K28" s="288"/>
      <c r="L28" s="288"/>
      <c r="M28" s="288"/>
      <c r="N28" s="288"/>
    </row>
    <row r="29" spans="2:14" s="437" customFormat="1" ht="15" x14ac:dyDescent="0.3">
      <c r="B29" s="452">
        <v>44078</v>
      </c>
      <c r="C29" s="453" t="s">
        <v>772</v>
      </c>
      <c r="D29" s="462">
        <v>2.5000000000000001E-2</v>
      </c>
      <c r="E29" s="441">
        <v>2041</v>
      </c>
      <c r="F29" s="339">
        <v>10482111.278999999</v>
      </c>
      <c r="G29" s="339">
        <v>10482111.278999999</v>
      </c>
      <c r="H29" s="454">
        <v>10482111.278999999</v>
      </c>
      <c r="I29" s="365"/>
      <c r="J29" s="405"/>
      <c r="K29" s="288"/>
      <c r="L29" s="288"/>
      <c r="M29" s="288"/>
      <c r="N29" s="288"/>
    </row>
    <row r="30" spans="2:14" s="437" customFormat="1" ht="15" x14ac:dyDescent="0.3">
      <c r="B30" s="452">
        <v>44078</v>
      </c>
      <c r="C30" s="453" t="s">
        <v>773</v>
      </c>
      <c r="D30" s="462">
        <v>0.01</v>
      </c>
      <c r="E30" s="441">
        <v>2029</v>
      </c>
      <c r="F30" s="339">
        <v>2635028.71</v>
      </c>
      <c r="G30" s="339">
        <v>2635028.71</v>
      </c>
      <c r="H30" s="454">
        <v>2635028.71</v>
      </c>
      <c r="I30" s="365"/>
      <c r="J30" s="405"/>
      <c r="K30" s="288"/>
      <c r="L30" s="288"/>
      <c r="M30" s="288"/>
      <c r="N30" s="288"/>
    </row>
    <row r="31" spans="2:14" s="437" customFormat="1" ht="15" x14ac:dyDescent="0.3">
      <c r="B31" s="452">
        <v>44078</v>
      </c>
      <c r="C31" s="453" t="s">
        <v>774</v>
      </c>
      <c r="D31" s="462">
        <v>1.125E-2</v>
      </c>
      <c r="E31" s="441">
        <v>2046</v>
      </c>
      <c r="F31" s="339">
        <v>2091997.1240000001</v>
      </c>
      <c r="G31" s="339">
        <v>2091997.1240000001</v>
      </c>
      <c r="H31" s="454">
        <v>2091997.1240000001</v>
      </c>
      <c r="I31" s="365"/>
      <c r="J31" s="405"/>
      <c r="K31" s="288"/>
      <c r="L31" s="288"/>
      <c r="M31" s="288"/>
      <c r="N31" s="288"/>
    </row>
    <row r="32" spans="2:14" s="437" customFormat="1" ht="15" x14ac:dyDescent="0.3">
      <c r="B32" s="452">
        <v>44078</v>
      </c>
      <c r="C32" s="456" t="s">
        <v>775</v>
      </c>
      <c r="D32" s="462">
        <v>5.0000000000000001E-3</v>
      </c>
      <c r="E32" s="441">
        <v>2030</v>
      </c>
      <c r="F32" s="339">
        <v>13524103.52</v>
      </c>
      <c r="G32" s="339">
        <v>13524103.52</v>
      </c>
      <c r="H32" s="454">
        <v>13524103.52</v>
      </c>
      <c r="I32" s="365"/>
      <c r="J32" s="405"/>
      <c r="K32" s="288"/>
      <c r="L32" s="288"/>
      <c r="M32" s="288"/>
      <c r="N32" s="288"/>
    </row>
    <row r="33" spans="2:14" s="437" customFormat="1" ht="15" x14ac:dyDescent="0.3">
      <c r="B33" s="452">
        <v>44078</v>
      </c>
      <c r="C33" s="453" t="s">
        <v>776</v>
      </c>
      <c r="D33" s="462">
        <v>1.125E-2</v>
      </c>
      <c r="E33" s="441">
        <v>2035</v>
      </c>
      <c r="F33" s="339">
        <v>19070846.219999999</v>
      </c>
      <c r="G33" s="339">
        <v>19070846.219999999</v>
      </c>
      <c r="H33" s="454">
        <v>19070846.219999999</v>
      </c>
      <c r="J33" s="405"/>
      <c r="L33" s="288"/>
      <c r="M33" s="288"/>
      <c r="N33" s="288"/>
    </row>
    <row r="34" spans="2:14" s="437" customFormat="1" ht="15" x14ac:dyDescent="0.3">
      <c r="B34" s="452">
        <v>44078</v>
      </c>
      <c r="C34" s="453" t="s">
        <v>777</v>
      </c>
      <c r="D34" s="462">
        <v>0.02</v>
      </c>
      <c r="E34" s="441">
        <v>2038</v>
      </c>
      <c r="F34" s="339">
        <v>7217678.824</v>
      </c>
      <c r="G34" s="339">
        <v>7217678.824</v>
      </c>
      <c r="H34" s="454">
        <v>7217678.824</v>
      </c>
      <c r="J34" s="405"/>
      <c r="L34" s="288"/>
      <c r="M34" s="288"/>
      <c r="N34" s="288"/>
    </row>
    <row r="35" spans="2:14" s="437" customFormat="1" ht="15" x14ac:dyDescent="0.3">
      <c r="B35" s="452">
        <v>44078</v>
      </c>
      <c r="C35" s="453" t="s">
        <v>778</v>
      </c>
      <c r="D35" s="462">
        <v>2.5000000000000001E-2</v>
      </c>
      <c r="E35" s="441">
        <v>2041</v>
      </c>
      <c r="F35" s="339">
        <v>1503027.371</v>
      </c>
      <c r="G35" s="339">
        <v>1503027.371</v>
      </c>
      <c r="H35" s="454">
        <v>1503027.371</v>
      </c>
      <c r="J35" s="405"/>
      <c r="L35" s="288"/>
      <c r="M35" s="288"/>
      <c r="N35" s="288"/>
    </row>
    <row r="36" spans="2:14" s="437" customFormat="1" ht="15" x14ac:dyDescent="0.3">
      <c r="B36" s="452">
        <v>44078</v>
      </c>
      <c r="C36" s="453" t="s">
        <v>779</v>
      </c>
      <c r="D36" s="462">
        <v>0.01</v>
      </c>
      <c r="E36" s="441">
        <v>2029</v>
      </c>
      <c r="F36" s="339">
        <v>2194431.6910000001</v>
      </c>
      <c r="G36" s="339">
        <v>2194431.6910000001</v>
      </c>
      <c r="H36" s="454">
        <v>2194431.6910000001</v>
      </c>
      <c r="J36" s="405"/>
      <c r="L36" s="288"/>
      <c r="M36" s="288"/>
      <c r="N36" s="288"/>
    </row>
    <row r="37" spans="2:14" s="437" customFormat="1" ht="15" x14ac:dyDescent="0.3">
      <c r="B37" s="452">
        <v>44078</v>
      </c>
      <c r="C37" s="453" t="s">
        <v>780</v>
      </c>
      <c r="D37" s="462">
        <v>1.25E-3</v>
      </c>
      <c r="E37" s="441">
        <v>2030</v>
      </c>
      <c r="F37" s="339">
        <v>1324986.7409344094</v>
      </c>
      <c r="G37" s="339">
        <v>1324986.7409344094</v>
      </c>
      <c r="H37" s="454">
        <v>1324986.7409344094</v>
      </c>
      <c r="J37" s="405"/>
      <c r="L37" s="288"/>
      <c r="M37" s="288"/>
      <c r="N37" s="288"/>
    </row>
    <row r="38" spans="2:14" s="437" customFormat="1" ht="15" x14ac:dyDescent="0.3">
      <c r="B38" s="452">
        <v>44078</v>
      </c>
      <c r="C38" s="455" t="s">
        <v>781</v>
      </c>
      <c r="D38" s="462">
        <v>7.4999999999999997E-3</v>
      </c>
      <c r="E38" s="441">
        <v>2035</v>
      </c>
      <c r="F38" s="339">
        <v>339655.86222575878</v>
      </c>
      <c r="G38" s="339">
        <v>339655.86222575878</v>
      </c>
      <c r="H38" s="454">
        <v>339655.86222575878</v>
      </c>
      <c r="J38" s="405"/>
      <c r="L38" s="288"/>
      <c r="M38" s="288"/>
      <c r="N38" s="288"/>
    </row>
    <row r="39" spans="2:14" s="437" customFormat="1" ht="15" x14ac:dyDescent="0.3">
      <c r="B39" s="452">
        <v>44078</v>
      </c>
      <c r="C39" s="456" t="s">
        <v>782</v>
      </c>
      <c r="D39" s="462">
        <v>1.4999999999999999E-2</v>
      </c>
      <c r="E39" s="441">
        <v>2038</v>
      </c>
      <c r="F39" s="339">
        <v>920014.55609867</v>
      </c>
      <c r="G39" s="339">
        <v>920014.55609867</v>
      </c>
      <c r="H39" s="454">
        <v>920014.55609867</v>
      </c>
      <c r="J39" s="405"/>
      <c r="L39" s="288"/>
      <c r="M39" s="288"/>
      <c r="N39" s="288"/>
    </row>
    <row r="40" spans="2:14" s="437" customFormat="1" ht="15" x14ac:dyDescent="0.3">
      <c r="B40" s="452">
        <v>44078</v>
      </c>
      <c r="C40" s="453" t="s">
        <v>783</v>
      </c>
      <c r="D40" s="462">
        <v>1.4999999999999999E-2</v>
      </c>
      <c r="E40" s="441">
        <v>2041</v>
      </c>
      <c r="F40" s="339">
        <v>1787657.0887802658</v>
      </c>
      <c r="G40" s="339">
        <v>1787657.0887802658</v>
      </c>
      <c r="H40" s="454">
        <v>1787657.0887802658</v>
      </c>
      <c r="J40" s="405"/>
      <c r="L40" s="288"/>
      <c r="M40" s="288"/>
      <c r="N40" s="288"/>
    </row>
    <row r="41" spans="2:14" s="437" customFormat="1" ht="15" x14ac:dyDescent="0.3">
      <c r="B41" s="452">
        <v>44078</v>
      </c>
      <c r="C41" s="453" t="s">
        <v>784</v>
      </c>
      <c r="D41" s="462">
        <v>5.0000000000000001E-3</v>
      </c>
      <c r="E41" s="441">
        <v>2029</v>
      </c>
      <c r="F41" s="339">
        <v>102750.63771740365</v>
      </c>
      <c r="G41" s="339">
        <v>102750.63771740365</v>
      </c>
      <c r="H41" s="454">
        <v>102750.63771740365</v>
      </c>
      <c r="J41" s="405"/>
      <c r="L41" s="288"/>
      <c r="M41" s="288"/>
      <c r="N41" s="288"/>
    </row>
    <row r="42" spans="2:14" s="437" customFormat="1" ht="15" x14ac:dyDescent="0.3">
      <c r="B42" s="452">
        <v>44078</v>
      </c>
      <c r="C42" s="455" t="s">
        <v>785</v>
      </c>
      <c r="D42" s="462">
        <v>7.4999999999999997E-3</v>
      </c>
      <c r="E42" s="441">
        <v>2046</v>
      </c>
      <c r="F42" s="339">
        <v>282057.61736955779</v>
      </c>
      <c r="G42" s="339">
        <v>282057.61736955779</v>
      </c>
      <c r="H42" s="454">
        <v>282057.61736955779</v>
      </c>
      <c r="J42" s="405"/>
      <c r="L42" s="288"/>
      <c r="M42" s="288"/>
      <c r="N42" s="288"/>
    </row>
    <row r="43" spans="2:14" s="437" customFormat="1" ht="15" x14ac:dyDescent="0.3">
      <c r="B43" s="457"/>
      <c r="C43" s="453"/>
      <c r="D43" s="412"/>
      <c r="E43" s="441"/>
      <c r="F43" s="339"/>
      <c r="G43" s="339"/>
      <c r="H43" s="454"/>
      <c r="L43" s="288"/>
      <c r="M43" s="288"/>
      <c r="N43" s="288"/>
    </row>
    <row r="44" spans="2:14" s="459" customFormat="1" ht="30" x14ac:dyDescent="0.3">
      <c r="B44" s="445"/>
      <c r="C44" s="458" t="s">
        <v>369</v>
      </c>
      <c r="D44" s="447"/>
      <c r="E44" s="448"/>
      <c r="F44" s="449">
        <f>SUM(F45:F54)</f>
        <v>955010.31008039927</v>
      </c>
      <c r="G44" s="449">
        <f>SUM(G45:G54)</f>
        <v>955010.31008039927</v>
      </c>
      <c r="H44" s="450">
        <f>SUM(H45:H54)</f>
        <v>972909.79031882796</v>
      </c>
      <c r="L44" s="288"/>
      <c r="M44" s="288"/>
      <c r="N44" s="288"/>
    </row>
    <row r="45" spans="2:14" s="437" customFormat="1" ht="15" x14ac:dyDescent="0.3">
      <c r="B45" s="457">
        <v>37986</v>
      </c>
      <c r="C45" s="460" t="s">
        <v>565</v>
      </c>
      <c r="D45" s="461">
        <v>3.7499999999999999E-2</v>
      </c>
      <c r="E45" s="441">
        <v>2038</v>
      </c>
      <c r="F45" s="339">
        <v>28985.612000000001</v>
      </c>
      <c r="G45" s="339">
        <v>28985.612000000001</v>
      </c>
      <c r="H45" s="454">
        <v>28985.612000000001</v>
      </c>
      <c r="L45" s="288"/>
      <c r="M45" s="288"/>
      <c r="N45" s="288"/>
    </row>
    <row r="46" spans="2:14" s="437" customFormat="1" ht="15" x14ac:dyDescent="0.3">
      <c r="B46" s="457">
        <v>37986</v>
      </c>
      <c r="C46" s="460" t="s">
        <v>566</v>
      </c>
      <c r="D46" s="461">
        <v>3.7499999999999999E-2</v>
      </c>
      <c r="E46" s="441">
        <v>2038</v>
      </c>
      <c r="F46" s="339">
        <v>35819.560000000005</v>
      </c>
      <c r="G46" s="339">
        <v>35819.560000000005</v>
      </c>
      <c r="H46" s="454">
        <v>35819.56</v>
      </c>
      <c r="I46" s="365"/>
      <c r="K46" s="288"/>
      <c r="L46" s="288"/>
      <c r="M46" s="288"/>
      <c r="N46" s="288"/>
    </row>
    <row r="47" spans="2:14" s="437" customFormat="1" ht="15" x14ac:dyDescent="0.3">
      <c r="B47" s="457">
        <v>37986</v>
      </c>
      <c r="C47" s="460" t="s">
        <v>567</v>
      </c>
      <c r="D47" s="461">
        <v>3.7499999999999999E-2</v>
      </c>
      <c r="E47" s="441">
        <v>2038</v>
      </c>
      <c r="F47" s="339">
        <v>5563.1790000000001</v>
      </c>
      <c r="G47" s="339">
        <v>5563.1790000000001</v>
      </c>
      <c r="H47" s="454">
        <v>5563.1790000000001</v>
      </c>
      <c r="I47" s="365"/>
      <c r="K47" s="288"/>
      <c r="L47" s="288"/>
      <c r="M47" s="288"/>
      <c r="N47" s="288"/>
    </row>
    <row r="48" spans="2:14" s="437" customFormat="1" ht="15" x14ac:dyDescent="0.3">
      <c r="B48" s="457">
        <v>37986</v>
      </c>
      <c r="C48" s="460" t="s">
        <v>568</v>
      </c>
      <c r="D48" s="461">
        <v>3.3799999999999997E-2</v>
      </c>
      <c r="E48" s="441">
        <v>2038</v>
      </c>
      <c r="F48" s="339">
        <v>645884.05592815729</v>
      </c>
      <c r="G48" s="339">
        <v>645884.05592815729</v>
      </c>
      <c r="H48" s="454">
        <v>645884.05592815718</v>
      </c>
      <c r="I48" s="365"/>
      <c r="K48" s="288"/>
      <c r="L48" s="288"/>
      <c r="M48" s="288"/>
      <c r="N48" s="288"/>
    </row>
    <row r="49" spans="2:14" s="437" customFormat="1" ht="15" x14ac:dyDescent="0.3">
      <c r="B49" s="457">
        <v>37986</v>
      </c>
      <c r="C49" s="460" t="s">
        <v>569</v>
      </c>
      <c r="D49" s="461">
        <v>6.7000000000000002E-3</v>
      </c>
      <c r="E49" s="441">
        <v>2038</v>
      </c>
      <c r="F49" s="339">
        <v>150022.96663190823</v>
      </c>
      <c r="G49" s="339">
        <v>150022.96663190823</v>
      </c>
      <c r="H49" s="454">
        <v>150022.96663190823</v>
      </c>
      <c r="I49" s="365"/>
      <c r="K49" s="288"/>
      <c r="L49" s="288"/>
      <c r="M49" s="288"/>
      <c r="N49" s="288"/>
    </row>
    <row r="50" spans="2:14" s="437" customFormat="1" ht="15" x14ac:dyDescent="0.3">
      <c r="B50" s="457">
        <v>37986</v>
      </c>
      <c r="C50" s="460" t="s">
        <v>570</v>
      </c>
      <c r="D50" s="461">
        <v>6.7000000000000002E-3</v>
      </c>
      <c r="E50" s="441">
        <v>2038</v>
      </c>
      <c r="F50" s="339">
        <v>7419.9078901633638</v>
      </c>
      <c r="G50" s="339">
        <v>7419.9078901633638</v>
      </c>
      <c r="H50" s="454">
        <v>7419.9078901633638</v>
      </c>
      <c r="I50" s="365"/>
      <c r="K50" s="288"/>
      <c r="L50" s="288"/>
      <c r="M50" s="288"/>
      <c r="N50" s="288"/>
    </row>
    <row r="51" spans="2:14" s="437" customFormat="1" ht="15" x14ac:dyDescent="0.3">
      <c r="B51" s="457">
        <v>37986</v>
      </c>
      <c r="C51" s="460" t="s">
        <v>665</v>
      </c>
      <c r="D51" s="461">
        <v>8.2799999999999999E-2</v>
      </c>
      <c r="E51" s="441">
        <v>2033</v>
      </c>
      <c r="F51" s="339">
        <v>7017.7520000000004</v>
      </c>
      <c r="G51" s="339">
        <v>7017.7520000000004</v>
      </c>
      <c r="H51" s="454">
        <v>9839.1549900000009</v>
      </c>
      <c r="I51" s="365"/>
      <c r="K51" s="288"/>
      <c r="L51" s="288"/>
      <c r="M51" s="288"/>
      <c r="N51" s="288"/>
    </row>
    <row r="52" spans="2:14" s="437" customFormat="1" ht="15" x14ac:dyDescent="0.3">
      <c r="B52" s="457">
        <v>37986</v>
      </c>
      <c r="C52" s="460" t="s">
        <v>666</v>
      </c>
      <c r="D52" s="461">
        <v>8.2799999999999999E-2</v>
      </c>
      <c r="E52" s="441">
        <v>2033</v>
      </c>
      <c r="F52" s="339">
        <v>2855.2449999999999</v>
      </c>
      <c r="G52" s="339">
        <v>2855.2449999999999</v>
      </c>
      <c r="H52" s="454">
        <v>4003.1619900000001</v>
      </c>
      <c r="I52" s="365"/>
      <c r="K52" s="288"/>
      <c r="L52" s="288"/>
      <c r="M52" s="288"/>
      <c r="N52" s="288"/>
    </row>
    <row r="53" spans="2:14" s="437" customFormat="1" ht="15" x14ac:dyDescent="0.3">
      <c r="B53" s="457">
        <v>37986</v>
      </c>
      <c r="C53" s="460" t="s">
        <v>571</v>
      </c>
      <c r="D53" s="462">
        <v>4.3299999999999998E-2</v>
      </c>
      <c r="E53" s="441">
        <v>2033</v>
      </c>
      <c r="F53" s="339">
        <v>49292.570385818566</v>
      </c>
      <c r="G53" s="339">
        <v>49292.570385818566</v>
      </c>
      <c r="H53" s="454">
        <v>58903.906868786929</v>
      </c>
      <c r="I53" s="365"/>
      <c r="K53" s="288"/>
      <c r="L53" s="288"/>
      <c r="M53" s="288"/>
      <c r="N53" s="288"/>
    </row>
    <row r="54" spans="2:14" s="437" customFormat="1" ht="15" x14ac:dyDescent="0.3">
      <c r="B54" s="457">
        <v>37986</v>
      </c>
      <c r="C54" s="460" t="s">
        <v>572</v>
      </c>
      <c r="D54" s="462">
        <v>4.3299999999999998E-2</v>
      </c>
      <c r="E54" s="441">
        <v>2033</v>
      </c>
      <c r="F54" s="339">
        <v>22149.461244351754</v>
      </c>
      <c r="G54" s="339">
        <v>22149.461244351754</v>
      </c>
      <c r="H54" s="454">
        <v>26468.285019812305</v>
      </c>
      <c r="I54" s="365"/>
      <c r="K54" s="288"/>
      <c r="L54" s="288"/>
      <c r="M54" s="288"/>
      <c r="N54" s="288"/>
    </row>
    <row r="55" spans="2:14" s="437" customFormat="1" ht="15" x14ac:dyDescent="0.3">
      <c r="B55" s="457"/>
      <c r="C55" s="463"/>
      <c r="D55" s="440"/>
      <c r="E55" s="441"/>
      <c r="F55" s="328"/>
      <c r="G55" s="328"/>
      <c r="H55" s="408"/>
      <c r="I55" s="365"/>
      <c r="J55" s="288"/>
      <c r="K55" s="288"/>
      <c r="L55" s="288"/>
      <c r="M55" s="288"/>
      <c r="N55" s="288"/>
    </row>
    <row r="56" spans="2:14" s="451" customFormat="1" ht="15" x14ac:dyDescent="0.3">
      <c r="B56" s="445"/>
      <c r="C56" s="458" t="s">
        <v>220</v>
      </c>
      <c r="D56" s="447"/>
      <c r="E56" s="448"/>
      <c r="F56" s="449"/>
      <c r="G56" s="449"/>
      <c r="H56" s="450">
        <v>13664.387929999997</v>
      </c>
      <c r="I56" s="365"/>
      <c r="J56" s="365"/>
      <c r="K56" s="288"/>
      <c r="L56" s="288"/>
      <c r="M56" s="288"/>
      <c r="N56" s="288"/>
    </row>
    <row r="57" spans="2:14" s="437" customFormat="1" ht="15" x14ac:dyDescent="0.3">
      <c r="B57" s="445"/>
      <c r="C57" s="458"/>
      <c r="D57" s="447"/>
      <c r="E57" s="448"/>
      <c r="F57" s="449"/>
      <c r="G57" s="449"/>
      <c r="H57" s="450"/>
      <c r="I57" s="365"/>
      <c r="J57" s="288"/>
      <c r="K57" s="288"/>
      <c r="L57" s="288"/>
      <c r="M57" s="288"/>
      <c r="N57" s="288"/>
    </row>
    <row r="58" spans="2:14" s="464" customFormat="1" ht="16.2" x14ac:dyDescent="0.3">
      <c r="B58" s="445"/>
      <c r="C58" s="385" t="s">
        <v>217</v>
      </c>
      <c r="D58" s="440"/>
      <c r="E58" s="441"/>
      <c r="F58" s="326">
        <f>SUM(F59:F74)</f>
        <v>9159067.0607900005</v>
      </c>
      <c r="G58" s="326">
        <f>SUM(G59:G74)</f>
        <v>8218008.8600399997</v>
      </c>
      <c r="H58" s="327">
        <f>SUM(H59:H74)</f>
        <v>8218008.8596899994</v>
      </c>
      <c r="L58" s="288"/>
      <c r="M58" s="288"/>
      <c r="N58" s="288"/>
    </row>
    <row r="59" spans="2:14" s="437" customFormat="1" ht="15" x14ac:dyDescent="0.3">
      <c r="B59" s="452">
        <v>43630</v>
      </c>
      <c r="C59" s="455" t="s">
        <v>744</v>
      </c>
      <c r="D59" s="412" t="s">
        <v>49</v>
      </c>
      <c r="E59" s="441">
        <v>2022</v>
      </c>
      <c r="F59" s="339">
        <v>5.5359999999999996</v>
      </c>
      <c r="G59" s="339">
        <v>5.5359999999999996</v>
      </c>
      <c r="H59" s="454">
        <v>5.5359999999999996</v>
      </c>
      <c r="I59" s="364"/>
      <c r="J59" s="364"/>
      <c r="K59" s="364"/>
      <c r="L59" s="405"/>
      <c r="M59" s="288"/>
      <c r="N59" s="288"/>
    </row>
    <row r="60" spans="2:14" s="437" customFormat="1" ht="15" x14ac:dyDescent="0.3">
      <c r="B60" s="452">
        <v>43644</v>
      </c>
      <c r="C60" s="465" t="s">
        <v>745</v>
      </c>
      <c r="D60" s="412" t="s">
        <v>49</v>
      </c>
      <c r="E60" s="441">
        <v>2022</v>
      </c>
      <c r="F60" s="339">
        <v>15.803000000000001</v>
      </c>
      <c r="G60" s="339">
        <v>15.803000000000001</v>
      </c>
      <c r="H60" s="454">
        <v>15.803000000000001</v>
      </c>
      <c r="I60" s="364"/>
      <c r="J60" s="364"/>
      <c r="K60" s="364"/>
      <c r="L60" s="405"/>
      <c r="M60" s="288"/>
      <c r="N60" s="288"/>
    </row>
    <row r="61" spans="2:14" s="437" customFormat="1" ht="15" x14ac:dyDescent="0.3">
      <c r="B61" s="452">
        <v>43665</v>
      </c>
      <c r="C61" s="460" t="s">
        <v>746</v>
      </c>
      <c r="D61" s="412" t="s">
        <v>49</v>
      </c>
      <c r="E61" s="441">
        <v>2022</v>
      </c>
      <c r="F61" s="339">
        <v>11.736000000000001</v>
      </c>
      <c r="G61" s="339">
        <v>11.736000000000001</v>
      </c>
      <c r="H61" s="454">
        <v>11.736000000000001</v>
      </c>
      <c r="I61" s="364"/>
      <c r="J61" s="364"/>
      <c r="K61" s="364"/>
      <c r="L61" s="405"/>
      <c r="M61" s="288"/>
      <c r="N61" s="288"/>
    </row>
    <row r="62" spans="2:14" s="437" customFormat="1" ht="15" x14ac:dyDescent="0.3">
      <c r="B62" s="452">
        <v>43672</v>
      </c>
      <c r="C62" s="460" t="s">
        <v>747</v>
      </c>
      <c r="D62" s="412" t="s">
        <v>49</v>
      </c>
      <c r="E62" s="441">
        <v>2022</v>
      </c>
      <c r="F62" s="339">
        <v>7.22</v>
      </c>
      <c r="G62" s="339">
        <v>7.22</v>
      </c>
      <c r="H62" s="454">
        <v>7.22</v>
      </c>
      <c r="I62" s="364"/>
      <c r="J62" s="364"/>
      <c r="K62" s="364"/>
      <c r="L62" s="405"/>
      <c r="M62" s="288"/>
      <c r="N62" s="288"/>
    </row>
    <row r="63" spans="2:14" s="437" customFormat="1" ht="15" x14ac:dyDescent="0.3">
      <c r="B63" s="452">
        <v>43693</v>
      </c>
      <c r="C63" s="453" t="s">
        <v>748</v>
      </c>
      <c r="D63" s="412" t="s">
        <v>49</v>
      </c>
      <c r="E63" s="441">
        <v>2024</v>
      </c>
      <c r="F63" s="339">
        <v>1023362.922</v>
      </c>
      <c r="G63" s="339">
        <v>704559.59299999999</v>
      </c>
      <c r="H63" s="454">
        <v>704559.59299999999</v>
      </c>
      <c r="I63" s="364"/>
      <c r="J63" s="364"/>
      <c r="K63" s="364"/>
      <c r="L63" s="405"/>
      <c r="M63" s="288"/>
      <c r="N63" s="288"/>
    </row>
    <row r="64" spans="2:14" s="437" customFormat="1" ht="15" x14ac:dyDescent="0.3">
      <c r="B64" s="452">
        <v>43490</v>
      </c>
      <c r="C64" s="453" t="s">
        <v>749</v>
      </c>
      <c r="D64" s="412" t="s">
        <v>49</v>
      </c>
      <c r="E64" s="441">
        <v>2022</v>
      </c>
      <c r="F64" s="339">
        <v>222.82900000000001</v>
      </c>
      <c r="G64" s="339">
        <v>133.69739999999999</v>
      </c>
      <c r="H64" s="454">
        <v>133.69725</v>
      </c>
      <c r="L64" s="405"/>
      <c r="M64" s="288"/>
      <c r="N64" s="288"/>
    </row>
    <row r="65" spans="2:14" s="437" customFormat="1" ht="15" x14ac:dyDescent="0.3">
      <c r="B65" s="452">
        <v>43504</v>
      </c>
      <c r="C65" s="453" t="s">
        <v>750</v>
      </c>
      <c r="D65" s="412" t="s">
        <v>49</v>
      </c>
      <c r="E65" s="441">
        <v>2022</v>
      </c>
      <c r="F65" s="339">
        <v>2088.8209999999999</v>
      </c>
      <c r="G65" s="339">
        <v>1253.2926</v>
      </c>
      <c r="H65" s="454">
        <v>1253.2926</v>
      </c>
      <c r="L65" s="405"/>
      <c r="M65" s="288"/>
      <c r="N65" s="288"/>
    </row>
    <row r="66" spans="2:14" s="437" customFormat="1" ht="15" x14ac:dyDescent="0.3">
      <c r="B66" s="452">
        <v>43518</v>
      </c>
      <c r="C66" s="455" t="s">
        <v>751</v>
      </c>
      <c r="D66" s="412" t="s">
        <v>49</v>
      </c>
      <c r="E66" s="441">
        <v>2022</v>
      </c>
      <c r="F66" s="339">
        <v>996.25900000000001</v>
      </c>
      <c r="G66" s="339">
        <v>846.82015000000001</v>
      </c>
      <c r="H66" s="454">
        <v>846.82010000000002</v>
      </c>
      <c r="I66" s="364"/>
      <c r="J66" s="364"/>
      <c r="K66" s="364"/>
      <c r="L66" s="405"/>
      <c r="M66" s="288"/>
      <c r="N66" s="288"/>
    </row>
    <row r="67" spans="2:14" s="437" customFormat="1" ht="15" x14ac:dyDescent="0.3">
      <c r="B67" s="452">
        <v>43539</v>
      </c>
      <c r="C67" s="455" t="s">
        <v>752</v>
      </c>
      <c r="D67" s="412" t="s">
        <v>49</v>
      </c>
      <c r="E67" s="441">
        <v>2022</v>
      </c>
      <c r="F67" s="339">
        <v>2339.8380000000002</v>
      </c>
      <c r="G67" s="339">
        <v>1988.8623</v>
      </c>
      <c r="H67" s="454">
        <v>1988.8623</v>
      </c>
      <c r="I67" s="364"/>
      <c r="J67" s="364"/>
      <c r="K67" s="364"/>
      <c r="L67" s="405"/>
      <c r="M67" s="288"/>
      <c r="N67" s="288"/>
    </row>
    <row r="68" spans="2:14" s="437" customFormat="1" ht="15" x14ac:dyDescent="0.3">
      <c r="B68" s="452">
        <v>43553</v>
      </c>
      <c r="C68" s="455" t="s">
        <v>753</v>
      </c>
      <c r="D68" s="412" t="s">
        <v>49</v>
      </c>
      <c r="E68" s="441">
        <v>2022</v>
      </c>
      <c r="F68" s="339">
        <v>2575.4090000000001</v>
      </c>
      <c r="G68" s="339">
        <v>2189.0976499999997</v>
      </c>
      <c r="H68" s="454">
        <v>2189.0976000000001</v>
      </c>
      <c r="I68" s="364"/>
      <c r="J68" s="364"/>
      <c r="K68" s="364"/>
      <c r="L68" s="405"/>
      <c r="M68" s="288"/>
      <c r="N68" s="288"/>
    </row>
    <row r="69" spans="2:14" s="437" customFormat="1" ht="15" x14ac:dyDescent="0.3">
      <c r="B69" s="452">
        <v>43567</v>
      </c>
      <c r="C69" s="455" t="s">
        <v>754</v>
      </c>
      <c r="D69" s="412" t="s">
        <v>49</v>
      </c>
      <c r="E69" s="441">
        <v>2022</v>
      </c>
      <c r="F69" s="339">
        <v>354.976</v>
      </c>
      <c r="G69" s="339">
        <v>301.7296</v>
      </c>
      <c r="H69" s="454">
        <v>301.72954999999996</v>
      </c>
      <c r="I69" s="364"/>
      <c r="J69" s="364"/>
      <c r="K69" s="364"/>
      <c r="L69" s="405"/>
      <c r="M69" s="288"/>
      <c r="N69" s="288"/>
    </row>
    <row r="70" spans="2:14" s="437" customFormat="1" ht="15" x14ac:dyDescent="0.3">
      <c r="B70" s="452">
        <v>43581</v>
      </c>
      <c r="C70" s="453" t="s">
        <v>755</v>
      </c>
      <c r="D70" s="412" t="s">
        <v>49</v>
      </c>
      <c r="E70" s="441">
        <v>2022</v>
      </c>
      <c r="F70" s="339">
        <v>55.262999999999998</v>
      </c>
      <c r="G70" s="339">
        <v>46.973550000000003</v>
      </c>
      <c r="H70" s="454">
        <v>46.973500000000001</v>
      </c>
      <c r="I70" s="364"/>
      <c r="J70" s="364"/>
      <c r="K70" s="364"/>
      <c r="L70" s="405"/>
      <c r="M70" s="288"/>
      <c r="N70" s="288"/>
    </row>
    <row r="71" spans="2:14" s="437" customFormat="1" ht="15" x14ac:dyDescent="0.3">
      <c r="B71" s="452">
        <v>43609</v>
      </c>
      <c r="C71" s="466" t="s">
        <v>756</v>
      </c>
      <c r="D71" s="412" t="s">
        <v>49</v>
      </c>
      <c r="E71" s="441">
        <v>2022</v>
      </c>
      <c r="F71" s="339">
        <v>40.289000000000001</v>
      </c>
      <c r="G71" s="339">
        <v>40.289000000000001</v>
      </c>
      <c r="H71" s="454">
        <v>40.289000000000001</v>
      </c>
      <c r="I71" s="364"/>
      <c r="J71" s="364"/>
      <c r="K71" s="364"/>
      <c r="L71" s="405"/>
      <c r="M71" s="288"/>
      <c r="N71" s="288"/>
    </row>
    <row r="72" spans="2:14" s="437" customFormat="1" ht="15" x14ac:dyDescent="0.3">
      <c r="B72" s="452">
        <v>44447</v>
      </c>
      <c r="C72" s="460" t="s">
        <v>848</v>
      </c>
      <c r="D72" s="412" t="s">
        <v>49</v>
      </c>
      <c r="E72" s="441">
        <v>2022</v>
      </c>
      <c r="F72" s="339">
        <v>1096214.6597899999</v>
      </c>
      <c r="G72" s="339">
        <v>1096214.6597899999</v>
      </c>
      <c r="H72" s="454">
        <v>1096214.6597899999</v>
      </c>
      <c r="I72" s="364"/>
      <c r="J72" s="364"/>
      <c r="K72" s="364"/>
      <c r="L72" s="405"/>
      <c r="M72" s="288"/>
      <c r="N72" s="288"/>
    </row>
    <row r="73" spans="2:14" s="437" customFormat="1" ht="15" x14ac:dyDescent="0.3">
      <c r="B73" s="452">
        <v>42978</v>
      </c>
      <c r="C73" s="460" t="s">
        <v>573</v>
      </c>
      <c r="D73" s="412" t="s">
        <v>49</v>
      </c>
      <c r="E73" s="441">
        <v>2042</v>
      </c>
      <c r="F73" s="339">
        <v>4261199</v>
      </c>
      <c r="G73" s="339">
        <v>3811277.05</v>
      </c>
      <c r="H73" s="454">
        <v>3811277.05</v>
      </c>
      <c r="I73" s="364"/>
      <c r="J73" s="364"/>
      <c r="K73" s="364"/>
      <c r="L73" s="405"/>
      <c r="M73" s="288"/>
      <c r="N73" s="288"/>
    </row>
    <row r="74" spans="2:14" s="437" customFormat="1" ht="15" x14ac:dyDescent="0.3">
      <c r="B74" s="452">
        <v>43455</v>
      </c>
      <c r="C74" s="465" t="s">
        <v>573</v>
      </c>
      <c r="D74" s="412" t="s">
        <v>49</v>
      </c>
      <c r="E74" s="441">
        <v>2041</v>
      </c>
      <c r="F74" s="339">
        <v>2769576.5</v>
      </c>
      <c r="G74" s="339">
        <v>2599116.5</v>
      </c>
      <c r="H74" s="454">
        <v>2599116.5</v>
      </c>
      <c r="I74" s="467"/>
      <c r="J74" s="365"/>
      <c r="K74" s="288"/>
      <c r="L74" s="288"/>
      <c r="M74" s="288"/>
      <c r="N74" s="288"/>
    </row>
    <row r="75" spans="2:14" s="437" customFormat="1" ht="15" x14ac:dyDescent="0.3">
      <c r="B75" s="452"/>
      <c r="C75" s="460"/>
      <c r="D75" s="412"/>
      <c r="E75" s="441"/>
      <c r="F75" s="339"/>
      <c r="G75" s="339"/>
      <c r="H75" s="454"/>
      <c r="I75" s="365"/>
      <c r="J75" s="365"/>
      <c r="K75" s="288"/>
      <c r="L75" s="288"/>
      <c r="M75" s="288"/>
      <c r="N75" s="288"/>
    </row>
    <row r="76" spans="2:14" s="437" customFormat="1" ht="15" x14ac:dyDescent="0.3">
      <c r="B76" s="445"/>
      <c r="C76" s="385" t="s">
        <v>109</v>
      </c>
      <c r="D76" s="440"/>
      <c r="E76" s="441"/>
      <c r="F76" s="326">
        <f>SUM(F77:F88)</f>
        <v>57509452.232519992</v>
      </c>
      <c r="G76" s="326">
        <f t="shared" ref="G76:H76" si="0">SUM(G77:G88)</f>
        <v>57509452.232519992</v>
      </c>
      <c r="H76" s="327">
        <f t="shared" si="0"/>
        <v>57509452.232519992</v>
      </c>
      <c r="I76" s="365"/>
      <c r="J76" s="288"/>
      <c r="K76" s="288"/>
      <c r="L76" s="288"/>
      <c r="M76" s="288"/>
      <c r="N76" s="288"/>
    </row>
    <row r="77" spans="2:14" s="468" customFormat="1" ht="15" x14ac:dyDescent="0.3">
      <c r="B77" s="457">
        <v>41019</v>
      </c>
      <c r="C77" s="460" t="s">
        <v>757</v>
      </c>
      <c r="D77" s="440" t="s">
        <v>574</v>
      </c>
      <c r="E77" s="441">
        <v>2022</v>
      </c>
      <c r="F77" s="339">
        <v>5674000</v>
      </c>
      <c r="G77" s="339">
        <v>5674000</v>
      </c>
      <c r="H77" s="454">
        <v>5674000</v>
      </c>
      <c r="I77" s="365"/>
      <c r="J77" s="365"/>
      <c r="K77" s="288"/>
      <c r="L77" s="288"/>
      <c r="M77" s="288"/>
      <c r="N77" s="288"/>
    </row>
    <row r="78" spans="2:14" s="437" customFormat="1" ht="15" x14ac:dyDescent="0.3">
      <c r="B78" s="457">
        <v>41290</v>
      </c>
      <c r="C78" s="460" t="s">
        <v>758</v>
      </c>
      <c r="D78" s="440" t="s">
        <v>574</v>
      </c>
      <c r="E78" s="441">
        <v>2023</v>
      </c>
      <c r="F78" s="339">
        <v>7132655.0123900007</v>
      </c>
      <c r="G78" s="339">
        <v>7132655.0123900007</v>
      </c>
      <c r="H78" s="454">
        <v>7132655.0123900007</v>
      </c>
      <c r="I78" s="365"/>
      <c r="J78" s="365"/>
      <c r="K78" s="288"/>
      <c r="L78" s="288"/>
      <c r="M78" s="288"/>
      <c r="N78" s="288"/>
    </row>
    <row r="79" spans="2:14" s="468" customFormat="1" ht="15" x14ac:dyDescent="0.3">
      <c r="B79" s="457">
        <v>41669</v>
      </c>
      <c r="C79" s="460" t="s">
        <v>759</v>
      </c>
      <c r="D79" s="440" t="s">
        <v>574</v>
      </c>
      <c r="E79" s="441">
        <v>2024</v>
      </c>
      <c r="F79" s="339">
        <v>7896764.892</v>
      </c>
      <c r="G79" s="339">
        <v>7896764.892</v>
      </c>
      <c r="H79" s="454">
        <v>7896764.892</v>
      </c>
      <c r="I79" s="365"/>
      <c r="J79" s="365"/>
      <c r="K79" s="288"/>
      <c r="L79" s="288"/>
      <c r="M79" s="288"/>
      <c r="N79" s="288"/>
    </row>
    <row r="80" spans="2:14" s="437" customFormat="1" ht="15" x14ac:dyDescent="0.3">
      <c r="B80" s="457">
        <v>42156</v>
      </c>
      <c r="C80" s="460" t="s">
        <v>760</v>
      </c>
      <c r="D80" s="440" t="s">
        <v>574</v>
      </c>
      <c r="E80" s="441">
        <v>2025</v>
      </c>
      <c r="F80" s="339">
        <v>10562539.717</v>
      </c>
      <c r="G80" s="339">
        <v>10562539.717</v>
      </c>
      <c r="H80" s="454">
        <v>10562539.717</v>
      </c>
      <c r="I80" s="365"/>
      <c r="J80" s="365"/>
      <c r="K80" s="288"/>
      <c r="L80" s="288"/>
      <c r="M80" s="288"/>
      <c r="N80" s="288"/>
    </row>
    <row r="81" spans="2:14" s="437" customFormat="1" ht="15" x14ac:dyDescent="0.3">
      <c r="B81" s="457">
        <v>41088</v>
      </c>
      <c r="C81" s="460" t="s">
        <v>576</v>
      </c>
      <c r="D81" s="440" t="s">
        <v>574</v>
      </c>
      <c r="E81" s="441">
        <v>2022</v>
      </c>
      <c r="F81" s="339">
        <v>2083648.0260000001</v>
      </c>
      <c r="G81" s="339">
        <v>2083648.0260000001</v>
      </c>
      <c r="H81" s="454">
        <v>2083648.0260000001</v>
      </c>
      <c r="I81" s="365"/>
      <c r="J81" s="365"/>
      <c r="K81" s="288"/>
      <c r="L81" s="288"/>
      <c r="M81" s="288"/>
      <c r="N81" s="288"/>
    </row>
    <row r="82" spans="2:14" s="437" customFormat="1" ht="15" x14ac:dyDescent="0.3">
      <c r="B82" s="457">
        <v>41502</v>
      </c>
      <c r="C82" s="460" t="s">
        <v>928</v>
      </c>
      <c r="D82" s="440" t="s">
        <v>574</v>
      </c>
      <c r="E82" s="441">
        <v>2023</v>
      </c>
      <c r="F82" s="339">
        <v>2292296.7674499997</v>
      </c>
      <c r="G82" s="339">
        <v>2292296.7674499997</v>
      </c>
      <c r="H82" s="454">
        <v>2292296.7674499997</v>
      </c>
      <c r="I82" s="365"/>
      <c r="J82" s="365"/>
      <c r="K82" s="288"/>
      <c r="L82" s="288"/>
      <c r="M82" s="288"/>
      <c r="N82" s="288"/>
    </row>
    <row r="83" spans="2:14" s="437" customFormat="1" ht="15" x14ac:dyDescent="0.3">
      <c r="B83" s="457">
        <v>41876</v>
      </c>
      <c r="C83" s="460" t="s">
        <v>577</v>
      </c>
      <c r="D83" s="440" t="s">
        <v>574</v>
      </c>
      <c r="E83" s="441">
        <v>2024</v>
      </c>
      <c r="F83" s="339">
        <v>3043000</v>
      </c>
      <c r="G83" s="339">
        <v>3043000</v>
      </c>
      <c r="H83" s="454">
        <v>3043000</v>
      </c>
      <c r="I83" s="365"/>
      <c r="J83" s="365"/>
      <c r="K83" s="288"/>
      <c r="L83" s="288"/>
      <c r="M83" s="288"/>
      <c r="N83" s="288"/>
    </row>
    <row r="84" spans="2:14" s="437" customFormat="1" ht="15" x14ac:dyDescent="0.3">
      <c r="B84" s="457">
        <v>42489</v>
      </c>
      <c r="C84" s="460" t="s">
        <v>761</v>
      </c>
      <c r="D84" s="440" t="s">
        <v>574</v>
      </c>
      <c r="E84" s="441">
        <v>2026</v>
      </c>
      <c r="F84" s="339">
        <v>376299.92599999998</v>
      </c>
      <c r="G84" s="339">
        <v>376299.92599999998</v>
      </c>
      <c r="H84" s="454">
        <v>376299.92599999998</v>
      </c>
      <c r="I84" s="365"/>
      <c r="J84" s="365"/>
      <c r="K84" s="288"/>
      <c r="L84" s="288"/>
      <c r="M84" s="288"/>
      <c r="N84" s="288"/>
    </row>
    <row r="85" spans="2:14" s="437" customFormat="1" ht="15" x14ac:dyDescent="0.3">
      <c r="B85" s="457">
        <v>43829</v>
      </c>
      <c r="C85" s="460" t="s">
        <v>764</v>
      </c>
      <c r="D85" s="440" t="s">
        <v>574</v>
      </c>
      <c r="E85" s="441">
        <v>2029</v>
      </c>
      <c r="F85" s="339">
        <v>4571000</v>
      </c>
      <c r="G85" s="339">
        <v>4571000</v>
      </c>
      <c r="H85" s="454">
        <v>4571000</v>
      </c>
      <c r="I85" s="365"/>
      <c r="J85" s="365"/>
      <c r="K85" s="288"/>
      <c r="L85" s="288"/>
      <c r="M85" s="288"/>
      <c r="N85" s="288"/>
    </row>
    <row r="86" spans="2:14" s="437" customFormat="1" ht="15" x14ac:dyDescent="0.3">
      <c r="B86" s="457">
        <v>43941</v>
      </c>
      <c r="C86" s="460" t="s">
        <v>765</v>
      </c>
      <c r="D86" s="440" t="s">
        <v>574</v>
      </c>
      <c r="E86" s="441">
        <v>2030</v>
      </c>
      <c r="F86" s="339">
        <v>118678.58368000001</v>
      </c>
      <c r="G86" s="339">
        <v>118678.58368000001</v>
      </c>
      <c r="H86" s="454">
        <v>118678.58368000001</v>
      </c>
      <c r="I86" s="365"/>
      <c r="J86" s="365"/>
      <c r="K86" s="288"/>
      <c r="L86" s="288"/>
      <c r="M86" s="288"/>
      <c r="N86" s="288"/>
    </row>
    <row r="87" spans="2:14" s="437" customFormat="1" ht="15" x14ac:dyDescent="0.3">
      <c r="B87" s="457">
        <v>44203</v>
      </c>
      <c r="C87" s="460" t="s">
        <v>818</v>
      </c>
      <c r="D87" s="440" t="s">
        <v>574</v>
      </c>
      <c r="E87" s="441">
        <v>2031</v>
      </c>
      <c r="F87" s="339">
        <v>9627595.8129999992</v>
      </c>
      <c r="G87" s="339">
        <v>9627595.8129999992</v>
      </c>
      <c r="H87" s="454">
        <v>9627595.8129999992</v>
      </c>
      <c r="I87" s="365"/>
      <c r="J87" s="365"/>
      <c r="K87" s="288"/>
      <c r="L87" s="288"/>
      <c r="M87" s="288"/>
      <c r="N87" s="288"/>
    </row>
    <row r="88" spans="2:14" s="437" customFormat="1" ht="15" x14ac:dyDescent="0.3">
      <c r="B88" s="457">
        <v>44460</v>
      </c>
      <c r="C88" s="460" t="s">
        <v>849</v>
      </c>
      <c r="D88" s="440" t="s">
        <v>574</v>
      </c>
      <c r="E88" s="441">
        <v>2031</v>
      </c>
      <c r="F88" s="339">
        <v>4130973.4950000001</v>
      </c>
      <c r="G88" s="339">
        <v>4130973.4950000001</v>
      </c>
      <c r="H88" s="454">
        <v>4130973.4950000001</v>
      </c>
      <c r="I88" s="365"/>
      <c r="J88" s="365"/>
      <c r="K88" s="288"/>
      <c r="L88" s="288"/>
      <c r="M88" s="288"/>
      <c r="N88" s="288"/>
    </row>
    <row r="89" spans="2:14" s="464" customFormat="1" ht="16.2" x14ac:dyDescent="0.3">
      <c r="B89" s="1237"/>
      <c r="C89" s="469"/>
      <c r="D89" s="470"/>
      <c r="E89" s="471"/>
      <c r="F89" s="472"/>
      <c r="G89" s="472"/>
      <c r="H89" s="473"/>
      <c r="I89" s="365"/>
      <c r="J89" s="365"/>
      <c r="K89" s="288"/>
      <c r="L89" s="288"/>
      <c r="M89" s="288"/>
      <c r="N89" s="288"/>
    </row>
    <row r="90" spans="2:14" s="468" customFormat="1" ht="16.8" thickBot="1" x14ac:dyDescent="0.35">
      <c r="B90" s="1356" t="s">
        <v>275</v>
      </c>
      <c r="C90" s="1357"/>
      <c r="D90" s="1357"/>
      <c r="E90" s="1358"/>
      <c r="F90" s="474">
        <f>+F76+F58+F18</f>
        <v>179167417.82651648</v>
      </c>
      <c r="G90" s="474">
        <f>+G76+G58+G18</f>
        <v>178221154.96646327</v>
      </c>
      <c r="H90" s="1240">
        <f>+H76+H58+H18</f>
        <v>178252718.83429492</v>
      </c>
      <c r="I90" s="365"/>
      <c r="J90" s="288"/>
      <c r="K90" s="288"/>
      <c r="L90" s="288"/>
      <c r="M90" s="288"/>
      <c r="N90" s="288"/>
    </row>
    <row r="91" spans="2:14" s="437" customFormat="1" ht="15.6" thickTop="1" x14ac:dyDescent="0.3">
      <c r="B91" s="453"/>
      <c r="C91" s="286"/>
      <c r="D91" s="475"/>
      <c r="E91" s="476"/>
      <c r="F91" s="361"/>
      <c r="G91" s="361"/>
      <c r="H91" s="361"/>
      <c r="I91" s="288"/>
      <c r="J91" s="288"/>
      <c r="K91" s="288"/>
      <c r="L91" s="288"/>
      <c r="M91" s="288"/>
      <c r="N91" s="288"/>
    </row>
    <row r="92" spans="2:14" s="468" customFormat="1" x14ac:dyDescent="0.3">
      <c r="B92" s="362" t="s">
        <v>901</v>
      </c>
      <c r="C92" s="288"/>
      <c r="D92" s="477"/>
      <c r="E92" s="478"/>
      <c r="F92" s="363"/>
      <c r="G92" s="363"/>
      <c r="H92" s="363"/>
      <c r="I92" s="288"/>
      <c r="J92" s="288"/>
      <c r="K92" s="288"/>
      <c r="L92" s="288"/>
      <c r="M92" s="288"/>
      <c r="N92" s="288"/>
    </row>
    <row r="93" spans="2:14" s="437" customFormat="1" x14ac:dyDescent="0.3">
      <c r="B93" s="362" t="s">
        <v>891</v>
      </c>
      <c r="C93" s="288"/>
      <c r="D93" s="477"/>
      <c r="E93" s="479"/>
      <c r="F93" s="288"/>
      <c r="G93" s="288"/>
      <c r="H93" s="365"/>
      <c r="I93" s="288"/>
      <c r="J93" s="288"/>
      <c r="K93" s="288"/>
      <c r="L93" s="288"/>
      <c r="M93" s="288"/>
      <c r="N93" s="288"/>
    </row>
    <row r="94" spans="2:14" s="437" customFormat="1" ht="15" x14ac:dyDescent="0.3">
      <c r="B94" s="286"/>
      <c r="C94" s="286"/>
      <c r="D94" s="286"/>
      <c r="E94" s="480"/>
      <c r="F94" s="367"/>
      <c r="G94" s="367"/>
      <c r="H94" s="367"/>
      <c r="I94" s="288"/>
      <c r="J94" s="288"/>
      <c r="K94" s="288"/>
      <c r="L94" s="288"/>
      <c r="M94" s="288"/>
      <c r="N94" s="288"/>
    </row>
    <row r="95" spans="2:14" s="437" customFormat="1" ht="15" x14ac:dyDescent="0.3">
      <c r="B95" s="481"/>
      <c r="C95" s="286"/>
      <c r="D95" s="475"/>
      <c r="E95" s="476"/>
      <c r="F95" s="367"/>
      <c r="G95" s="367"/>
      <c r="H95" s="367"/>
      <c r="I95" s="288"/>
      <c r="J95" s="288"/>
      <c r="K95" s="288"/>
      <c r="L95" s="288"/>
      <c r="M95" s="288"/>
      <c r="N95" s="288"/>
    </row>
    <row r="96" spans="2:14" s="437" customFormat="1" ht="15" x14ac:dyDescent="0.3">
      <c r="B96" s="481"/>
      <c r="C96" s="286"/>
      <c r="D96" s="475"/>
      <c r="E96" s="480"/>
      <c r="F96" s="367"/>
      <c r="G96" s="367"/>
      <c r="H96" s="367"/>
      <c r="I96" s="288"/>
      <c r="J96" s="288"/>
      <c r="K96" s="288"/>
      <c r="L96" s="288"/>
      <c r="M96" s="288"/>
      <c r="N96" s="288"/>
    </row>
    <row r="97" spans="2:14" s="437" customFormat="1" ht="15" x14ac:dyDescent="0.3">
      <c r="B97" s="286"/>
      <c r="C97" s="286"/>
      <c r="D97" s="286"/>
      <c r="E97" s="480"/>
      <c r="F97" s="367"/>
      <c r="G97" s="367"/>
      <c r="H97" s="367"/>
      <c r="I97" s="288"/>
      <c r="J97" s="288"/>
      <c r="K97" s="288"/>
      <c r="L97" s="288"/>
      <c r="M97" s="288"/>
      <c r="N97" s="288"/>
    </row>
    <row r="98" spans="2:14" s="437" customFormat="1" ht="15" x14ac:dyDescent="0.3">
      <c r="B98" s="453"/>
      <c r="C98" s="286"/>
      <c r="D98" s="286"/>
      <c r="E98" s="476"/>
      <c r="F98" s="482"/>
      <c r="G98" s="482"/>
      <c r="H98" s="482"/>
    </row>
    <row r="99" spans="2:14" s="437" customFormat="1" ht="15" x14ac:dyDescent="0.3">
      <c r="B99" s="483"/>
      <c r="C99" s="483"/>
      <c r="D99" s="483"/>
      <c r="E99" s="483"/>
      <c r="F99" s="482"/>
      <c r="G99" s="482"/>
      <c r="H99" s="482"/>
    </row>
    <row r="100" spans="2:14" s="437" customFormat="1" ht="15" x14ac:dyDescent="0.3">
      <c r="B100" s="483"/>
      <c r="C100" s="483"/>
      <c r="D100" s="483"/>
      <c r="E100" s="483"/>
      <c r="F100" s="482"/>
      <c r="G100" s="482"/>
      <c r="H100" s="482"/>
    </row>
    <row r="101" spans="2:14" s="437" customFormat="1" x14ac:dyDescent="0.3">
      <c r="F101" s="484"/>
      <c r="G101" s="484"/>
      <c r="H101" s="484"/>
    </row>
    <row r="102" spans="2:14" s="437" customFormat="1" x14ac:dyDescent="0.3">
      <c r="F102" s="485"/>
      <c r="G102" s="485"/>
      <c r="H102" s="485"/>
    </row>
    <row r="103" spans="2:14" s="437" customFormat="1" x14ac:dyDescent="0.3">
      <c r="C103" s="9"/>
      <c r="D103" s="9"/>
      <c r="E103" s="486"/>
    </row>
    <row r="104" spans="2:14" s="437" customFormat="1" x14ac:dyDescent="0.3">
      <c r="C104" s="9"/>
      <c r="D104" s="9"/>
      <c r="E104" s="486"/>
    </row>
    <row r="105" spans="2:14" s="437" customFormat="1" x14ac:dyDescent="0.3"/>
    <row r="106" spans="2:14" s="437" customFormat="1" x14ac:dyDescent="0.3"/>
    <row r="107" spans="2:14" s="437" customFormat="1" x14ac:dyDescent="0.3"/>
    <row r="108" spans="2:14" s="437" customFormat="1" x14ac:dyDescent="0.3"/>
    <row r="109" spans="2:14" s="437" customFormat="1" x14ac:dyDescent="0.3"/>
    <row r="110" spans="2:14" s="437" customFormat="1" x14ac:dyDescent="0.3"/>
    <row r="111" spans="2:14" s="437" customFormat="1" x14ac:dyDescent="0.3"/>
    <row r="112" spans="2:14" s="437" customFormat="1" x14ac:dyDescent="0.3"/>
    <row r="113" s="437" customFormat="1" x14ac:dyDescent="0.3"/>
    <row r="114" s="437" customFormat="1" x14ac:dyDescent="0.3"/>
    <row r="115" s="437" customFormat="1" x14ac:dyDescent="0.3"/>
    <row r="116" s="437" customFormat="1" x14ac:dyDescent="0.3"/>
    <row r="117" s="437" customFormat="1" x14ac:dyDescent="0.3"/>
    <row r="118" s="437" customFormat="1" x14ac:dyDescent="0.3"/>
    <row r="119" s="437" customFormat="1" x14ac:dyDescent="0.3"/>
    <row r="120" s="437" customFormat="1" x14ac:dyDescent="0.3"/>
    <row r="121" s="437" customFormat="1" x14ac:dyDescent="0.3"/>
    <row r="122" s="437" customFormat="1" x14ac:dyDescent="0.3"/>
    <row r="123" s="437" customFormat="1" x14ac:dyDescent="0.3"/>
    <row r="124" s="437" customFormat="1" x14ac:dyDescent="0.3"/>
    <row r="125" s="437" customFormat="1" x14ac:dyDescent="0.3"/>
    <row r="126" s="437" customFormat="1" x14ac:dyDescent="0.3"/>
    <row r="127" s="437" customFormat="1" x14ac:dyDescent="0.3"/>
    <row r="128" s="437" customFormat="1" x14ac:dyDescent="0.3"/>
    <row r="129" s="437" customFormat="1" x14ac:dyDescent="0.3"/>
    <row r="130" s="437" customFormat="1" x14ac:dyDescent="0.3"/>
    <row r="131" s="437" customFormat="1" x14ac:dyDescent="0.3"/>
    <row r="132" s="437" customFormat="1" x14ac:dyDescent="0.3"/>
    <row r="133" s="437" customFormat="1" x14ac:dyDescent="0.3"/>
    <row r="134" s="437" customFormat="1" x14ac:dyDescent="0.3"/>
    <row r="135" s="437" customFormat="1" x14ac:dyDescent="0.3"/>
    <row r="136" s="437" customFormat="1" x14ac:dyDescent="0.3"/>
    <row r="137" s="437" customFormat="1" x14ac:dyDescent="0.3"/>
    <row r="138" s="437" customFormat="1" x14ac:dyDescent="0.3"/>
    <row r="139" s="437" customFormat="1" x14ac:dyDescent="0.3"/>
    <row r="140" s="437" customFormat="1" x14ac:dyDescent="0.3"/>
    <row r="141" s="437" customFormat="1" x14ac:dyDescent="0.3"/>
    <row r="142" s="437" customFormat="1" x14ac:dyDescent="0.3"/>
    <row r="143" s="437" customFormat="1" x14ac:dyDescent="0.3"/>
    <row r="144" s="437" customFormat="1" x14ac:dyDescent="0.3"/>
    <row r="145" s="437" customFormat="1" x14ac:dyDescent="0.3"/>
    <row r="146" s="437" customFormat="1" x14ac:dyDescent="0.3"/>
    <row r="147" s="437" customFormat="1" x14ac:dyDescent="0.3"/>
    <row r="148" s="437" customFormat="1" x14ac:dyDescent="0.3"/>
    <row r="149" s="437" customFormat="1" x14ac:dyDescent="0.3"/>
    <row r="150" s="437" customFormat="1" x14ac:dyDescent="0.3"/>
    <row r="151" s="437" customFormat="1" x14ac:dyDescent="0.3"/>
    <row r="152" s="437" customFormat="1" x14ac:dyDescent="0.3"/>
    <row r="153" s="437" customFormat="1" x14ac:dyDescent="0.3"/>
    <row r="154" s="437" customFormat="1" x14ac:dyDescent="0.3"/>
    <row r="155" s="437" customFormat="1" x14ac:dyDescent="0.3"/>
    <row r="156" s="437" customFormat="1" x14ac:dyDescent="0.3"/>
    <row r="157" s="437" customFormat="1" x14ac:dyDescent="0.3"/>
    <row r="158" s="437" customFormat="1" x14ac:dyDescent="0.3"/>
    <row r="159" s="437" customFormat="1" x14ac:dyDescent="0.3"/>
    <row r="160" s="437" customFormat="1" x14ac:dyDescent="0.3"/>
    <row r="161" s="437" customFormat="1" x14ac:dyDescent="0.3"/>
    <row r="162" s="437" customFormat="1" x14ac:dyDescent="0.3"/>
    <row r="163" s="437" customFormat="1" x14ac:dyDescent="0.3"/>
    <row r="164" s="437" customFormat="1" x14ac:dyDescent="0.3"/>
    <row r="165" s="437" customFormat="1" x14ac:dyDescent="0.3"/>
    <row r="166" s="437" customFormat="1" x14ac:dyDescent="0.3"/>
    <row r="167" s="437" customFormat="1" x14ac:dyDescent="0.3"/>
    <row r="168" s="437" customFormat="1" x14ac:dyDescent="0.3"/>
    <row r="169" s="437" customFormat="1" x14ac:dyDescent="0.3"/>
    <row r="170" s="437" customFormat="1" x14ac:dyDescent="0.3"/>
    <row r="171" s="437" customFormat="1" x14ac:dyDescent="0.3"/>
    <row r="172" s="437" customFormat="1" x14ac:dyDescent="0.3"/>
    <row r="173" s="437" customFormat="1" x14ac:dyDescent="0.3"/>
    <row r="174" s="437" customFormat="1" x14ac:dyDescent="0.3"/>
    <row r="175" s="437" customFormat="1" x14ac:dyDescent="0.3"/>
    <row r="176" s="437" customFormat="1" x14ac:dyDescent="0.3"/>
    <row r="177" s="437" customFormat="1" x14ac:dyDescent="0.3"/>
    <row r="178" s="437" customFormat="1" x14ac:dyDescent="0.3"/>
    <row r="179" s="437" customFormat="1" x14ac:dyDescent="0.3"/>
    <row r="180" s="437" customFormat="1" x14ac:dyDescent="0.3"/>
    <row r="181" s="437" customFormat="1" x14ac:dyDescent="0.3"/>
    <row r="182" s="437" customFormat="1" x14ac:dyDescent="0.3"/>
    <row r="183" s="437" customFormat="1" x14ac:dyDescent="0.3"/>
    <row r="184" s="437" customFormat="1" x14ac:dyDescent="0.3"/>
    <row r="185" s="437" customFormat="1" x14ac:dyDescent="0.3"/>
    <row r="186" s="437" customFormat="1" x14ac:dyDescent="0.3"/>
    <row r="187" s="437" customFormat="1" x14ac:dyDescent="0.3"/>
    <row r="188" s="437" customFormat="1" x14ac:dyDescent="0.3"/>
    <row r="189" s="437" customFormat="1" x14ac:dyDescent="0.3"/>
    <row r="190" s="437" customFormat="1" x14ac:dyDescent="0.3"/>
    <row r="191" s="437" customFormat="1" x14ac:dyDescent="0.3"/>
    <row r="192" s="437" customFormat="1" x14ac:dyDescent="0.3"/>
    <row r="193" s="437" customFormat="1" x14ac:dyDescent="0.3"/>
    <row r="194" s="437" customFormat="1" x14ac:dyDescent="0.3"/>
    <row r="195" s="437" customFormat="1" x14ac:dyDescent="0.3"/>
    <row r="196" s="437" customFormat="1" x14ac:dyDescent="0.3"/>
    <row r="197" s="437" customFormat="1" x14ac:dyDescent="0.3"/>
    <row r="198" s="437" customFormat="1" x14ac:dyDescent="0.3"/>
    <row r="199" s="437" customFormat="1" x14ac:dyDescent="0.3"/>
    <row r="200" s="437" customFormat="1" x14ac:dyDescent="0.3"/>
    <row r="201" s="437" customFormat="1" x14ac:dyDescent="0.3"/>
    <row r="202" s="437" customFormat="1" x14ac:dyDescent="0.3"/>
    <row r="203" s="437" customFormat="1" x14ac:dyDescent="0.3"/>
    <row r="204" s="437" customFormat="1" x14ac:dyDescent="0.3"/>
    <row r="205" s="437" customFormat="1" x14ac:dyDescent="0.3"/>
    <row r="206" s="437" customFormat="1" x14ac:dyDescent="0.3"/>
    <row r="207" s="437" customFormat="1" x14ac:dyDescent="0.3"/>
    <row r="208" s="437" customFormat="1" x14ac:dyDescent="0.3"/>
    <row r="209" s="437" customFormat="1" x14ac:dyDescent="0.3"/>
    <row r="210" s="437" customFormat="1" x14ac:dyDescent="0.3"/>
    <row r="211" s="437" customFormat="1" x14ac:dyDescent="0.3"/>
    <row r="212" s="437" customFormat="1" x14ac:dyDescent="0.3"/>
    <row r="213" s="437" customFormat="1" x14ac:dyDescent="0.3"/>
    <row r="214" s="437" customFormat="1" x14ac:dyDescent="0.3"/>
    <row r="215" s="437" customFormat="1" x14ac:dyDescent="0.3"/>
    <row r="216" s="437" customFormat="1" x14ac:dyDescent="0.3"/>
    <row r="217" s="437" customFormat="1" x14ac:dyDescent="0.3"/>
    <row r="218" s="437" customFormat="1" x14ac:dyDescent="0.3"/>
    <row r="219" s="437" customFormat="1" x14ac:dyDescent="0.3"/>
    <row r="220" s="437" customFormat="1" x14ac:dyDescent="0.3"/>
    <row r="221" s="437" customFormat="1" x14ac:dyDescent="0.3"/>
    <row r="222" s="437" customFormat="1" x14ac:dyDescent="0.3"/>
    <row r="223" s="437" customFormat="1" x14ac:dyDescent="0.3"/>
    <row r="224" s="437" customFormat="1" x14ac:dyDescent="0.3"/>
    <row r="225" s="437" customFormat="1" x14ac:dyDescent="0.3"/>
    <row r="226" s="437" customFormat="1" x14ac:dyDescent="0.3"/>
    <row r="227" s="437" customFormat="1" x14ac:dyDescent="0.3"/>
    <row r="228" s="437" customFormat="1" x14ac:dyDescent="0.3"/>
    <row r="229" s="437" customFormat="1" x14ac:dyDescent="0.3"/>
    <row r="230" s="437" customFormat="1" x14ac:dyDescent="0.3"/>
    <row r="231" s="437" customFormat="1" x14ac:dyDescent="0.3"/>
    <row r="232" s="437" customFormat="1" x14ac:dyDescent="0.3"/>
    <row r="233" s="437" customFormat="1" x14ac:dyDescent="0.3"/>
    <row r="234" s="437" customFormat="1" x14ac:dyDescent="0.3"/>
    <row r="235" s="437" customFormat="1" x14ac:dyDescent="0.3"/>
    <row r="236" s="437" customFormat="1" x14ac:dyDescent="0.3"/>
    <row r="237" s="437" customFormat="1" x14ac:dyDescent="0.3"/>
    <row r="238" s="437" customFormat="1" x14ac:dyDescent="0.3"/>
    <row r="239" s="437" customFormat="1" x14ac:dyDescent="0.3"/>
    <row r="240" s="437" customFormat="1" x14ac:dyDescent="0.3"/>
    <row r="241" s="437" customFormat="1" x14ac:dyDescent="0.3"/>
    <row r="242" s="437" customFormat="1" x14ac:dyDescent="0.3"/>
    <row r="243" s="437" customFormat="1" x14ac:dyDescent="0.3"/>
    <row r="244" s="437" customFormat="1" x14ac:dyDescent="0.3"/>
    <row r="245" s="437" customFormat="1" x14ac:dyDescent="0.3"/>
    <row r="246" s="437" customFormat="1" x14ac:dyDescent="0.3"/>
    <row r="247" s="437" customFormat="1" x14ac:dyDescent="0.3"/>
    <row r="248" s="437" customFormat="1" x14ac:dyDescent="0.3"/>
    <row r="249" s="437" customFormat="1" x14ac:dyDescent="0.3"/>
    <row r="250" s="437" customFormat="1" x14ac:dyDescent="0.3"/>
    <row r="251" s="437" customFormat="1" x14ac:dyDescent="0.3"/>
    <row r="252" s="437" customFormat="1" x14ac:dyDescent="0.3"/>
    <row r="253" s="437" customFormat="1" x14ac:dyDescent="0.3"/>
    <row r="254" s="437" customFormat="1" x14ac:dyDescent="0.3"/>
    <row r="255" s="437" customFormat="1" x14ac:dyDescent="0.3"/>
    <row r="256" s="437" customFormat="1" x14ac:dyDescent="0.3"/>
    <row r="257" s="437" customFormat="1" x14ac:dyDescent="0.3"/>
    <row r="258" s="437" customFormat="1" x14ac:dyDescent="0.3"/>
    <row r="259" s="437" customFormat="1" x14ac:dyDescent="0.3"/>
    <row r="260" s="437" customFormat="1" x14ac:dyDescent="0.3"/>
    <row r="261" s="437" customFormat="1" x14ac:dyDescent="0.3"/>
    <row r="262" s="437" customFormat="1" x14ac:dyDescent="0.3"/>
    <row r="263" s="437" customFormat="1" x14ac:dyDescent="0.3"/>
    <row r="264" s="437" customFormat="1" x14ac:dyDescent="0.3"/>
    <row r="265" s="437" customFormat="1" x14ac:dyDescent="0.3"/>
    <row r="266" s="437" customFormat="1" x14ac:dyDescent="0.3"/>
    <row r="267" s="437" customFormat="1" x14ac:dyDescent="0.3"/>
    <row r="268" s="437" customFormat="1" x14ac:dyDescent="0.3"/>
    <row r="269" s="437" customFormat="1" x14ac:dyDescent="0.3"/>
    <row r="270" s="437" customFormat="1" x14ac:dyDescent="0.3"/>
    <row r="271" s="437" customFormat="1" x14ac:dyDescent="0.3"/>
    <row r="272" s="437" customFormat="1" x14ac:dyDescent="0.3"/>
    <row r="273" spans="1:8" s="437" customFormat="1" x14ac:dyDescent="0.3"/>
    <row r="274" spans="1:8" s="437" customFormat="1" x14ac:dyDescent="0.3">
      <c r="B274" s="288"/>
      <c r="C274" s="288"/>
      <c r="D274" s="288"/>
      <c r="E274" s="288"/>
      <c r="F274" s="288"/>
      <c r="G274" s="288"/>
      <c r="H274" s="288"/>
    </row>
    <row r="275" spans="1:8" s="437" customFormat="1" x14ac:dyDescent="0.3">
      <c r="B275" s="288"/>
      <c r="C275" s="288"/>
      <c r="D275" s="288"/>
      <c r="E275" s="288"/>
      <c r="F275" s="288"/>
      <c r="G275" s="288"/>
      <c r="H275" s="288"/>
    </row>
    <row r="276" spans="1:8" s="437" customFormat="1" x14ac:dyDescent="0.3">
      <c r="B276" s="288"/>
      <c r="C276" s="288"/>
      <c r="D276" s="288"/>
      <c r="E276" s="288"/>
      <c r="F276" s="288"/>
      <c r="G276" s="288"/>
      <c r="H276" s="288"/>
    </row>
    <row r="277" spans="1:8" s="437" customFormat="1" x14ac:dyDescent="0.3">
      <c r="B277" s="288"/>
      <c r="C277" s="288"/>
      <c r="D277" s="288"/>
      <c r="E277" s="288"/>
      <c r="F277" s="288"/>
      <c r="G277" s="288"/>
      <c r="H277" s="288"/>
    </row>
    <row r="278" spans="1:8" s="437" customFormat="1" x14ac:dyDescent="0.3">
      <c r="B278" s="288"/>
      <c r="C278" s="288"/>
      <c r="D278" s="288"/>
      <c r="E278" s="288"/>
      <c r="F278" s="288"/>
      <c r="G278" s="288"/>
      <c r="H278" s="288"/>
    </row>
    <row r="279" spans="1:8" s="437" customFormat="1" x14ac:dyDescent="0.3">
      <c r="B279" s="288"/>
      <c r="C279" s="288"/>
      <c r="D279" s="288"/>
      <c r="E279" s="288"/>
      <c r="F279" s="288"/>
      <c r="G279" s="288"/>
      <c r="H279" s="288"/>
    </row>
    <row r="280" spans="1:8" s="437" customFormat="1" x14ac:dyDescent="0.3">
      <c r="B280" s="288"/>
      <c r="C280" s="288"/>
      <c r="D280" s="288"/>
      <c r="E280" s="288"/>
      <c r="F280" s="288"/>
      <c r="G280" s="288"/>
      <c r="H280" s="288"/>
    </row>
    <row r="281" spans="1:8" s="437" customFormat="1" x14ac:dyDescent="0.3">
      <c r="B281" s="288"/>
      <c r="C281" s="288"/>
      <c r="D281" s="288"/>
      <c r="E281" s="288"/>
      <c r="F281" s="288"/>
      <c r="G281" s="288"/>
      <c r="H281" s="288"/>
    </row>
    <row r="282" spans="1:8" s="437" customFormat="1" x14ac:dyDescent="0.3">
      <c r="A282" s="288"/>
      <c r="B282" s="288"/>
      <c r="C282" s="288"/>
      <c r="D282" s="288"/>
      <c r="E282" s="288"/>
      <c r="F282" s="288"/>
      <c r="G282" s="288"/>
      <c r="H282" s="288"/>
    </row>
  </sheetData>
  <mergeCells count="11">
    <mergeCell ref="B90:E90"/>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autoPageBreaks="0"/>
  </sheetPr>
  <dimension ref="A1:L189"/>
  <sheetViews>
    <sheetView showGridLines="0" showRuler="0" zoomScale="85" zoomScaleNormal="85" zoomScaleSheetLayoutView="85" zoomScalePageLayoutView="70" workbookViewId="0"/>
  </sheetViews>
  <sheetFormatPr baseColWidth="10" defaultColWidth="11.44140625" defaultRowHeight="14.4" x14ac:dyDescent="0.3"/>
  <cols>
    <col min="1" max="1" width="7.21875" style="224" bestFit="1" customWidth="1"/>
    <col min="2" max="2" width="57" style="280" customWidth="1"/>
    <col min="3" max="3" width="26" style="280" customWidth="1"/>
    <col min="4" max="4" width="25.77734375" style="224" bestFit="1" customWidth="1"/>
    <col min="5" max="5" width="19.44140625" style="224" customWidth="1"/>
    <col min="6" max="6" width="18.21875" style="224" customWidth="1"/>
    <col min="7" max="7" width="19.21875" style="224" bestFit="1" customWidth="1"/>
    <col min="8" max="8" width="19.5546875" style="224" bestFit="1" customWidth="1"/>
    <col min="9" max="9" width="18.44140625" style="488" bestFit="1" customWidth="1"/>
    <col min="10" max="10" width="12.77734375" style="488" bestFit="1" customWidth="1"/>
    <col min="11" max="11" width="11.77734375" style="488" bestFit="1" customWidth="1"/>
    <col min="12" max="12" width="15.21875" style="488" bestFit="1" customWidth="1"/>
    <col min="13" max="16384" width="11.44140625" style="224"/>
  </cols>
  <sheetData>
    <row r="1" spans="1:12" ht="15" x14ac:dyDescent="0.3">
      <c r="A1" s="1" t="s">
        <v>216</v>
      </c>
      <c r="B1" s="487"/>
      <c r="C1" s="149"/>
      <c r="D1" s="281"/>
      <c r="E1" s="281"/>
      <c r="F1" s="281"/>
      <c r="G1" s="281"/>
    </row>
    <row r="2" spans="1:12" ht="16.2" x14ac:dyDescent="0.3">
      <c r="A2" s="223"/>
      <c r="B2" s="4" t="s">
        <v>693</v>
      </c>
      <c r="C2" s="489"/>
      <c r="D2" s="9"/>
      <c r="E2" s="490"/>
      <c r="F2" s="490"/>
      <c r="G2" s="9"/>
    </row>
    <row r="3" spans="1:12" ht="16.2" x14ac:dyDescent="0.3">
      <c r="A3" s="223"/>
      <c r="B3" s="4" t="s">
        <v>299</v>
      </c>
      <c r="C3" s="489"/>
      <c r="D3" s="9"/>
      <c r="E3" s="9"/>
      <c r="F3" s="9"/>
      <c r="G3" s="9"/>
    </row>
    <row r="4" spans="1:12" s="227" customFormat="1" ht="11.4" x14ac:dyDescent="0.2">
      <c r="B4" s="135"/>
      <c r="C4" s="135"/>
      <c r="D4" s="135"/>
      <c r="E4" s="135"/>
      <c r="F4" s="135"/>
      <c r="G4" s="135"/>
      <c r="I4" s="491"/>
      <c r="J4" s="491"/>
      <c r="K4" s="491"/>
      <c r="L4" s="491"/>
    </row>
    <row r="5" spans="1:12" s="227" customFormat="1" ht="11.4" x14ac:dyDescent="0.2">
      <c r="B5" s="135"/>
      <c r="C5" s="135"/>
      <c r="D5" s="135"/>
      <c r="E5" s="135"/>
      <c r="F5" s="135"/>
      <c r="G5" s="135"/>
      <c r="I5" s="491"/>
      <c r="J5" s="491"/>
      <c r="K5" s="491"/>
      <c r="L5" s="491"/>
    </row>
    <row r="6" spans="1:12" ht="18" x14ac:dyDescent="0.3">
      <c r="B6" s="1381" t="s">
        <v>641</v>
      </c>
      <c r="C6" s="1381"/>
      <c r="D6" s="1381"/>
      <c r="E6" s="1381"/>
      <c r="F6" s="1381"/>
      <c r="G6" s="1381"/>
    </row>
    <row r="7" spans="1:12" ht="15" x14ac:dyDescent="0.3">
      <c r="B7" s="1334" t="s">
        <v>888</v>
      </c>
      <c r="C7" s="1334"/>
      <c r="D7" s="1334"/>
      <c r="E7" s="1334"/>
      <c r="F7" s="1334"/>
      <c r="G7" s="1334"/>
    </row>
    <row r="8" spans="1:12" s="227" customFormat="1" ht="9.75" customHeight="1" x14ac:dyDescent="0.2">
      <c r="B8" s="433"/>
      <c r="C8" s="433"/>
      <c r="D8" s="433"/>
      <c r="E8" s="433"/>
      <c r="F8" s="433"/>
      <c r="G8" s="433"/>
      <c r="I8" s="491"/>
      <c r="J8" s="491"/>
      <c r="K8" s="491"/>
      <c r="L8" s="491"/>
    </row>
    <row r="9" spans="1:12" s="227" customFormat="1" ht="11.4" x14ac:dyDescent="0.2">
      <c r="B9" s="135"/>
      <c r="C9" s="135"/>
      <c r="D9" s="135"/>
      <c r="E9" s="135"/>
      <c r="F9" s="135"/>
      <c r="G9" s="135"/>
      <c r="I9" s="491"/>
      <c r="J9" s="491"/>
      <c r="K9" s="491"/>
      <c r="L9" s="491"/>
    </row>
    <row r="10" spans="1:12" ht="15" thickBot="1" x14ac:dyDescent="0.35">
      <c r="B10" s="9"/>
      <c r="C10" s="9"/>
      <c r="D10" s="9"/>
      <c r="E10" s="9"/>
      <c r="F10" s="9"/>
      <c r="G10" s="492" t="s">
        <v>289</v>
      </c>
    </row>
    <row r="11" spans="1:12" ht="15" thickTop="1" x14ac:dyDescent="0.3">
      <c r="B11" s="1382" t="s">
        <v>285</v>
      </c>
      <c r="C11" s="1385" t="s">
        <v>168</v>
      </c>
      <c r="D11" s="1388" t="s">
        <v>280</v>
      </c>
      <c r="E11" s="1391" t="s">
        <v>328</v>
      </c>
      <c r="F11" s="1375" t="s">
        <v>519</v>
      </c>
      <c r="G11" s="1394" t="s">
        <v>287</v>
      </c>
    </row>
    <row r="12" spans="1:12" x14ac:dyDescent="0.3">
      <c r="B12" s="1383"/>
      <c r="C12" s="1386"/>
      <c r="D12" s="1389"/>
      <c r="E12" s="1392"/>
      <c r="F12" s="1376"/>
      <c r="G12" s="1395"/>
    </row>
    <row r="13" spans="1:12" x14ac:dyDescent="0.3">
      <c r="B13" s="1383"/>
      <c r="C13" s="1386"/>
      <c r="D13" s="1389"/>
      <c r="E13" s="1392"/>
      <c r="F13" s="1376"/>
      <c r="G13" s="1395"/>
    </row>
    <row r="14" spans="1:12" x14ac:dyDescent="0.3">
      <c r="B14" s="1383"/>
      <c r="C14" s="1386"/>
      <c r="D14" s="1389"/>
      <c r="E14" s="1392"/>
      <c r="F14" s="1376"/>
      <c r="G14" s="1395"/>
    </row>
    <row r="15" spans="1:12" ht="15" thickBot="1" x14ac:dyDescent="0.35">
      <c r="B15" s="1384"/>
      <c r="C15" s="1387"/>
      <c r="D15" s="1390"/>
      <c r="E15" s="1393"/>
      <c r="F15" s="1377"/>
      <c r="G15" s="1396"/>
    </row>
    <row r="16" spans="1:12" ht="16.8" thickTop="1" x14ac:dyDescent="0.3">
      <c r="B16" s="493"/>
      <c r="C16" s="494"/>
      <c r="D16" s="495"/>
      <c r="E16" s="496"/>
      <c r="F16" s="497"/>
      <c r="G16" s="498"/>
    </row>
    <row r="17" spans="2:12" s="238" customFormat="1" ht="16.2" x14ac:dyDescent="0.3">
      <c r="B17" s="499" t="s">
        <v>169</v>
      </c>
      <c r="C17" s="500"/>
      <c r="D17" s="501">
        <f>SUM(D19:D31)</f>
        <v>271.06327863746952</v>
      </c>
      <c r="E17" s="502">
        <f t="shared" ref="E17:G17" si="0">SUM(E19:E31)</f>
        <v>25.79463192437516</v>
      </c>
      <c r="F17" s="503">
        <f t="shared" si="0"/>
        <v>10.768908902875452</v>
      </c>
      <c r="G17" s="504">
        <f t="shared" si="0"/>
        <v>307.62681946472014</v>
      </c>
      <c r="H17" s="505"/>
      <c r="I17" s="506"/>
      <c r="J17" s="506"/>
      <c r="K17" s="506"/>
      <c r="L17" s="506"/>
    </row>
    <row r="18" spans="2:12" ht="16.2" x14ac:dyDescent="0.3">
      <c r="B18" s="507"/>
      <c r="C18" s="508"/>
      <c r="D18" s="509"/>
      <c r="E18" s="510"/>
      <c r="F18" s="511"/>
      <c r="G18" s="512"/>
      <c r="H18" s="505"/>
      <c r="I18" s="506"/>
      <c r="J18" s="506"/>
      <c r="K18" s="506"/>
      <c r="L18" s="506"/>
    </row>
    <row r="19" spans="2:12" ht="16.2" x14ac:dyDescent="0.3">
      <c r="B19" s="513" t="s">
        <v>684</v>
      </c>
      <c r="C19" s="514" t="s">
        <v>231</v>
      </c>
      <c r="D19" s="515">
        <v>4.862534111922141</v>
      </c>
      <c r="E19" s="516">
        <v>4.2602790085149236E-2</v>
      </c>
      <c r="F19" s="517">
        <v>0.48572207609489942</v>
      </c>
      <c r="G19" s="518">
        <f>SUM(D19:F19)</f>
        <v>5.3908589781021892</v>
      </c>
      <c r="H19" s="622"/>
      <c r="I19" s="622"/>
      <c r="J19" s="622"/>
      <c r="K19" s="622"/>
      <c r="L19" s="506"/>
    </row>
    <row r="20" spans="2:12" ht="16.2" x14ac:dyDescent="0.3">
      <c r="B20" s="513" t="s">
        <v>685</v>
      </c>
      <c r="C20" s="514" t="s">
        <v>231</v>
      </c>
      <c r="D20" s="515">
        <v>86.884254306569346</v>
      </c>
      <c r="E20" s="516">
        <v>5.7582358577205932</v>
      </c>
      <c r="F20" s="517">
        <v>2.8201797140555618</v>
      </c>
      <c r="G20" s="518">
        <f t="shared" ref="G20:G31" si="1">SUM(D20:F20)</f>
        <v>95.462669878345494</v>
      </c>
      <c r="H20" s="622"/>
      <c r="I20" s="622"/>
      <c r="J20" s="622"/>
      <c r="K20" s="622"/>
      <c r="L20" s="506"/>
    </row>
    <row r="21" spans="2:12" ht="16.2" x14ac:dyDescent="0.3">
      <c r="B21" s="513" t="s">
        <v>686</v>
      </c>
      <c r="C21" s="514" t="s">
        <v>231</v>
      </c>
      <c r="D21" s="515">
        <v>1.3892201459854014</v>
      </c>
      <c r="E21" s="516">
        <v>0.13964269043818614</v>
      </c>
      <c r="F21" s="517">
        <v>1.9556725620208017E-2</v>
      </c>
      <c r="G21" s="518">
        <f t="shared" si="1"/>
        <v>1.5484195620437957</v>
      </c>
      <c r="H21" s="622"/>
      <c r="I21" s="622"/>
      <c r="J21" s="622"/>
      <c r="K21" s="622"/>
      <c r="L21" s="506"/>
    </row>
    <row r="22" spans="2:12" ht="16.2" x14ac:dyDescent="0.3">
      <c r="B22" s="513" t="s">
        <v>687</v>
      </c>
      <c r="C22" s="514" t="s">
        <v>231</v>
      </c>
      <c r="D22" s="515">
        <v>58.600058296836984</v>
      </c>
      <c r="E22" s="516">
        <v>4.4594310764950658</v>
      </c>
      <c r="F22" s="517">
        <v>1.962283278736078</v>
      </c>
      <c r="G22" s="518">
        <f t="shared" si="1"/>
        <v>65.021772652068123</v>
      </c>
      <c r="H22" s="622"/>
      <c r="I22" s="622"/>
      <c r="J22" s="622"/>
      <c r="K22" s="622"/>
      <c r="L22" s="506"/>
    </row>
    <row r="23" spans="2:12" ht="16.2" x14ac:dyDescent="0.3">
      <c r="B23" s="513" t="s">
        <v>688</v>
      </c>
      <c r="C23" s="514" t="s">
        <v>231</v>
      </c>
      <c r="D23" s="515">
        <v>59.904716690997567</v>
      </c>
      <c r="E23" s="516">
        <v>6.2588490865488389</v>
      </c>
      <c r="F23" s="517">
        <v>1.9630773368088241</v>
      </c>
      <c r="G23" s="518">
        <f t="shared" si="1"/>
        <v>68.126643114355232</v>
      </c>
      <c r="H23" s="622"/>
      <c r="I23" s="622"/>
      <c r="J23" s="622"/>
      <c r="K23" s="622"/>
      <c r="L23" s="506"/>
    </row>
    <row r="24" spans="2:12" ht="16.2" x14ac:dyDescent="0.3">
      <c r="B24" s="513" t="s">
        <v>171</v>
      </c>
      <c r="C24" s="514" t="s">
        <v>231</v>
      </c>
      <c r="D24" s="515">
        <v>3.1143552311435525</v>
      </c>
      <c r="E24" s="516">
        <v>2.0126520573127871</v>
      </c>
      <c r="F24" s="517">
        <v>3.3645850229791834</v>
      </c>
      <c r="G24" s="518">
        <f t="shared" si="1"/>
        <v>8.4915923114355234</v>
      </c>
      <c r="H24" s="622"/>
      <c r="I24" s="622"/>
      <c r="J24" s="622"/>
      <c r="K24" s="622"/>
      <c r="L24" s="506"/>
    </row>
    <row r="25" spans="2:12" ht="16.2" x14ac:dyDescent="0.3">
      <c r="B25" s="513" t="s">
        <v>172</v>
      </c>
      <c r="C25" s="514" t="s">
        <v>231</v>
      </c>
      <c r="D25" s="515">
        <v>0.12727980535279804</v>
      </c>
      <c r="E25" s="516">
        <v>9.8487307380373378E-3</v>
      </c>
      <c r="F25" s="517">
        <v>0.15350474858069746</v>
      </c>
      <c r="G25" s="518">
        <f t="shared" si="1"/>
        <v>0.29063328467153282</v>
      </c>
      <c r="H25" s="622"/>
      <c r="I25" s="622"/>
      <c r="J25" s="622"/>
      <c r="K25" s="622"/>
      <c r="L25" s="506"/>
    </row>
    <row r="26" spans="2:12" ht="16.2" x14ac:dyDescent="0.3">
      <c r="B26" s="513" t="s">
        <v>173</v>
      </c>
      <c r="C26" s="514" t="s">
        <v>231</v>
      </c>
      <c r="D26" s="515">
        <v>2.4356496350364961E-2</v>
      </c>
      <c r="E26" s="516">
        <v>4.4815571776155713E-3</v>
      </c>
      <c r="F26" s="517">
        <v>0</v>
      </c>
      <c r="G26" s="518">
        <f t="shared" si="1"/>
        <v>2.8838053527980533E-2</v>
      </c>
      <c r="H26" s="622"/>
      <c r="I26" s="622"/>
      <c r="J26" s="622"/>
      <c r="K26" s="622"/>
      <c r="L26" s="506"/>
    </row>
    <row r="27" spans="2:12" ht="16.2" x14ac:dyDescent="0.3">
      <c r="B27" s="513" t="s">
        <v>174</v>
      </c>
      <c r="C27" s="514" t="s">
        <v>231</v>
      </c>
      <c r="D27" s="515">
        <v>10.528854501216541</v>
      </c>
      <c r="E27" s="516">
        <v>0.48846364963503652</v>
      </c>
      <c r="F27" s="517">
        <v>0</v>
      </c>
      <c r="G27" s="518">
        <f t="shared" si="1"/>
        <v>11.017318150851578</v>
      </c>
      <c r="H27" s="622"/>
      <c r="I27" s="622"/>
      <c r="J27" s="622"/>
      <c r="K27" s="622"/>
      <c r="L27" s="506"/>
    </row>
    <row r="28" spans="2:12" ht="16.2" x14ac:dyDescent="0.3">
      <c r="B28" s="513" t="s">
        <v>53</v>
      </c>
      <c r="C28" s="514" t="s">
        <v>231</v>
      </c>
      <c r="D28" s="515">
        <v>1.5010794160583918</v>
      </c>
      <c r="E28" s="516">
        <v>0.12004486618004867</v>
      </c>
      <c r="F28" s="517">
        <v>0</v>
      </c>
      <c r="G28" s="518">
        <f t="shared" si="1"/>
        <v>1.6211242822384404</v>
      </c>
      <c r="H28" s="622"/>
      <c r="I28" s="622"/>
      <c r="J28" s="622"/>
      <c r="K28" s="622"/>
      <c r="L28" s="506"/>
    </row>
    <row r="29" spans="2:12" ht="16.2" x14ac:dyDescent="0.3">
      <c r="B29" s="513" t="s">
        <v>175</v>
      </c>
      <c r="C29" s="514" t="s">
        <v>231</v>
      </c>
      <c r="D29" s="515">
        <v>1.9043081265206816</v>
      </c>
      <c r="E29" s="516">
        <v>0.15229177615571776</v>
      </c>
      <c r="F29" s="517">
        <v>0</v>
      </c>
      <c r="G29" s="518">
        <f t="shared" si="1"/>
        <v>2.0565999026763992</v>
      </c>
      <c r="H29" s="622"/>
      <c r="I29" s="622"/>
      <c r="J29" s="622"/>
      <c r="K29" s="622"/>
      <c r="L29" s="506"/>
    </row>
    <row r="30" spans="2:12" ht="16.2" x14ac:dyDescent="0.3">
      <c r="B30" s="513" t="s">
        <v>176</v>
      </c>
      <c r="C30" s="514" t="s">
        <v>231</v>
      </c>
      <c r="D30" s="515">
        <v>0.17753352798053521</v>
      </c>
      <c r="E30" s="516">
        <v>1.4198248175182481E-2</v>
      </c>
      <c r="F30" s="517">
        <v>0</v>
      </c>
      <c r="G30" s="518">
        <f t="shared" si="1"/>
        <v>0.19173177615571768</v>
      </c>
      <c r="H30" s="622"/>
      <c r="I30" s="622"/>
      <c r="J30" s="622"/>
      <c r="K30" s="622"/>
      <c r="L30" s="506"/>
    </row>
    <row r="31" spans="2:12" ht="16.2" x14ac:dyDescent="0.3">
      <c r="B31" s="513" t="s">
        <v>298</v>
      </c>
      <c r="C31" s="514" t="s">
        <v>231</v>
      </c>
      <c r="D31" s="515">
        <v>42.044727980535249</v>
      </c>
      <c r="E31" s="516">
        <v>6.3338895377128956</v>
      </c>
      <c r="F31" s="517">
        <v>0</v>
      </c>
      <c r="G31" s="518">
        <f t="shared" si="1"/>
        <v>48.378617518248149</v>
      </c>
      <c r="H31" s="622"/>
      <c r="I31" s="622"/>
      <c r="J31" s="622"/>
      <c r="K31" s="622"/>
      <c r="L31" s="506"/>
    </row>
    <row r="32" spans="2:12" ht="16.2" x14ac:dyDescent="0.3">
      <c r="B32" s="507"/>
      <c r="C32" s="514"/>
      <c r="D32" s="515"/>
      <c r="E32" s="516"/>
      <c r="F32" s="519"/>
      <c r="G32" s="518"/>
      <c r="H32" s="622"/>
      <c r="I32" s="622"/>
      <c r="J32" s="622"/>
      <c r="K32" s="622"/>
      <c r="L32" s="506"/>
    </row>
    <row r="33" spans="1:12" ht="16.2" x14ac:dyDescent="0.3">
      <c r="B33" s="499" t="s">
        <v>177</v>
      </c>
      <c r="C33" s="500"/>
      <c r="D33" s="501">
        <f t="shared" ref="D33:F33" si="2">SUM(D35:D58)</f>
        <v>47916.290940558196</v>
      </c>
      <c r="E33" s="502">
        <f t="shared" si="2"/>
        <v>1410.3156627665758</v>
      </c>
      <c r="F33" s="503">
        <f t="shared" si="2"/>
        <v>6733.5622133108354</v>
      </c>
      <c r="G33" s="504">
        <f>SUM(G35:G58)</f>
        <v>56060.168816635618</v>
      </c>
      <c r="H33" s="622"/>
      <c r="I33" s="622"/>
      <c r="J33" s="622"/>
      <c r="K33" s="622"/>
      <c r="L33" s="506"/>
    </row>
    <row r="34" spans="1:12" s="238" customFormat="1" ht="16.2" x14ac:dyDescent="0.3">
      <c r="A34" s="224"/>
      <c r="B34" s="507"/>
      <c r="C34" s="508"/>
      <c r="D34" s="515"/>
      <c r="E34" s="516"/>
      <c r="F34" s="519"/>
      <c r="G34" s="518"/>
      <c r="H34" s="622"/>
      <c r="I34" s="622"/>
      <c r="J34" s="622"/>
      <c r="K34" s="622"/>
      <c r="L34" s="506"/>
    </row>
    <row r="35" spans="1:12" ht="16.2" x14ac:dyDescent="0.3">
      <c r="B35" s="513" t="s">
        <v>403</v>
      </c>
      <c r="C35" s="514" t="s">
        <v>232</v>
      </c>
      <c r="D35" s="515">
        <v>4968.0901739651717</v>
      </c>
      <c r="E35" s="516">
        <v>0</v>
      </c>
      <c r="F35" s="517">
        <v>0</v>
      </c>
      <c r="G35" s="518">
        <f t="shared" ref="G35:G58" si="3">SUM(D35:F35)</f>
        <v>4968.0901739651717</v>
      </c>
      <c r="H35" s="622"/>
      <c r="I35" s="622"/>
      <c r="J35" s="622"/>
      <c r="K35" s="622"/>
      <c r="L35" s="506"/>
    </row>
    <row r="36" spans="1:12" ht="16.2" x14ac:dyDescent="0.3">
      <c r="B36" s="513" t="s">
        <v>404</v>
      </c>
      <c r="C36" s="514" t="s">
        <v>232</v>
      </c>
      <c r="D36" s="515">
        <v>1840.611788925168</v>
      </c>
      <c r="E36" s="516">
        <v>0</v>
      </c>
      <c r="F36" s="517">
        <v>0</v>
      </c>
      <c r="G36" s="518">
        <f t="shared" si="3"/>
        <v>1840.611788925168</v>
      </c>
      <c r="H36" s="622"/>
      <c r="I36" s="622"/>
      <c r="J36" s="622"/>
      <c r="K36" s="622"/>
      <c r="L36" s="506"/>
    </row>
    <row r="37" spans="1:12" ht="16.2" x14ac:dyDescent="0.3">
      <c r="B37" s="513" t="s">
        <v>405</v>
      </c>
      <c r="C37" s="514" t="s">
        <v>232</v>
      </c>
      <c r="D37" s="515">
        <v>1864.148729728571</v>
      </c>
      <c r="E37" s="516">
        <v>0</v>
      </c>
      <c r="F37" s="517">
        <v>0</v>
      </c>
      <c r="G37" s="518">
        <f t="shared" si="3"/>
        <v>1864.148729728571</v>
      </c>
      <c r="H37" s="622"/>
      <c r="I37" s="622"/>
      <c r="J37" s="622"/>
      <c r="K37" s="622"/>
      <c r="L37" s="506"/>
    </row>
    <row r="38" spans="1:12" ht="16.2" x14ac:dyDescent="0.3">
      <c r="B38" s="513" t="s">
        <v>406</v>
      </c>
      <c r="C38" s="514" t="s">
        <v>232</v>
      </c>
      <c r="D38" s="515">
        <v>415.79684833387125</v>
      </c>
      <c r="E38" s="516">
        <v>0</v>
      </c>
      <c r="F38" s="517">
        <v>0</v>
      </c>
      <c r="G38" s="518">
        <f t="shared" si="3"/>
        <v>415.79684833387125</v>
      </c>
      <c r="H38" s="622"/>
      <c r="I38" s="622"/>
      <c r="J38" s="622"/>
      <c r="K38" s="622"/>
      <c r="L38" s="506"/>
    </row>
    <row r="39" spans="1:12" ht="16.2" x14ac:dyDescent="0.3">
      <c r="B39" s="513" t="s">
        <v>407</v>
      </c>
      <c r="C39" s="514" t="s">
        <v>232</v>
      </c>
      <c r="D39" s="515">
        <v>454.66003118421025</v>
      </c>
      <c r="E39" s="516">
        <v>0</v>
      </c>
      <c r="F39" s="517">
        <v>0</v>
      </c>
      <c r="G39" s="518">
        <f t="shared" si="3"/>
        <v>454.66003118421025</v>
      </c>
      <c r="H39" s="622"/>
      <c r="I39" s="622"/>
      <c r="J39" s="622"/>
      <c r="K39" s="622"/>
      <c r="L39" s="506"/>
    </row>
    <row r="40" spans="1:12" ht="16.2" x14ac:dyDescent="0.3">
      <c r="B40" s="513" t="s">
        <v>408</v>
      </c>
      <c r="C40" s="514" t="s">
        <v>232</v>
      </c>
      <c r="D40" s="515">
        <v>3800.162340666061</v>
      </c>
      <c r="E40" s="516">
        <v>29.157148721828396</v>
      </c>
      <c r="F40" s="517">
        <v>1010.4381090966009</v>
      </c>
      <c r="G40" s="518">
        <f t="shared" si="3"/>
        <v>4839.7575984844907</v>
      </c>
      <c r="H40" s="622"/>
      <c r="I40" s="622"/>
      <c r="J40" s="622"/>
      <c r="K40" s="622"/>
      <c r="L40" s="506"/>
    </row>
    <row r="41" spans="1:12" ht="16.2" x14ac:dyDescent="0.3">
      <c r="B41" s="513" t="s">
        <v>409</v>
      </c>
      <c r="C41" s="514" t="s">
        <v>232</v>
      </c>
      <c r="D41" s="515">
        <v>3.3838553642332303</v>
      </c>
      <c r="E41" s="516">
        <v>0.98738340708180927</v>
      </c>
      <c r="F41" s="517">
        <v>0</v>
      </c>
      <c r="G41" s="518">
        <f t="shared" si="3"/>
        <v>4.3712387713150394</v>
      </c>
      <c r="H41" s="622"/>
      <c r="I41" s="622"/>
      <c r="J41" s="622"/>
      <c r="K41" s="622"/>
      <c r="L41" s="506"/>
    </row>
    <row r="42" spans="1:12" ht="16.2" x14ac:dyDescent="0.3">
      <c r="B42" s="513" t="s">
        <v>410</v>
      </c>
      <c r="C42" s="514" t="s">
        <v>232</v>
      </c>
      <c r="D42" s="515">
        <v>1200.9179485212321</v>
      </c>
      <c r="E42" s="516">
        <v>20.886498935896284</v>
      </c>
      <c r="F42" s="517">
        <v>276.17617731902754</v>
      </c>
      <c r="G42" s="518">
        <f t="shared" si="3"/>
        <v>1497.980624776156</v>
      </c>
      <c r="H42" s="622"/>
      <c r="I42" s="622"/>
      <c r="J42" s="622"/>
      <c r="K42" s="622"/>
      <c r="L42" s="506"/>
    </row>
    <row r="43" spans="1:12" ht="16.2" x14ac:dyDescent="0.3">
      <c r="B43" s="513" t="s">
        <v>411</v>
      </c>
      <c r="C43" s="514" t="s">
        <v>232</v>
      </c>
      <c r="D43" s="515">
        <v>6821.9168774571863</v>
      </c>
      <c r="E43" s="516">
        <v>364.67604721060343</v>
      </c>
      <c r="F43" s="517">
        <v>1236.4716761389691</v>
      </c>
      <c r="G43" s="518">
        <f t="shared" si="3"/>
        <v>8423.0646008067597</v>
      </c>
      <c r="H43" s="622"/>
      <c r="I43" s="622"/>
      <c r="J43" s="622"/>
      <c r="K43" s="622"/>
      <c r="L43" s="506"/>
    </row>
    <row r="44" spans="1:12" ht="16.2" x14ac:dyDescent="0.3">
      <c r="B44" s="513" t="s">
        <v>412</v>
      </c>
      <c r="C44" s="514" t="s">
        <v>232</v>
      </c>
      <c r="D44" s="515">
        <v>2500.2668032574188</v>
      </c>
      <c r="E44" s="516">
        <v>253.2648190360573</v>
      </c>
      <c r="F44" s="517">
        <v>265.86170341303892</v>
      </c>
      <c r="G44" s="518">
        <f t="shared" si="3"/>
        <v>3019.393325706515</v>
      </c>
      <c r="H44" s="622"/>
      <c r="I44" s="622"/>
      <c r="J44" s="622"/>
      <c r="K44" s="622"/>
      <c r="L44" s="506"/>
    </row>
    <row r="45" spans="1:12" ht="16.2" x14ac:dyDescent="0.3">
      <c r="B45" s="513" t="s">
        <v>413</v>
      </c>
      <c r="C45" s="514" t="s">
        <v>232</v>
      </c>
      <c r="D45" s="515">
        <v>4327.4731350210113</v>
      </c>
      <c r="E45" s="516">
        <v>125.11924256242474</v>
      </c>
      <c r="F45" s="517">
        <v>357.9117633878476</v>
      </c>
      <c r="G45" s="518">
        <f t="shared" si="3"/>
        <v>4810.504140971284</v>
      </c>
      <c r="H45" s="622"/>
      <c r="I45" s="622"/>
      <c r="J45" s="622"/>
      <c r="K45" s="622"/>
      <c r="L45" s="506"/>
    </row>
    <row r="46" spans="1:12" ht="16.2" x14ac:dyDescent="0.3">
      <c r="B46" s="513" t="s">
        <v>414</v>
      </c>
      <c r="C46" s="514" t="s">
        <v>232</v>
      </c>
      <c r="D46" s="515">
        <v>122.26251373617076</v>
      </c>
      <c r="E46" s="516">
        <v>12.136731925856894</v>
      </c>
      <c r="F46" s="517">
        <v>0.76074452991395136</v>
      </c>
      <c r="G46" s="518">
        <f t="shared" si="3"/>
        <v>135.1599901919416</v>
      </c>
      <c r="H46" s="622"/>
      <c r="I46" s="622"/>
      <c r="J46" s="622"/>
      <c r="K46" s="622"/>
      <c r="L46" s="506"/>
    </row>
    <row r="47" spans="1:12" ht="16.2" x14ac:dyDescent="0.3">
      <c r="B47" s="513" t="s">
        <v>415</v>
      </c>
      <c r="C47" s="514" t="s">
        <v>232</v>
      </c>
      <c r="D47" s="515">
        <v>1933.2345156406191</v>
      </c>
      <c r="E47" s="516">
        <v>128.65236351390374</v>
      </c>
      <c r="F47" s="517">
        <v>343.6142759453669</v>
      </c>
      <c r="G47" s="518">
        <f t="shared" si="3"/>
        <v>2405.5011550998897</v>
      </c>
      <c r="H47" s="622"/>
      <c r="I47" s="622"/>
      <c r="J47" s="622"/>
      <c r="K47" s="622"/>
      <c r="L47" s="506"/>
    </row>
    <row r="48" spans="1:12" ht="16.2" x14ac:dyDescent="0.3">
      <c r="B48" s="513" t="s">
        <v>416</v>
      </c>
      <c r="C48" s="514" t="s">
        <v>232</v>
      </c>
      <c r="D48" s="515">
        <v>259.69834955348517</v>
      </c>
      <c r="E48" s="516">
        <v>10.620673588635348</v>
      </c>
      <c r="F48" s="517">
        <v>32.77970278808435</v>
      </c>
      <c r="G48" s="518">
        <f t="shared" si="3"/>
        <v>303.09872593020486</v>
      </c>
      <c r="H48" s="622"/>
      <c r="I48" s="622"/>
      <c r="J48" s="622"/>
      <c r="K48" s="622"/>
      <c r="L48" s="506"/>
    </row>
    <row r="49" spans="1:12" ht="16.2" x14ac:dyDescent="0.3">
      <c r="B49" s="513" t="s">
        <v>417</v>
      </c>
      <c r="C49" s="514" t="s">
        <v>232</v>
      </c>
      <c r="D49" s="515">
        <v>21.401954391024123</v>
      </c>
      <c r="E49" s="516">
        <v>28.462853221443929</v>
      </c>
      <c r="F49" s="517">
        <v>51.049624599482307</v>
      </c>
      <c r="G49" s="518">
        <f t="shared" si="3"/>
        <v>100.91443221195036</v>
      </c>
      <c r="H49" s="622"/>
      <c r="I49" s="622"/>
      <c r="J49" s="622"/>
      <c r="K49" s="622"/>
      <c r="L49" s="506"/>
    </row>
    <row r="50" spans="1:12" ht="16.2" x14ac:dyDescent="0.3">
      <c r="B50" s="513" t="s">
        <v>418</v>
      </c>
      <c r="C50" s="514" t="s">
        <v>232</v>
      </c>
      <c r="D50" s="515">
        <v>2462.5248379301088</v>
      </c>
      <c r="E50" s="516">
        <v>182.64543907133782</v>
      </c>
      <c r="F50" s="517">
        <v>438.35647622462642</v>
      </c>
      <c r="G50" s="518">
        <f t="shared" si="3"/>
        <v>3083.5267532260732</v>
      </c>
      <c r="H50" s="622"/>
      <c r="I50" s="622"/>
      <c r="J50" s="622"/>
      <c r="K50" s="622"/>
      <c r="L50" s="506"/>
    </row>
    <row r="51" spans="1:12" ht="16.2" x14ac:dyDescent="0.3">
      <c r="B51" s="513" t="s">
        <v>419</v>
      </c>
      <c r="C51" s="514" t="s">
        <v>232</v>
      </c>
      <c r="D51" s="515">
        <v>4291.2680375383879</v>
      </c>
      <c r="E51" s="516">
        <v>136.85691844504029</v>
      </c>
      <c r="F51" s="517">
        <v>1011.9179010056412</v>
      </c>
      <c r="G51" s="518">
        <f t="shared" si="3"/>
        <v>5440.0428569890701</v>
      </c>
      <c r="H51" s="622"/>
      <c r="I51" s="622"/>
      <c r="J51" s="622"/>
      <c r="K51" s="622"/>
      <c r="L51" s="506"/>
    </row>
    <row r="52" spans="1:12" ht="16.2" x14ac:dyDescent="0.3">
      <c r="B52" s="513" t="s">
        <v>420</v>
      </c>
      <c r="C52" s="514" t="s">
        <v>232</v>
      </c>
      <c r="D52" s="515">
        <v>5456.716729885019</v>
      </c>
      <c r="E52" s="516">
        <v>41.180327193001695</v>
      </c>
      <c r="F52" s="517">
        <v>426.65930499559437</v>
      </c>
      <c r="G52" s="518">
        <f t="shared" si="3"/>
        <v>5924.5563620736157</v>
      </c>
      <c r="H52" s="622"/>
      <c r="I52" s="622"/>
      <c r="J52" s="622"/>
      <c r="K52" s="622"/>
      <c r="L52" s="506"/>
    </row>
    <row r="53" spans="1:12" ht="16.2" x14ac:dyDescent="0.3">
      <c r="B53" s="513" t="s">
        <v>421</v>
      </c>
      <c r="C53" s="514" t="s">
        <v>232</v>
      </c>
      <c r="D53" s="515">
        <v>226.329413118579</v>
      </c>
      <c r="E53" s="516">
        <v>5.0976435195736718</v>
      </c>
      <c r="F53" s="517">
        <v>49.079041431901267</v>
      </c>
      <c r="G53" s="518">
        <f t="shared" si="3"/>
        <v>280.50609807005395</v>
      </c>
      <c r="H53" s="622"/>
      <c r="I53" s="622"/>
      <c r="J53" s="622"/>
      <c r="K53" s="622"/>
      <c r="L53" s="506"/>
    </row>
    <row r="54" spans="1:12" ht="16.2" x14ac:dyDescent="0.3">
      <c r="B54" s="513" t="s">
        <v>422</v>
      </c>
      <c r="C54" s="514" t="s">
        <v>232</v>
      </c>
      <c r="D54" s="515">
        <v>1195.7257511927246</v>
      </c>
      <c r="E54" s="516">
        <v>59.531242468996169</v>
      </c>
      <c r="F54" s="517">
        <v>197.50208456732301</v>
      </c>
      <c r="G54" s="518">
        <f t="shared" si="3"/>
        <v>1452.7590782290438</v>
      </c>
      <c r="H54" s="622"/>
      <c r="I54" s="622"/>
      <c r="J54" s="622"/>
      <c r="K54" s="622"/>
      <c r="L54" s="506"/>
    </row>
    <row r="55" spans="1:12" ht="16.2" x14ac:dyDescent="0.3">
      <c r="B55" s="513" t="s">
        <v>423</v>
      </c>
      <c r="C55" s="514" t="s">
        <v>232</v>
      </c>
      <c r="D55" s="515">
        <v>176.25321638878424</v>
      </c>
      <c r="E55" s="516">
        <v>1.2337733493007847</v>
      </c>
      <c r="F55" s="517">
        <v>49.34124287837254</v>
      </c>
      <c r="G55" s="518">
        <f t="shared" si="3"/>
        <v>226.82823261645757</v>
      </c>
      <c r="H55" s="622"/>
      <c r="I55" s="622"/>
      <c r="J55" s="622"/>
      <c r="K55" s="622"/>
      <c r="L55" s="506"/>
    </row>
    <row r="56" spans="1:12" ht="16.2" x14ac:dyDescent="0.3">
      <c r="B56" s="513" t="s">
        <v>424</v>
      </c>
      <c r="C56" s="514" t="s">
        <v>232</v>
      </c>
      <c r="D56" s="515">
        <v>526.50672912534537</v>
      </c>
      <c r="E56" s="516">
        <v>7.3786110100772291</v>
      </c>
      <c r="F56" s="517">
        <v>133.40093783427926</v>
      </c>
      <c r="G56" s="518">
        <f t="shared" si="3"/>
        <v>667.28627796970181</v>
      </c>
      <c r="H56" s="622"/>
      <c r="I56" s="622"/>
      <c r="J56" s="622"/>
      <c r="K56" s="622"/>
      <c r="L56" s="506"/>
    </row>
    <row r="57" spans="1:12" ht="16.2" x14ac:dyDescent="0.3">
      <c r="B57" s="513" t="s">
        <v>425</v>
      </c>
      <c r="C57" s="514" t="s">
        <v>232</v>
      </c>
      <c r="D57" s="515">
        <v>2994.2897393719086</v>
      </c>
      <c r="E57" s="1236">
        <v>0</v>
      </c>
      <c r="F57" s="517">
        <v>839.39922360392507</v>
      </c>
      <c r="G57" s="518">
        <f t="shared" si="3"/>
        <v>3833.6889629758334</v>
      </c>
      <c r="H57" s="622"/>
      <c r="I57" s="622"/>
      <c r="J57" s="622"/>
      <c r="K57" s="622"/>
      <c r="L57" s="506"/>
    </row>
    <row r="58" spans="1:12" ht="16.2" x14ac:dyDescent="0.3">
      <c r="B58" s="513" t="s">
        <v>426</v>
      </c>
      <c r="C58" s="514" t="s">
        <v>232</v>
      </c>
      <c r="D58" s="515">
        <v>52.650620261914277</v>
      </c>
      <c r="E58" s="516">
        <v>2.4279455855164143</v>
      </c>
      <c r="F58" s="517">
        <v>12.842223550840419</v>
      </c>
      <c r="G58" s="518">
        <f t="shared" si="3"/>
        <v>67.920789398271111</v>
      </c>
      <c r="H58" s="622"/>
      <c r="I58" s="622"/>
      <c r="J58" s="622"/>
      <c r="K58" s="622"/>
      <c r="L58" s="506"/>
    </row>
    <row r="59" spans="1:12" ht="16.2" x14ac:dyDescent="0.3">
      <c r="B59" s="513"/>
      <c r="C59" s="514"/>
      <c r="D59" s="520"/>
      <c r="E59" s="521"/>
      <c r="F59" s="522"/>
      <c r="G59" s="523"/>
      <c r="H59" s="622"/>
      <c r="I59" s="622"/>
      <c r="J59" s="622"/>
      <c r="K59" s="622"/>
      <c r="L59" s="506"/>
    </row>
    <row r="60" spans="1:12" ht="16.2" x14ac:dyDescent="0.3">
      <c r="B60" s="524" t="s">
        <v>178</v>
      </c>
      <c r="C60" s="525"/>
      <c r="D60" s="520">
        <f t="shared" ref="D60:F60" si="4">SUM(D62:D81,D102:D176)</f>
        <v>1010833.6883351363</v>
      </c>
      <c r="E60" s="521">
        <f t="shared" si="4"/>
        <v>864247.21265144832</v>
      </c>
      <c r="F60" s="522">
        <f t="shared" si="4"/>
        <v>507854.4732746057</v>
      </c>
      <c r="G60" s="523">
        <f>SUM(G62:G81,G102:G176)</f>
        <v>2382935.3742611902</v>
      </c>
      <c r="H60" s="622"/>
      <c r="I60" s="622"/>
      <c r="J60" s="622"/>
      <c r="K60" s="622"/>
      <c r="L60" s="506"/>
    </row>
    <row r="61" spans="1:12" s="238" customFormat="1" ht="16.2" x14ac:dyDescent="0.3">
      <c r="A61" s="224"/>
      <c r="B61" s="507"/>
      <c r="C61" s="514"/>
      <c r="D61" s="515"/>
      <c r="E61" s="516"/>
      <c r="F61" s="519"/>
      <c r="G61" s="518"/>
      <c r="H61" s="622"/>
      <c r="I61" s="622"/>
      <c r="J61" s="622"/>
      <c r="K61" s="622"/>
      <c r="L61" s="506"/>
    </row>
    <row r="62" spans="1:12" ht="16.2" x14ac:dyDescent="0.3">
      <c r="B62" s="513" t="s">
        <v>179</v>
      </c>
      <c r="C62" s="514" t="s">
        <v>28</v>
      </c>
      <c r="D62" s="515">
        <v>8216.3999122999339</v>
      </c>
      <c r="E62" s="516">
        <v>1150.2959877219907</v>
      </c>
      <c r="F62" s="517">
        <v>7127.0422275816709</v>
      </c>
      <c r="G62" s="518">
        <f t="shared" ref="G62:G81" si="5">SUM(D62:F62)</f>
        <v>16493.738127603596</v>
      </c>
      <c r="H62" s="622"/>
      <c r="I62" s="622"/>
      <c r="J62" s="622"/>
      <c r="K62" s="622"/>
      <c r="L62" s="506"/>
    </row>
    <row r="63" spans="1:12" ht="16.2" x14ac:dyDescent="0.3">
      <c r="B63" s="513" t="s">
        <v>427</v>
      </c>
      <c r="C63" s="514" t="s">
        <v>180</v>
      </c>
      <c r="D63" s="515">
        <v>284.79370239854495</v>
      </c>
      <c r="E63" s="516">
        <v>92.071827410983076</v>
      </c>
      <c r="F63" s="517">
        <v>32.663934780673152</v>
      </c>
      <c r="G63" s="518">
        <f t="shared" si="5"/>
        <v>409.5294645902012</v>
      </c>
      <c r="H63" s="622"/>
      <c r="I63" s="622"/>
      <c r="J63" s="622"/>
      <c r="K63" s="622"/>
      <c r="L63" s="506"/>
    </row>
    <row r="64" spans="1:12" ht="16.2" x14ac:dyDescent="0.3">
      <c r="B64" s="513" t="s">
        <v>181</v>
      </c>
      <c r="C64" s="514" t="s">
        <v>180</v>
      </c>
      <c r="D64" s="515">
        <v>3818.5604876662496</v>
      </c>
      <c r="E64" s="516">
        <v>2913.9435029034717</v>
      </c>
      <c r="F64" s="517">
        <v>1086.8535648519919</v>
      </c>
      <c r="G64" s="518">
        <f t="shared" si="5"/>
        <v>7819.3575554217132</v>
      </c>
      <c r="H64" s="622"/>
      <c r="I64" s="622"/>
      <c r="J64" s="622"/>
      <c r="K64" s="622"/>
      <c r="L64" s="506"/>
    </row>
    <row r="65" spans="2:12" ht="16.2" x14ac:dyDescent="0.3">
      <c r="B65" s="513" t="s">
        <v>182</v>
      </c>
      <c r="C65" s="514" t="s">
        <v>180</v>
      </c>
      <c r="D65" s="515">
        <v>4262.1291349323637</v>
      </c>
      <c r="E65" s="516">
        <v>745.87260121821794</v>
      </c>
      <c r="F65" s="517">
        <v>4928.9747558353229</v>
      </c>
      <c r="G65" s="518">
        <f t="shared" si="5"/>
        <v>9936.9764919859044</v>
      </c>
      <c r="H65" s="622"/>
      <c r="I65" s="622"/>
      <c r="J65" s="622"/>
      <c r="K65" s="622"/>
      <c r="L65" s="506"/>
    </row>
    <row r="66" spans="2:12" ht="16.2" x14ac:dyDescent="0.3">
      <c r="B66" s="513" t="s">
        <v>136</v>
      </c>
      <c r="C66" s="514" t="s">
        <v>180</v>
      </c>
      <c r="D66" s="515">
        <v>27172.225451858587</v>
      </c>
      <c r="E66" s="516">
        <v>5706.16732745635</v>
      </c>
      <c r="F66" s="517">
        <v>23004.307984895164</v>
      </c>
      <c r="G66" s="518">
        <f t="shared" si="5"/>
        <v>55882.700764210094</v>
      </c>
      <c r="H66" s="622"/>
      <c r="I66" s="622"/>
      <c r="J66" s="622"/>
      <c r="K66" s="622"/>
      <c r="L66" s="506"/>
    </row>
    <row r="67" spans="2:12" ht="16.2" x14ac:dyDescent="0.3">
      <c r="B67" s="513" t="s">
        <v>137</v>
      </c>
      <c r="C67" s="514" t="s">
        <v>180</v>
      </c>
      <c r="D67" s="515">
        <v>922.57643514834604</v>
      </c>
      <c r="E67" s="516">
        <v>590.44892373502876</v>
      </c>
      <c r="F67" s="517">
        <v>478.30462810170377</v>
      </c>
      <c r="G67" s="518">
        <f t="shared" si="5"/>
        <v>1991.3299869850784</v>
      </c>
      <c r="H67" s="622"/>
      <c r="I67" s="622"/>
      <c r="J67" s="622"/>
      <c r="K67" s="622"/>
      <c r="L67" s="506"/>
    </row>
    <row r="68" spans="2:12" ht="16.2" x14ac:dyDescent="0.3">
      <c r="B68" s="513" t="s">
        <v>138</v>
      </c>
      <c r="C68" s="514" t="s">
        <v>180</v>
      </c>
      <c r="D68" s="515">
        <v>2632.121893827441</v>
      </c>
      <c r="E68" s="516">
        <v>1473.988265105454</v>
      </c>
      <c r="F68" s="517">
        <v>1717.3133079859422</v>
      </c>
      <c r="G68" s="518">
        <f t="shared" si="5"/>
        <v>5823.4234669188372</v>
      </c>
      <c r="H68" s="622"/>
      <c r="I68" s="622"/>
      <c r="J68" s="622"/>
      <c r="K68" s="622"/>
      <c r="L68" s="506"/>
    </row>
    <row r="69" spans="2:12" ht="16.2" x14ac:dyDescent="0.3">
      <c r="B69" s="513" t="s">
        <v>428</v>
      </c>
      <c r="C69" s="514" t="s">
        <v>180</v>
      </c>
      <c r="D69" s="515">
        <v>1344.5424349209957</v>
      </c>
      <c r="E69" s="516">
        <v>1035.2976715058574</v>
      </c>
      <c r="F69" s="517">
        <v>701.51501534792737</v>
      </c>
      <c r="G69" s="518">
        <f t="shared" si="5"/>
        <v>3081.3551217747799</v>
      </c>
      <c r="H69" s="622"/>
      <c r="I69" s="622"/>
      <c r="J69" s="622"/>
      <c r="K69" s="622"/>
      <c r="L69" s="506"/>
    </row>
    <row r="70" spans="2:12" ht="16.2" x14ac:dyDescent="0.3">
      <c r="B70" s="513" t="s">
        <v>139</v>
      </c>
      <c r="C70" s="514" t="s">
        <v>180</v>
      </c>
      <c r="D70" s="515">
        <v>303.97368421052636</v>
      </c>
      <c r="E70" s="516">
        <v>95.751710041420239</v>
      </c>
      <c r="F70" s="517">
        <v>256.86726233552639</v>
      </c>
      <c r="G70" s="518">
        <f t="shared" si="5"/>
        <v>656.5926565874729</v>
      </c>
      <c r="H70" s="622"/>
      <c r="I70" s="622"/>
      <c r="J70" s="622"/>
      <c r="K70" s="622"/>
      <c r="L70" s="506"/>
    </row>
    <row r="71" spans="2:12" ht="16.2" x14ac:dyDescent="0.3">
      <c r="B71" s="513" t="s">
        <v>140</v>
      </c>
      <c r="C71" s="514" t="s">
        <v>180</v>
      </c>
      <c r="D71" s="515">
        <v>173.2010571785836</v>
      </c>
      <c r="E71" s="516">
        <v>109.11666386125773</v>
      </c>
      <c r="F71" s="517">
        <v>115.74160853547876</v>
      </c>
      <c r="G71" s="518">
        <f t="shared" si="5"/>
        <v>398.05932957532008</v>
      </c>
      <c r="H71" s="622"/>
      <c r="I71" s="622"/>
      <c r="J71" s="622"/>
      <c r="K71" s="622"/>
      <c r="L71" s="506"/>
    </row>
    <row r="72" spans="2:12" ht="16.2" x14ac:dyDescent="0.3">
      <c r="B72" s="513" t="s">
        <v>142</v>
      </c>
      <c r="C72" s="514" t="s">
        <v>180</v>
      </c>
      <c r="D72" s="515">
        <v>1979.6521541434579</v>
      </c>
      <c r="E72" s="516">
        <v>356.33738206206675</v>
      </c>
      <c r="F72" s="517">
        <v>2288.972804109047</v>
      </c>
      <c r="G72" s="518">
        <f t="shared" si="5"/>
        <v>4624.9623403145715</v>
      </c>
      <c r="H72" s="622"/>
      <c r="I72" s="622"/>
      <c r="J72" s="622"/>
      <c r="K72" s="622"/>
      <c r="L72" s="506"/>
    </row>
    <row r="73" spans="2:12" ht="16.2" x14ac:dyDescent="0.3">
      <c r="B73" s="513" t="s">
        <v>183</v>
      </c>
      <c r="C73" s="514" t="s">
        <v>180</v>
      </c>
      <c r="D73" s="515">
        <v>929.86245310901438</v>
      </c>
      <c r="E73" s="516">
        <v>557.91747186540863</v>
      </c>
      <c r="F73" s="517">
        <v>802.00636580652485</v>
      </c>
      <c r="G73" s="518">
        <f t="shared" si="5"/>
        <v>2289.7862907809476</v>
      </c>
      <c r="H73" s="622"/>
      <c r="I73" s="622"/>
      <c r="J73" s="622"/>
      <c r="K73" s="622"/>
      <c r="L73" s="506"/>
    </row>
    <row r="74" spans="2:12" ht="16.2" x14ac:dyDescent="0.3">
      <c r="B74" s="513" t="s">
        <v>184</v>
      </c>
      <c r="C74" s="514" t="s">
        <v>180</v>
      </c>
      <c r="D74" s="515">
        <v>1402.7335682619075</v>
      </c>
      <c r="E74" s="516">
        <v>294.57403819954516</v>
      </c>
      <c r="F74" s="517">
        <v>1187.5698176604071</v>
      </c>
      <c r="G74" s="518">
        <f t="shared" si="5"/>
        <v>2884.8774241218598</v>
      </c>
      <c r="H74" s="622"/>
      <c r="I74" s="622"/>
      <c r="J74" s="622"/>
      <c r="K74" s="622"/>
      <c r="L74" s="506"/>
    </row>
    <row r="75" spans="2:12" ht="16.2" x14ac:dyDescent="0.3">
      <c r="B75" s="513" t="s">
        <v>185</v>
      </c>
      <c r="C75" s="514" t="s">
        <v>180</v>
      </c>
      <c r="D75" s="515">
        <v>2149.5964533363644</v>
      </c>
      <c r="E75" s="516">
        <v>967.318404001364</v>
      </c>
      <c r="F75" s="517">
        <v>1932.4872115493918</v>
      </c>
      <c r="G75" s="518">
        <f t="shared" si="5"/>
        <v>5049.4020688871205</v>
      </c>
      <c r="H75" s="622"/>
      <c r="I75" s="622"/>
      <c r="J75" s="622"/>
      <c r="K75" s="622"/>
      <c r="L75" s="506"/>
    </row>
    <row r="76" spans="2:12" ht="16.2" x14ac:dyDescent="0.3">
      <c r="B76" s="513" t="s">
        <v>186</v>
      </c>
      <c r="C76" s="514" t="s">
        <v>180</v>
      </c>
      <c r="D76" s="515">
        <v>2186.5408662043878</v>
      </c>
      <c r="E76" s="516">
        <v>655.96225986131685</v>
      </c>
      <c r="F76" s="517">
        <v>2487.1902353074906</v>
      </c>
      <c r="G76" s="518">
        <f t="shared" si="5"/>
        <v>5329.6933613731953</v>
      </c>
      <c r="H76" s="622"/>
      <c r="I76" s="622"/>
      <c r="J76" s="622"/>
      <c r="K76" s="622"/>
      <c r="L76" s="506"/>
    </row>
    <row r="77" spans="2:12" ht="16.2" x14ac:dyDescent="0.3">
      <c r="B77" s="513" t="s">
        <v>187</v>
      </c>
      <c r="C77" s="514" t="s">
        <v>180</v>
      </c>
      <c r="D77" s="515">
        <v>8804.1377742412187</v>
      </c>
      <c r="E77" s="516">
        <v>1716.8068716607943</v>
      </c>
      <c r="F77" s="517">
        <v>10648.971476832701</v>
      </c>
      <c r="G77" s="518">
        <f t="shared" si="5"/>
        <v>21169.916122734714</v>
      </c>
      <c r="H77" s="622"/>
      <c r="I77" s="622"/>
      <c r="J77" s="622"/>
      <c r="K77" s="622"/>
      <c r="L77" s="506"/>
    </row>
    <row r="78" spans="2:12" ht="16.2" x14ac:dyDescent="0.3">
      <c r="B78" s="513" t="s">
        <v>188</v>
      </c>
      <c r="C78" s="514" t="s">
        <v>180</v>
      </c>
      <c r="D78" s="515">
        <v>4177.5605319995448</v>
      </c>
      <c r="E78" s="516">
        <v>1671.0242127998181</v>
      </c>
      <c r="F78" s="517">
        <v>4716.6375127884503</v>
      </c>
      <c r="G78" s="518">
        <f t="shared" si="5"/>
        <v>10565.222257587813</v>
      </c>
      <c r="H78" s="622"/>
      <c r="I78" s="622"/>
      <c r="J78" s="622"/>
      <c r="K78" s="622"/>
      <c r="L78" s="506"/>
    </row>
    <row r="79" spans="2:12" ht="16.2" x14ac:dyDescent="0.3">
      <c r="B79" s="513" t="s">
        <v>429</v>
      </c>
      <c r="C79" s="514" t="s">
        <v>180</v>
      </c>
      <c r="D79" s="515">
        <v>571.785836080482</v>
      </c>
      <c r="E79" s="516">
        <v>147.97245601404529</v>
      </c>
      <c r="F79" s="517">
        <v>485.9200742660077</v>
      </c>
      <c r="G79" s="518">
        <f t="shared" si="5"/>
        <v>1205.6783663605349</v>
      </c>
      <c r="H79" s="622"/>
      <c r="I79" s="622"/>
      <c r="J79" s="622"/>
      <c r="K79" s="622"/>
      <c r="L79" s="506"/>
    </row>
    <row r="80" spans="2:12" ht="16.2" x14ac:dyDescent="0.3">
      <c r="B80" s="513" t="s">
        <v>189</v>
      </c>
      <c r="C80" s="514" t="s">
        <v>180</v>
      </c>
      <c r="D80" s="515">
        <v>953.73422757758328</v>
      </c>
      <c r="E80" s="516">
        <v>586.54655248632707</v>
      </c>
      <c r="F80" s="517">
        <v>903.71616092937506</v>
      </c>
      <c r="G80" s="518">
        <f t="shared" si="5"/>
        <v>2443.9969409932855</v>
      </c>
      <c r="H80" s="622"/>
      <c r="I80" s="622"/>
      <c r="J80" s="622"/>
      <c r="K80" s="622"/>
      <c r="L80" s="506"/>
    </row>
    <row r="81" spans="1:12" ht="16.2" x14ac:dyDescent="0.3">
      <c r="B81" s="513" t="s">
        <v>190</v>
      </c>
      <c r="C81" s="514" t="s">
        <v>180</v>
      </c>
      <c r="D81" s="515">
        <v>6758.3653518244855</v>
      </c>
      <c r="E81" s="516">
        <v>1647.35155683528</v>
      </c>
      <c r="F81" s="517">
        <v>6342.6795941786786</v>
      </c>
      <c r="G81" s="518">
        <f t="shared" si="5"/>
        <v>14748.396502838445</v>
      </c>
      <c r="H81" s="622"/>
      <c r="I81" s="622"/>
      <c r="J81" s="622"/>
      <c r="K81" s="622"/>
      <c r="L81" s="506"/>
    </row>
    <row r="82" spans="1:12" ht="16.8" thickBot="1" x14ac:dyDescent="0.35">
      <c r="B82" s="526"/>
      <c r="C82" s="527"/>
      <c r="D82" s="528"/>
      <c r="E82" s="529"/>
      <c r="F82" s="530"/>
      <c r="G82" s="531"/>
      <c r="H82" s="622"/>
      <c r="I82" s="622"/>
      <c r="J82" s="622"/>
      <c r="K82" s="622"/>
      <c r="L82" s="506"/>
    </row>
    <row r="83" spans="1:12" ht="16.8" thickTop="1" x14ac:dyDescent="0.3">
      <c r="B83" s="532"/>
      <c r="C83" s="532"/>
      <c r="D83" s="533"/>
      <c r="E83" s="533"/>
      <c r="F83" s="533"/>
      <c r="G83" s="533"/>
      <c r="H83" s="622"/>
      <c r="I83" s="622"/>
      <c r="J83" s="622"/>
      <c r="K83" s="622"/>
      <c r="L83" s="506"/>
    </row>
    <row r="84" spans="1:12" ht="16.2" x14ac:dyDescent="0.3">
      <c r="B84" s="532"/>
      <c r="C84" s="532"/>
      <c r="D84" s="533"/>
      <c r="E84" s="533"/>
      <c r="F84" s="533"/>
      <c r="G84" s="533"/>
      <c r="H84" s="622"/>
      <c r="I84" s="622"/>
      <c r="J84" s="622"/>
      <c r="K84" s="622"/>
      <c r="L84" s="506"/>
    </row>
    <row r="85" spans="1:12" ht="16.2" x14ac:dyDescent="0.3">
      <c r="B85" s="4" t="s">
        <v>476</v>
      </c>
      <c r="C85" s="534"/>
      <c r="D85" s="59"/>
      <c r="E85" s="59"/>
      <c r="F85" s="59"/>
      <c r="G85" s="59"/>
      <c r="H85" s="622"/>
      <c r="I85" s="622"/>
      <c r="J85" s="622"/>
      <c r="K85" s="622"/>
      <c r="L85" s="506"/>
    </row>
    <row r="86" spans="1:12" ht="16.2" x14ac:dyDescent="0.3">
      <c r="B86" s="61" t="s">
        <v>299</v>
      </c>
      <c r="C86" s="534"/>
      <c r="D86" s="59"/>
      <c r="E86" s="59"/>
      <c r="F86" s="59"/>
      <c r="G86" s="59"/>
      <c r="H86" s="622"/>
      <c r="I86" s="622"/>
      <c r="J86" s="622"/>
      <c r="K86" s="622"/>
      <c r="L86" s="506"/>
    </row>
    <row r="87" spans="1:12" ht="16.2" x14ac:dyDescent="0.3">
      <c r="B87" s="66"/>
      <c r="C87" s="66"/>
      <c r="D87" s="66"/>
      <c r="E87" s="66"/>
      <c r="F87" s="66"/>
      <c r="G87" s="66"/>
      <c r="H87" s="622"/>
      <c r="I87" s="622"/>
      <c r="J87" s="622"/>
      <c r="K87" s="622"/>
      <c r="L87" s="506"/>
    </row>
    <row r="88" spans="1:12" s="227" customFormat="1" ht="16.2" x14ac:dyDescent="0.3">
      <c r="A88" s="224"/>
      <c r="B88" s="66"/>
      <c r="C88" s="66"/>
      <c r="D88" s="66"/>
      <c r="E88" s="66"/>
      <c r="F88" s="66"/>
      <c r="G88" s="66"/>
      <c r="H88" s="622"/>
      <c r="I88" s="622"/>
      <c r="J88" s="622"/>
      <c r="K88" s="622"/>
      <c r="L88" s="506"/>
    </row>
    <row r="89" spans="1:12" s="227" customFormat="1" ht="18" x14ac:dyDescent="0.3">
      <c r="A89" s="224"/>
      <c r="B89" s="1363" t="str">
        <f>+B6</f>
        <v>DEUDA ELEGIBLE PENDIENTE DE REESTRUCTURACIÓN</v>
      </c>
      <c r="C89" s="1363"/>
      <c r="D89" s="1363"/>
      <c r="E89" s="1363"/>
      <c r="F89" s="1363"/>
      <c r="G89" s="1363"/>
      <c r="H89" s="622"/>
      <c r="I89" s="622"/>
      <c r="J89" s="622"/>
      <c r="K89" s="622"/>
      <c r="L89" s="506"/>
    </row>
    <row r="90" spans="1:12" ht="16.2" x14ac:dyDescent="0.3">
      <c r="B90" s="1364" t="str">
        <f>+B7</f>
        <v>DATOS AL 31/12/2021</v>
      </c>
      <c r="C90" s="1364"/>
      <c r="D90" s="1364"/>
      <c r="E90" s="1364"/>
      <c r="F90" s="1364"/>
      <c r="G90" s="1364"/>
      <c r="H90" s="622"/>
      <c r="I90" s="622"/>
      <c r="J90" s="622"/>
      <c r="K90" s="622"/>
      <c r="L90" s="506"/>
    </row>
    <row r="91" spans="1:12" ht="7.5" customHeight="1" x14ac:dyDescent="0.3">
      <c r="B91" s="535"/>
      <c r="C91" s="535"/>
      <c r="D91" s="535"/>
      <c r="E91" s="535"/>
      <c r="F91" s="535"/>
      <c r="G91" s="535"/>
      <c r="H91" s="622"/>
      <c r="I91" s="622"/>
      <c r="J91" s="622"/>
      <c r="K91" s="622"/>
      <c r="L91" s="506"/>
    </row>
    <row r="92" spans="1:12" s="227" customFormat="1" ht="5.25" customHeight="1" x14ac:dyDescent="0.3">
      <c r="A92" s="224"/>
      <c r="B92" s="66"/>
      <c r="C92" s="66"/>
      <c r="D92" s="66"/>
      <c r="E92" s="66"/>
      <c r="F92" s="66"/>
      <c r="G92" s="66"/>
      <c r="H92" s="622"/>
      <c r="I92" s="622"/>
      <c r="J92" s="622"/>
      <c r="K92" s="622"/>
      <c r="L92" s="506"/>
    </row>
    <row r="93" spans="1:12" s="227" customFormat="1" ht="16.8" thickBot="1" x14ac:dyDescent="0.35">
      <c r="A93" s="224"/>
      <c r="B93" s="59"/>
      <c r="C93" s="59"/>
      <c r="D93" s="59"/>
      <c r="E93" s="59"/>
      <c r="F93" s="59"/>
      <c r="G93" s="492" t="s">
        <v>289</v>
      </c>
      <c r="H93" s="622"/>
      <c r="I93" s="622"/>
      <c r="J93" s="622"/>
      <c r="K93" s="622"/>
      <c r="L93" s="506"/>
    </row>
    <row r="94" spans="1:12" ht="16.8" thickTop="1" x14ac:dyDescent="0.3">
      <c r="B94" s="1365" t="s">
        <v>285</v>
      </c>
      <c r="C94" s="1368" t="s">
        <v>168</v>
      </c>
      <c r="D94" s="1371" t="s">
        <v>280</v>
      </c>
      <c r="E94" s="1341" t="s">
        <v>328</v>
      </c>
      <c r="F94" s="1375" t="s">
        <v>519</v>
      </c>
      <c r="G94" s="1378" t="s">
        <v>287</v>
      </c>
      <c r="H94" s="622"/>
      <c r="I94" s="622"/>
      <c r="J94" s="622"/>
      <c r="K94" s="622"/>
      <c r="L94" s="506"/>
    </row>
    <row r="95" spans="1:12" ht="16.2" x14ac:dyDescent="0.3">
      <c r="B95" s="1366"/>
      <c r="C95" s="1369"/>
      <c r="D95" s="1372"/>
      <c r="E95" s="1342"/>
      <c r="F95" s="1376"/>
      <c r="G95" s="1379"/>
      <c r="H95" s="622"/>
      <c r="I95" s="622"/>
      <c r="J95" s="622"/>
      <c r="K95" s="622"/>
      <c r="L95" s="506"/>
    </row>
    <row r="96" spans="1:12" ht="16.2" x14ac:dyDescent="0.3">
      <c r="B96" s="1366"/>
      <c r="C96" s="1369"/>
      <c r="D96" s="1372"/>
      <c r="E96" s="1342"/>
      <c r="F96" s="1376"/>
      <c r="G96" s="1379"/>
      <c r="H96" s="622"/>
      <c r="I96" s="622"/>
      <c r="J96" s="622"/>
      <c r="K96" s="622"/>
      <c r="L96" s="506"/>
    </row>
    <row r="97" spans="1:12" ht="16.2" x14ac:dyDescent="0.3">
      <c r="B97" s="1366"/>
      <c r="C97" s="1369"/>
      <c r="D97" s="1372"/>
      <c r="E97" s="1342"/>
      <c r="F97" s="1376"/>
      <c r="G97" s="1379"/>
      <c r="H97" s="622"/>
      <c r="I97" s="622"/>
      <c r="J97" s="622"/>
      <c r="K97" s="622"/>
      <c r="L97" s="506"/>
    </row>
    <row r="98" spans="1:12" ht="16.8" thickBot="1" x14ac:dyDescent="0.35">
      <c r="B98" s="1367"/>
      <c r="C98" s="1370"/>
      <c r="D98" s="1373"/>
      <c r="E98" s="1374"/>
      <c r="F98" s="1377"/>
      <c r="G98" s="1380"/>
      <c r="H98" s="622"/>
      <c r="I98" s="622"/>
      <c r="J98" s="622"/>
      <c r="K98" s="622"/>
      <c r="L98" s="506"/>
    </row>
    <row r="99" spans="1:12" ht="16.8" thickTop="1" x14ac:dyDescent="0.3">
      <c r="B99" s="507"/>
      <c r="C99" s="508"/>
      <c r="D99" s="515"/>
      <c r="E99" s="536"/>
      <c r="F99" s="519"/>
      <c r="G99" s="519"/>
      <c r="H99" s="622"/>
      <c r="I99" s="622"/>
      <c r="J99" s="622"/>
      <c r="K99" s="622"/>
      <c r="L99" s="506"/>
    </row>
    <row r="100" spans="1:12" ht="16.2" x14ac:dyDescent="0.3">
      <c r="B100" s="537" t="s">
        <v>293</v>
      </c>
      <c r="C100" s="538"/>
      <c r="D100" s="539"/>
      <c r="E100" s="540"/>
      <c r="F100" s="541"/>
      <c r="G100" s="541"/>
      <c r="H100" s="622"/>
      <c r="I100" s="622"/>
      <c r="J100" s="622"/>
      <c r="K100" s="622"/>
      <c r="L100" s="506"/>
    </row>
    <row r="101" spans="1:12" s="223" customFormat="1" ht="16.2" x14ac:dyDescent="0.3">
      <c r="A101" s="224"/>
      <c r="B101" s="507"/>
      <c r="C101" s="508"/>
      <c r="D101" s="515"/>
      <c r="E101" s="516"/>
      <c r="F101" s="519"/>
      <c r="G101" s="519"/>
      <c r="H101" s="622"/>
      <c r="I101" s="622"/>
      <c r="J101" s="622"/>
      <c r="K101" s="622"/>
      <c r="L101" s="506"/>
    </row>
    <row r="102" spans="1:12" ht="16.2" x14ac:dyDescent="0.3">
      <c r="B102" s="513" t="s">
        <v>689</v>
      </c>
      <c r="C102" s="514" t="s">
        <v>661</v>
      </c>
      <c r="D102" s="515">
        <v>1.0000000000000001E-5</v>
      </c>
      <c r="E102" s="516">
        <v>1.2644600000000001</v>
      </c>
      <c r="F102" s="517">
        <v>0</v>
      </c>
      <c r="G102" s="518">
        <f t="shared" ref="G102:G165" si="6">SUM(D102:F102)</f>
        <v>1.2644700000000002</v>
      </c>
      <c r="H102" s="622"/>
      <c r="I102" s="622"/>
      <c r="J102" s="622"/>
      <c r="K102" s="622"/>
      <c r="L102" s="506"/>
    </row>
    <row r="103" spans="1:12" ht="16.2" x14ac:dyDescent="0.3">
      <c r="B103" s="513" t="s">
        <v>467</v>
      </c>
      <c r="C103" s="514" t="s">
        <v>661</v>
      </c>
      <c r="D103" s="515">
        <v>1.0000000000000001E-5</v>
      </c>
      <c r="E103" s="516">
        <v>1.87</v>
      </c>
      <c r="F103" s="517">
        <v>0</v>
      </c>
      <c r="G103" s="518">
        <f t="shared" si="6"/>
        <v>1.8700100000000002</v>
      </c>
      <c r="H103" s="622"/>
      <c r="I103" s="622"/>
      <c r="J103" s="622"/>
      <c r="K103" s="622"/>
      <c r="L103" s="506"/>
    </row>
    <row r="104" spans="1:12" ht="16.2" x14ac:dyDescent="0.3">
      <c r="B104" s="513" t="s">
        <v>464</v>
      </c>
      <c r="C104" s="514" t="s">
        <v>661</v>
      </c>
      <c r="D104" s="515">
        <v>1.0000000000000001E-5</v>
      </c>
      <c r="E104" s="516">
        <v>14.02309</v>
      </c>
      <c r="F104" s="517">
        <v>0</v>
      </c>
      <c r="G104" s="518">
        <f t="shared" si="6"/>
        <v>14.023099999999999</v>
      </c>
      <c r="H104" s="622"/>
      <c r="I104" s="622"/>
      <c r="J104" s="622"/>
      <c r="K104" s="622"/>
      <c r="L104" s="506"/>
    </row>
    <row r="105" spans="1:12" ht="16.2" x14ac:dyDescent="0.3">
      <c r="B105" s="513" t="s">
        <v>461</v>
      </c>
      <c r="C105" s="514" t="s">
        <v>661</v>
      </c>
      <c r="D105" s="515">
        <v>1.0000000000000001E-5</v>
      </c>
      <c r="E105" s="516">
        <v>15.681520000000001</v>
      </c>
      <c r="F105" s="517">
        <v>0</v>
      </c>
      <c r="G105" s="518">
        <f t="shared" si="6"/>
        <v>15.68153</v>
      </c>
      <c r="H105" s="622"/>
      <c r="I105" s="622"/>
      <c r="J105" s="622"/>
      <c r="K105" s="622"/>
      <c r="L105" s="506"/>
    </row>
    <row r="106" spans="1:12" ht="16.2" x14ac:dyDescent="0.3">
      <c r="B106" s="513" t="s">
        <v>692</v>
      </c>
      <c r="C106" s="514" t="s">
        <v>661</v>
      </c>
      <c r="D106" s="515">
        <v>1.0000000000000001E-5</v>
      </c>
      <c r="E106" s="516">
        <v>25.049659999999999</v>
      </c>
      <c r="F106" s="517">
        <v>0</v>
      </c>
      <c r="G106" s="518">
        <f t="shared" si="6"/>
        <v>25.049669999999999</v>
      </c>
      <c r="H106" s="622"/>
      <c r="I106" s="622"/>
      <c r="J106" s="622"/>
      <c r="K106" s="622"/>
      <c r="L106" s="506"/>
    </row>
    <row r="107" spans="1:12" ht="16.2" x14ac:dyDescent="0.3">
      <c r="B107" s="513" t="s">
        <v>690</v>
      </c>
      <c r="C107" s="514" t="s">
        <v>661</v>
      </c>
      <c r="D107" s="515">
        <v>1.0000000000000001E-5</v>
      </c>
      <c r="E107" s="516">
        <v>27.7379</v>
      </c>
      <c r="F107" s="517">
        <v>0</v>
      </c>
      <c r="G107" s="518">
        <f t="shared" si="6"/>
        <v>27.737909999999999</v>
      </c>
      <c r="H107" s="622"/>
      <c r="I107" s="622"/>
      <c r="J107" s="622"/>
      <c r="K107" s="622"/>
      <c r="L107" s="506"/>
    </row>
    <row r="108" spans="1:12" ht="16.2" x14ac:dyDescent="0.3">
      <c r="B108" s="513" t="s">
        <v>466</v>
      </c>
      <c r="C108" s="514" t="s">
        <v>661</v>
      </c>
      <c r="D108" s="515">
        <v>1.0000000000000001E-5</v>
      </c>
      <c r="E108" s="516">
        <v>41.03004</v>
      </c>
      <c r="F108" s="517">
        <v>0</v>
      </c>
      <c r="G108" s="518">
        <f t="shared" si="6"/>
        <v>41.030050000000003</v>
      </c>
      <c r="H108" s="622"/>
      <c r="I108" s="622"/>
      <c r="J108" s="622"/>
      <c r="K108" s="622"/>
      <c r="L108" s="506"/>
    </row>
    <row r="109" spans="1:12" ht="16.2" x14ac:dyDescent="0.3">
      <c r="B109" s="513" t="s">
        <v>460</v>
      </c>
      <c r="C109" s="514" t="s">
        <v>661</v>
      </c>
      <c r="D109" s="515">
        <v>1.0000000000000001E-5</v>
      </c>
      <c r="E109" s="516">
        <v>501.22017</v>
      </c>
      <c r="F109" s="517">
        <v>0</v>
      </c>
      <c r="G109" s="518">
        <f t="shared" si="6"/>
        <v>501.22017999999997</v>
      </c>
      <c r="H109" s="622"/>
      <c r="I109" s="622"/>
      <c r="J109" s="622"/>
      <c r="K109" s="622"/>
      <c r="L109" s="506"/>
    </row>
    <row r="110" spans="1:12" ht="16.2" x14ac:dyDescent="0.3">
      <c r="B110" s="513" t="s">
        <v>459</v>
      </c>
      <c r="C110" s="514" t="s">
        <v>661</v>
      </c>
      <c r="D110" s="515">
        <v>7.0000000000000001E-3</v>
      </c>
      <c r="E110" s="516">
        <v>242.21740944241481</v>
      </c>
      <c r="F110" s="517">
        <v>1.0390557585205478E-2</v>
      </c>
      <c r="G110" s="518">
        <f t="shared" si="6"/>
        <v>242.23480000000001</v>
      </c>
      <c r="H110" s="622"/>
      <c r="I110" s="622"/>
      <c r="J110" s="622"/>
      <c r="K110" s="622"/>
      <c r="L110" s="506"/>
    </row>
    <row r="111" spans="1:12" ht="16.2" x14ac:dyDescent="0.3">
      <c r="B111" s="513" t="s">
        <v>471</v>
      </c>
      <c r="C111" s="514" t="s">
        <v>661</v>
      </c>
      <c r="D111" s="515">
        <v>0.35599999999999998</v>
      </c>
      <c r="E111" s="516">
        <v>0.27767533336639405</v>
      </c>
      <c r="F111" s="517">
        <v>0.32443466663360598</v>
      </c>
      <c r="G111" s="518">
        <f t="shared" si="6"/>
        <v>0.95811000000000002</v>
      </c>
      <c r="H111" s="622"/>
      <c r="I111" s="622"/>
      <c r="J111" s="622"/>
      <c r="K111" s="622"/>
      <c r="L111" s="506"/>
    </row>
    <row r="112" spans="1:12" ht="16.2" x14ac:dyDescent="0.3">
      <c r="B112" s="513" t="s">
        <v>451</v>
      </c>
      <c r="C112" s="514" t="s">
        <v>661</v>
      </c>
      <c r="D112" s="515">
        <v>2</v>
      </c>
      <c r="E112" s="516">
        <v>2.1488100000000001</v>
      </c>
      <c r="F112" s="517">
        <v>0</v>
      </c>
      <c r="G112" s="518">
        <f t="shared" si="6"/>
        <v>4.1488100000000001</v>
      </c>
      <c r="H112" s="622"/>
      <c r="I112" s="622"/>
      <c r="J112" s="622"/>
      <c r="K112" s="622"/>
      <c r="L112" s="506"/>
    </row>
    <row r="113" spans="2:12" ht="16.2" x14ac:dyDescent="0.3">
      <c r="B113" s="513" t="s">
        <v>456</v>
      </c>
      <c r="C113" s="514" t="s">
        <v>661</v>
      </c>
      <c r="D113" s="515">
        <v>63</v>
      </c>
      <c r="E113" s="516">
        <v>0</v>
      </c>
      <c r="F113" s="517">
        <v>0</v>
      </c>
      <c r="G113" s="518">
        <f t="shared" si="6"/>
        <v>63</v>
      </c>
      <c r="H113" s="622"/>
      <c r="I113" s="622"/>
      <c r="J113" s="622"/>
      <c r="K113" s="622"/>
      <c r="L113" s="506"/>
    </row>
    <row r="114" spans="2:12" ht="16.2" x14ac:dyDescent="0.3">
      <c r="B114" s="513" t="s">
        <v>134</v>
      </c>
      <c r="C114" s="514" t="s">
        <v>215</v>
      </c>
      <c r="D114" s="515">
        <v>173.79214459506431</v>
      </c>
      <c r="E114" s="516">
        <v>41.710114702815403</v>
      </c>
      <c r="F114" s="517">
        <v>115.5717761557178</v>
      </c>
      <c r="G114" s="518">
        <f t="shared" si="6"/>
        <v>331.0740354535975</v>
      </c>
      <c r="H114" s="622"/>
      <c r="I114" s="622"/>
      <c r="J114" s="622"/>
      <c r="K114" s="622"/>
      <c r="L114" s="506"/>
    </row>
    <row r="115" spans="2:12" ht="16.2" x14ac:dyDescent="0.3">
      <c r="B115" s="513" t="s">
        <v>441</v>
      </c>
      <c r="C115" s="514" t="s">
        <v>215</v>
      </c>
      <c r="D115" s="515">
        <v>173.79214459506431</v>
      </c>
      <c r="E115" s="516">
        <v>48.661800525238483</v>
      </c>
      <c r="F115" s="517">
        <v>40.737361449040286</v>
      </c>
      <c r="G115" s="518">
        <f t="shared" si="6"/>
        <v>263.19130656934306</v>
      </c>
      <c r="H115" s="622"/>
      <c r="I115" s="622"/>
      <c r="J115" s="622"/>
      <c r="K115" s="622"/>
      <c r="L115" s="506"/>
    </row>
    <row r="116" spans="2:12" ht="16.2" x14ac:dyDescent="0.3">
      <c r="B116" s="513" t="s">
        <v>436</v>
      </c>
      <c r="C116" s="514" t="s">
        <v>180</v>
      </c>
      <c r="D116" s="515">
        <v>199.69860179606684</v>
      </c>
      <c r="E116" s="516">
        <v>242.55770911222734</v>
      </c>
      <c r="F116" s="517">
        <v>0</v>
      </c>
      <c r="G116" s="518">
        <f t="shared" si="6"/>
        <v>442.25631090829415</v>
      </c>
      <c r="H116" s="622"/>
      <c r="I116" s="622"/>
      <c r="J116" s="622"/>
      <c r="K116" s="622"/>
      <c r="L116" s="506"/>
    </row>
    <row r="117" spans="2:12" ht="16.2" x14ac:dyDescent="0.3">
      <c r="B117" s="513" t="s">
        <v>454</v>
      </c>
      <c r="C117" s="514" t="s">
        <v>661</v>
      </c>
      <c r="D117" s="515">
        <v>226.792</v>
      </c>
      <c r="E117" s="516">
        <v>42.171479441395526</v>
      </c>
      <c r="F117" s="517">
        <v>210.70126055860447</v>
      </c>
      <c r="G117" s="518">
        <f t="shared" si="6"/>
        <v>479.66473999999999</v>
      </c>
      <c r="H117" s="622"/>
      <c r="I117" s="622"/>
      <c r="J117" s="622"/>
      <c r="K117" s="622"/>
      <c r="L117" s="506"/>
    </row>
    <row r="118" spans="2:12" ht="16.2" x14ac:dyDescent="0.3">
      <c r="B118" s="513" t="s">
        <v>450</v>
      </c>
      <c r="C118" s="514" t="s">
        <v>661</v>
      </c>
      <c r="D118" s="515">
        <v>314</v>
      </c>
      <c r="E118" s="516">
        <v>807.95402726027373</v>
      </c>
      <c r="F118" s="517">
        <v>3503.3066027397263</v>
      </c>
      <c r="G118" s="518">
        <f t="shared" si="6"/>
        <v>4625.2606299999998</v>
      </c>
      <c r="H118" s="622"/>
      <c r="I118" s="622"/>
      <c r="J118" s="622"/>
      <c r="K118" s="622"/>
      <c r="L118" s="506"/>
    </row>
    <row r="119" spans="2:12" ht="16.2" x14ac:dyDescent="0.3">
      <c r="B119" s="513" t="s">
        <v>457</v>
      </c>
      <c r="C119" s="514" t="s">
        <v>661</v>
      </c>
      <c r="D119" s="515">
        <v>376</v>
      </c>
      <c r="E119" s="516">
        <v>558.83000000000004</v>
      </c>
      <c r="F119" s="517">
        <v>0</v>
      </c>
      <c r="G119" s="518">
        <f t="shared" si="6"/>
        <v>934.83</v>
      </c>
      <c r="H119" s="622"/>
      <c r="I119" s="622"/>
      <c r="J119" s="622"/>
      <c r="K119" s="622"/>
      <c r="L119" s="506"/>
    </row>
    <row r="120" spans="2:12" ht="16.2" x14ac:dyDescent="0.3">
      <c r="B120" s="513" t="s">
        <v>449</v>
      </c>
      <c r="C120" s="514" t="s">
        <v>661</v>
      </c>
      <c r="D120" s="515">
        <v>458.30852000000004</v>
      </c>
      <c r="E120" s="516">
        <v>63.603018088888376</v>
      </c>
      <c r="F120" s="517">
        <v>1227.7576019111118</v>
      </c>
      <c r="G120" s="518">
        <f t="shared" si="6"/>
        <v>1749.6691400000002</v>
      </c>
      <c r="H120" s="622"/>
      <c r="I120" s="622"/>
      <c r="J120" s="622"/>
      <c r="K120" s="622"/>
      <c r="L120" s="506"/>
    </row>
    <row r="121" spans="2:12" ht="16.2" x14ac:dyDescent="0.3">
      <c r="B121" s="513" t="s">
        <v>141</v>
      </c>
      <c r="C121" s="514" t="s">
        <v>215</v>
      </c>
      <c r="D121" s="515">
        <v>782.06465067778936</v>
      </c>
      <c r="E121" s="516">
        <v>84.462982273201177</v>
      </c>
      <c r="F121" s="517">
        <v>521.44160583941618</v>
      </c>
      <c r="G121" s="518">
        <f t="shared" si="6"/>
        <v>1387.9692387904067</v>
      </c>
      <c r="H121" s="622"/>
      <c r="I121" s="622"/>
      <c r="J121" s="622"/>
      <c r="K121" s="622"/>
      <c r="L121" s="506"/>
    </row>
    <row r="122" spans="2:12" ht="16.2" x14ac:dyDescent="0.3">
      <c r="B122" s="513" t="s">
        <v>207</v>
      </c>
      <c r="C122" s="514" t="s">
        <v>180</v>
      </c>
      <c r="D122" s="515">
        <v>859.95225645106291</v>
      </c>
      <c r="E122" s="516">
        <v>245.08639403584556</v>
      </c>
      <c r="F122" s="517">
        <v>991.91910023874948</v>
      </c>
      <c r="G122" s="518">
        <f t="shared" si="6"/>
        <v>2096.9577507256581</v>
      </c>
      <c r="H122" s="622"/>
      <c r="I122" s="622"/>
      <c r="J122" s="622"/>
      <c r="K122" s="622"/>
      <c r="L122" s="506"/>
    </row>
    <row r="123" spans="2:12" ht="16.2" x14ac:dyDescent="0.3">
      <c r="B123" s="513" t="s">
        <v>209</v>
      </c>
      <c r="C123" s="514" t="s">
        <v>180</v>
      </c>
      <c r="D123" s="515">
        <v>1196.0895759918153</v>
      </c>
      <c r="E123" s="516">
        <v>861.18449471410713</v>
      </c>
      <c r="F123" s="517">
        <v>743.36967147891312</v>
      </c>
      <c r="G123" s="518">
        <f t="shared" si="6"/>
        <v>2800.6437421848354</v>
      </c>
      <c r="H123" s="622"/>
      <c r="I123" s="622"/>
      <c r="J123" s="622"/>
      <c r="K123" s="622"/>
      <c r="L123" s="506"/>
    </row>
    <row r="124" spans="2:12" ht="16.2" x14ac:dyDescent="0.3">
      <c r="B124" s="513" t="s">
        <v>193</v>
      </c>
      <c r="C124" s="514" t="s">
        <v>180</v>
      </c>
      <c r="D124" s="515">
        <v>1263.7939638513128</v>
      </c>
      <c r="E124" s="516">
        <v>758.27638290856714</v>
      </c>
      <c r="F124" s="517">
        <v>1175.6794423285335</v>
      </c>
      <c r="G124" s="518">
        <f t="shared" si="6"/>
        <v>3197.7497890884133</v>
      </c>
      <c r="H124" s="622"/>
      <c r="I124" s="622"/>
      <c r="J124" s="622"/>
      <c r="K124" s="622"/>
      <c r="L124" s="506"/>
    </row>
    <row r="125" spans="2:12" ht="16.2" x14ac:dyDescent="0.3">
      <c r="B125" s="513" t="s">
        <v>213</v>
      </c>
      <c r="C125" s="514" t="s">
        <v>214</v>
      </c>
      <c r="D125" s="515">
        <v>1369.1346717120814</v>
      </c>
      <c r="E125" s="516">
        <v>821.48080302724884</v>
      </c>
      <c r="F125" s="517">
        <v>1208.2613477859118</v>
      </c>
      <c r="G125" s="518">
        <f t="shared" si="6"/>
        <v>3398.876822525242</v>
      </c>
      <c r="H125" s="622"/>
      <c r="I125" s="622"/>
      <c r="J125" s="622"/>
      <c r="K125" s="622"/>
      <c r="L125" s="506"/>
    </row>
    <row r="126" spans="2:12" ht="16.2" x14ac:dyDescent="0.3">
      <c r="B126" s="513" t="s">
        <v>202</v>
      </c>
      <c r="C126" s="514" t="s">
        <v>180</v>
      </c>
      <c r="D126" s="515">
        <v>1448.3627486643172</v>
      </c>
      <c r="E126" s="516">
        <v>811.08314360703753</v>
      </c>
      <c r="F126" s="517">
        <v>944.97622890631919</v>
      </c>
      <c r="G126" s="518">
        <f t="shared" si="6"/>
        <v>3204.4221211776739</v>
      </c>
      <c r="H126" s="622"/>
      <c r="I126" s="622"/>
      <c r="J126" s="622"/>
      <c r="K126" s="622"/>
      <c r="L126" s="506"/>
    </row>
    <row r="127" spans="2:12" ht="16.2" x14ac:dyDescent="0.3">
      <c r="B127" s="513" t="s">
        <v>206</v>
      </c>
      <c r="C127" s="514" t="s">
        <v>180</v>
      </c>
      <c r="D127" s="515">
        <v>1519.3707627600318</v>
      </c>
      <c r="E127" s="516">
        <v>972.39729065326458</v>
      </c>
      <c r="F127" s="517">
        <v>787.37169877494966</v>
      </c>
      <c r="G127" s="518">
        <f t="shared" si="6"/>
        <v>3279.1397521882463</v>
      </c>
      <c r="H127" s="622"/>
      <c r="I127" s="622"/>
      <c r="J127" s="622"/>
      <c r="K127" s="622"/>
      <c r="L127" s="506"/>
    </row>
    <row r="128" spans="2:12" ht="16.2" x14ac:dyDescent="0.3">
      <c r="B128" s="513" t="s">
        <v>194</v>
      </c>
      <c r="C128" s="514" t="s">
        <v>180</v>
      </c>
      <c r="D128" s="515">
        <v>1619.1748777992495</v>
      </c>
      <c r="E128" s="516">
        <v>179.28140279266117</v>
      </c>
      <c r="F128" s="517">
        <v>638.66731199254355</v>
      </c>
      <c r="G128" s="518">
        <f t="shared" si="6"/>
        <v>2437.1235925844539</v>
      </c>
      <c r="H128" s="622"/>
      <c r="I128" s="622"/>
      <c r="J128" s="622"/>
      <c r="K128" s="622"/>
      <c r="L128" s="506"/>
    </row>
    <row r="129" spans="2:12" ht="16.2" x14ac:dyDescent="0.3">
      <c r="B129" s="513" t="s">
        <v>196</v>
      </c>
      <c r="C129" s="514" t="s">
        <v>180</v>
      </c>
      <c r="D129" s="515">
        <v>1993.1467318404</v>
      </c>
      <c r="E129" s="516">
        <v>418.56081707940575</v>
      </c>
      <c r="F129" s="517">
        <v>1688.5828455328485</v>
      </c>
      <c r="G129" s="518">
        <f t="shared" si="6"/>
        <v>4100.2903944526543</v>
      </c>
      <c r="H129" s="622"/>
      <c r="I129" s="622"/>
      <c r="J129" s="622"/>
      <c r="K129" s="622"/>
      <c r="L129" s="506"/>
    </row>
    <row r="130" spans="2:12" ht="16.2" x14ac:dyDescent="0.3">
      <c r="B130" s="513" t="s">
        <v>431</v>
      </c>
      <c r="C130" s="514" t="s">
        <v>180</v>
      </c>
      <c r="D130" s="515">
        <v>2110.9469137205865</v>
      </c>
      <c r="E130" s="516">
        <v>1266.5681457062376</v>
      </c>
      <c r="F130" s="517">
        <v>1936.2074255112229</v>
      </c>
      <c r="G130" s="518">
        <f t="shared" si="6"/>
        <v>5313.7224849380473</v>
      </c>
      <c r="H130" s="622"/>
      <c r="I130" s="622"/>
      <c r="J130" s="622"/>
      <c r="K130" s="622"/>
      <c r="L130" s="506"/>
    </row>
    <row r="131" spans="2:12" ht="16.2" x14ac:dyDescent="0.3">
      <c r="B131" s="513" t="s">
        <v>208</v>
      </c>
      <c r="C131" s="514" t="s">
        <v>180</v>
      </c>
      <c r="D131" s="515">
        <v>2148.4597021711947</v>
      </c>
      <c r="E131" s="516">
        <v>1203.1374347730623</v>
      </c>
      <c r="F131" s="517">
        <v>1402.3261354534088</v>
      </c>
      <c r="G131" s="518">
        <f t="shared" si="6"/>
        <v>4753.9232723976656</v>
      </c>
      <c r="H131" s="622"/>
      <c r="I131" s="622"/>
      <c r="J131" s="622"/>
      <c r="K131" s="622"/>
      <c r="L131" s="506"/>
    </row>
    <row r="132" spans="2:12" ht="16.2" x14ac:dyDescent="0.3">
      <c r="B132" s="513" t="s">
        <v>210</v>
      </c>
      <c r="C132" s="514" t="s">
        <v>180</v>
      </c>
      <c r="D132" s="515">
        <v>2197.3400022735023</v>
      </c>
      <c r="E132" s="516">
        <v>156.56048107932187</v>
      </c>
      <c r="F132" s="517">
        <v>2171.2578774519952</v>
      </c>
      <c r="G132" s="518">
        <f t="shared" si="6"/>
        <v>4525.1583608048195</v>
      </c>
      <c r="H132" s="622"/>
      <c r="I132" s="622"/>
      <c r="J132" s="622"/>
      <c r="K132" s="622"/>
      <c r="L132" s="506"/>
    </row>
    <row r="133" spans="2:12" ht="16.2" x14ac:dyDescent="0.3">
      <c r="B133" s="513" t="s">
        <v>462</v>
      </c>
      <c r="C133" s="514" t="s">
        <v>661</v>
      </c>
      <c r="D133" s="515">
        <v>2185.998</v>
      </c>
      <c r="E133" s="516">
        <v>3803.63652</v>
      </c>
      <c r="F133" s="517">
        <v>0</v>
      </c>
      <c r="G133" s="518">
        <f t="shared" si="6"/>
        <v>5989.6345199999996</v>
      </c>
      <c r="H133" s="622"/>
      <c r="I133" s="622"/>
      <c r="J133" s="622"/>
      <c r="K133" s="622"/>
      <c r="L133" s="506"/>
    </row>
    <row r="134" spans="2:12" ht="16.2" x14ac:dyDescent="0.3">
      <c r="B134" s="513" t="s">
        <v>432</v>
      </c>
      <c r="C134" s="514" t="s">
        <v>180</v>
      </c>
      <c r="D134" s="515">
        <v>2265.553222689553</v>
      </c>
      <c r="E134" s="516">
        <v>1036.4906109811554</v>
      </c>
      <c r="F134" s="517">
        <v>1502.4315120690746</v>
      </c>
      <c r="G134" s="518">
        <f t="shared" si="6"/>
        <v>4804.4753457397828</v>
      </c>
      <c r="H134" s="622"/>
      <c r="I134" s="622"/>
      <c r="J134" s="622"/>
      <c r="K134" s="622"/>
      <c r="L134" s="506"/>
    </row>
    <row r="135" spans="2:12" ht="16.2" x14ac:dyDescent="0.3">
      <c r="B135" s="513" t="s">
        <v>437</v>
      </c>
      <c r="C135" s="514" t="s">
        <v>180</v>
      </c>
      <c r="D135" s="515">
        <v>2307.3911560759348</v>
      </c>
      <c r="E135" s="516">
        <v>1765.1542294405913</v>
      </c>
      <c r="F135" s="517">
        <v>1123.9238244695111</v>
      </c>
      <c r="G135" s="518">
        <f t="shared" si="6"/>
        <v>5196.4692099860367</v>
      </c>
      <c r="H135" s="622"/>
      <c r="I135" s="622"/>
      <c r="J135" s="622"/>
      <c r="K135" s="622"/>
      <c r="L135" s="506"/>
    </row>
    <row r="136" spans="2:12" ht="16.2" x14ac:dyDescent="0.3">
      <c r="B136" s="513" t="s">
        <v>192</v>
      </c>
      <c r="C136" s="514" t="s">
        <v>180</v>
      </c>
      <c r="D136" s="515">
        <v>2342.852472433784</v>
      </c>
      <c r="E136" s="516">
        <v>515.42755281764948</v>
      </c>
      <c r="F136" s="517">
        <v>3214.2634322416293</v>
      </c>
      <c r="G136" s="518">
        <f t="shared" si="6"/>
        <v>6072.5434574930623</v>
      </c>
      <c r="H136" s="622"/>
      <c r="I136" s="622"/>
      <c r="J136" s="622"/>
      <c r="K136" s="622"/>
      <c r="L136" s="506"/>
    </row>
    <row r="137" spans="2:12" ht="16.2" x14ac:dyDescent="0.3">
      <c r="B137" s="513" t="s">
        <v>439</v>
      </c>
      <c r="C137" s="514" t="s">
        <v>180</v>
      </c>
      <c r="D137" s="515">
        <v>2799.59986358986</v>
      </c>
      <c r="E137" s="516">
        <v>587.91596976553444</v>
      </c>
      <c r="F137" s="517">
        <v>2370.9926240732734</v>
      </c>
      <c r="G137" s="518">
        <f t="shared" si="6"/>
        <v>5758.5084574286684</v>
      </c>
      <c r="H137" s="622"/>
      <c r="I137" s="622"/>
      <c r="J137" s="622"/>
      <c r="K137" s="622"/>
      <c r="L137" s="506"/>
    </row>
    <row r="138" spans="2:12" ht="16.2" x14ac:dyDescent="0.3">
      <c r="B138" s="513" t="s">
        <v>438</v>
      </c>
      <c r="C138" s="514" t="s">
        <v>180</v>
      </c>
      <c r="D138" s="515">
        <v>2907.8220188700693</v>
      </c>
      <c r="E138" s="516">
        <v>567.05901802812377</v>
      </c>
      <c r="F138" s="517">
        <v>1300.5936362858465</v>
      </c>
      <c r="G138" s="518">
        <f t="shared" si="6"/>
        <v>4775.4746731840396</v>
      </c>
      <c r="H138" s="622"/>
      <c r="I138" s="622"/>
      <c r="J138" s="622"/>
      <c r="K138" s="622"/>
      <c r="L138" s="506"/>
    </row>
    <row r="139" spans="2:12" ht="16.2" x14ac:dyDescent="0.3">
      <c r="B139" s="513" t="s">
        <v>135</v>
      </c>
      <c r="C139" s="514" t="s">
        <v>215</v>
      </c>
      <c r="D139" s="515">
        <v>2858.8807785888075</v>
      </c>
      <c r="E139" s="516">
        <v>142.94403891978521</v>
      </c>
      <c r="F139" s="517">
        <v>1907.5087861584213</v>
      </c>
      <c r="G139" s="518">
        <f t="shared" si="6"/>
        <v>4909.3336036670144</v>
      </c>
      <c r="H139" s="622"/>
      <c r="I139" s="622"/>
      <c r="J139" s="622"/>
      <c r="K139" s="622"/>
      <c r="L139" s="506"/>
    </row>
    <row r="140" spans="2:12" ht="16.2" x14ac:dyDescent="0.3">
      <c r="B140" s="513" t="s">
        <v>195</v>
      </c>
      <c r="C140" s="514" t="s">
        <v>180</v>
      </c>
      <c r="D140" s="515">
        <v>3213.300863930885</v>
      </c>
      <c r="E140" s="516">
        <v>674.79316784500452</v>
      </c>
      <c r="F140" s="517">
        <v>2720.4162148159198</v>
      </c>
      <c r="G140" s="518">
        <f t="shared" si="6"/>
        <v>6608.5102465918098</v>
      </c>
      <c r="H140" s="622"/>
      <c r="I140" s="622"/>
      <c r="J140" s="622"/>
      <c r="K140" s="622"/>
      <c r="L140" s="506"/>
    </row>
    <row r="141" spans="2:12" ht="16.2" x14ac:dyDescent="0.3">
      <c r="B141" s="513" t="s">
        <v>211</v>
      </c>
      <c r="C141" s="514" t="s">
        <v>180</v>
      </c>
      <c r="D141" s="515">
        <v>3251.1083323860407</v>
      </c>
      <c r="E141" s="516">
        <v>494.31575937060478</v>
      </c>
      <c r="F141" s="517">
        <v>2709.4536279205167</v>
      </c>
      <c r="G141" s="518">
        <f t="shared" si="6"/>
        <v>6454.8777196771625</v>
      </c>
      <c r="H141" s="622"/>
      <c r="I141" s="622"/>
      <c r="J141" s="622"/>
      <c r="K141" s="622"/>
      <c r="L141" s="506"/>
    </row>
    <row r="142" spans="2:12" ht="16.2" x14ac:dyDescent="0.3">
      <c r="B142" s="513" t="s">
        <v>453</v>
      </c>
      <c r="C142" s="514" t="s">
        <v>661</v>
      </c>
      <c r="D142" s="515">
        <v>3260.998</v>
      </c>
      <c r="E142" s="516">
        <v>5733.242072239239</v>
      </c>
      <c r="F142" s="517">
        <v>0</v>
      </c>
      <c r="G142" s="518">
        <f t="shared" si="6"/>
        <v>8994.2400722392395</v>
      </c>
      <c r="H142" s="622"/>
      <c r="I142" s="622"/>
      <c r="J142" s="622"/>
      <c r="K142" s="622"/>
      <c r="L142" s="506"/>
    </row>
    <row r="143" spans="2:12" ht="16.2" x14ac:dyDescent="0.3">
      <c r="B143" s="513" t="s">
        <v>435</v>
      </c>
      <c r="C143" s="514" t="s">
        <v>180</v>
      </c>
      <c r="D143" s="515">
        <v>4107.0731954075254</v>
      </c>
      <c r="E143" s="516">
        <v>308.03049224948001</v>
      </c>
      <c r="F143" s="517">
        <v>4285.9020074544696</v>
      </c>
      <c r="G143" s="518">
        <f t="shared" si="6"/>
        <v>8701.0056951114748</v>
      </c>
      <c r="H143" s="622"/>
      <c r="I143" s="622"/>
      <c r="J143" s="622"/>
      <c r="K143" s="622"/>
      <c r="L143" s="506"/>
    </row>
    <row r="144" spans="2:12" ht="16.2" x14ac:dyDescent="0.3">
      <c r="B144" s="513" t="s">
        <v>191</v>
      </c>
      <c r="C144" s="514" t="s">
        <v>180</v>
      </c>
      <c r="D144" s="515">
        <v>4251.8278958735928</v>
      </c>
      <c r="E144" s="516">
        <v>1530.6580470614988</v>
      </c>
      <c r="F144" s="517">
        <v>4175.2949936701989</v>
      </c>
      <c r="G144" s="518">
        <f t="shared" si="6"/>
        <v>9957.7809366052898</v>
      </c>
      <c r="H144" s="622"/>
      <c r="I144" s="622"/>
      <c r="J144" s="622"/>
      <c r="K144" s="622"/>
      <c r="L144" s="506"/>
    </row>
    <row r="145" spans="2:12" ht="16.2" x14ac:dyDescent="0.3">
      <c r="B145" s="513" t="s">
        <v>203</v>
      </c>
      <c r="C145" s="514" t="s">
        <v>180</v>
      </c>
      <c r="D145" s="515">
        <v>4369.0110264863015</v>
      </c>
      <c r="E145" s="516">
        <v>2484.8750211978186</v>
      </c>
      <c r="F145" s="517">
        <v>2842.8153538119263</v>
      </c>
      <c r="G145" s="518">
        <f t="shared" si="6"/>
        <v>9696.7014014960459</v>
      </c>
      <c r="H145" s="622"/>
      <c r="I145" s="622"/>
      <c r="J145" s="622"/>
      <c r="K145" s="622"/>
      <c r="L145" s="506"/>
    </row>
    <row r="146" spans="2:12" ht="16.2" x14ac:dyDescent="0.3">
      <c r="B146" s="513" t="s">
        <v>143</v>
      </c>
      <c r="C146" s="514" t="s">
        <v>215</v>
      </c>
      <c r="D146" s="515">
        <v>4509.9061522419188</v>
      </c>
      <c r="E146" s="516">
        <v>577.83172569806516</v>
      </c>
      <c r="F146" s="517">
        <v>2741.4905210867805</v>
      </c>
      <c r="G146" s="518">
        <f t="shared" si="6"/>
        <v>7829.2283990267642</v>
      </c>
      <c r="H146" s="622"/>
      <c r="I146" s="622"/>
      <c r="J146" s="622"/>
      <c r="K146" s="622"/>
      <c r="L146" s="506"/>
    </row>
    <row r="147" spans="2:12" ht="16.2" x14ac:dyDescent="0.3">
      <c r="B147" s="513" t="s">
        <v>204</v>
      </c>
      <c r="C147" s="514" t="s">
        <v>180</v>
      </c>
      <c r="D147" s="515">
        <v>6569.2849835171073</v>
      </c>
      <c r="E147" s="516">
        <v>525.54280247053873</v>
      </c>
      <c r="F147" s="517">
        <v>7440.8101243431947</v>
      </c>
      <c r="G147" s="518">
        <f t="shared" si="6"/>
        <v>14535.637910330841</v>
      </c>
      <c r="H147" s="622"/>
      <c r="I147" s="622"/>
      <c r="J147" s="622"/>
      <c r="K147" s="622"/>
      <c r="L147" s="506"/>
    </row>
    <row r="148" spans="2:12" ht="16.2" x14ac:dyDescent="0.3">
      <c r="B148" s="513" t="s">
        <v>472</v>
      </c>
      <c r="C148" s="514" t="s">
        <v>661</v>
      </c>
      <c r="D148" s="515">
        <v>6777</v>
      </c>
      <c r="E148" s="516">
        <v>2144.3133982265272</v>
      </c>
      <c r="F148" s="517">
        <v>5095.4061142104474</v>
      </c>
      <c r="G148" s="518">
        <f t="shared" si="6"/>
        <v>14016.719512436975</v>
      </c>
      <c r="H148" s="622"/>
      <c r="I148" s="622"/>
      <c r="J148" s="622"/>
      <c r="K148" s="622"/>
      <c r="L148" s="506"/>
    </row>
    <row r="149" spans="2:12" ht="16.2" x14ac:dyDescent="0.3">
      <c r="B149" s="513" t="s">
        <v>443</v>
      </c>
      <c r="C149" s="514" t="s">
        <v>661</v>
      </c>
      <c r="D149" s="515">
        <v>7217</v>
      </c>
      <c r="E149" s="516">
        <v>5629.2599983277778</v>
      </c>
      <c r="F149" s="517">
        <v>6074.2259194064645</v>
      </c>
      <c r="G149" s="518">
        <f t="shared" si="6"/>
        <v>18920.485917734244</v>
      </c>
      <c r="H149" s="622"/>
      <c r="I149" s="622"/>
      <c r="J149" s="622"/>
      <c r="K149" s="622"/>
      <c r="L149" s="506"/>
    </row>
    <row r="150" spans="2:12" ht="16.2" x14ac:dyDescent="0.3">
      <c r="B150" s="513" t="s">
        <v>200</v>
      </c>
      <c r="C150" s="514" t="s">
        <v>180</v>
      </c>
      <c r="D150" s="515">
        <v>8046.8751847220628</v>
      </c>
      <c r="E150" s="516">
        <v>1448.4375193226454</v>
      </c>
      <c r="F150" s="517">
        <v>9119.1213039957856</v>
      </c>
      <c r="G150" s="518">
        <f t="shared" si="6"/>
        <v>18614.434008040495</v>
      </c>
      <c r="H150" s="622"/>
      <c r="I150" s="622"/>
      <c r="J150" s="622"/>
      <c r="K150" s="622"/>
      <c r="L150" s="506"/>
    </row>
    <row r="151" spans="2:12" ht="16.2" x14ac:dyDescent="0.3">
      <c r="B151" s="513" t="s">
        <v>442</v>
      </c>
      <c r="C151" s="514" t="s">
        <v>215</v>
      </c>
      <c r="D151" s="515">
        <v>7690.3023983315952</v>
      </c>
      <c r="E151" s="516">
        <v>1491.9186653052948</v>
      </c>
      <c r="F151" s="517">
        <v>3945.29602595296</v>
      </c>
      <c r="G151" s="518">
        <f t="shared" si="6"/>
        <v>13127.517089589852</v>
      </c>
      <c r="H151" s="622"/>
      <c r="I151" s="622"/>
      <c r="J151" s="622"/>
      <c r="K151" s="622"/>
      <c r="L151" s="506"/>
    </row>
    <row r="152" spans="2:12" ht="16.2" x14ac:dyDescent="0.3">
      <c r="B152" s="513" t="s">
        <v>465</v>
      </c>
      <c r="C152" s="514" t="s">
        <v>661</v>
      </c>
      <c r="D152" s="515">
        <v>8194.0010000000002</v>
      </c>
      <c r="E152" s="516">
        <v>12997.734084983364</v>
      </c>
      <c r="F152" s="517">
        <v>826.39914344670069</v>
      </c>
      <c r="G152" s="518">
        <f t="shared" si="6"/>
        <v>22018.134228430063</v>
      </c>
      <c r="H152" s="622"/>
      <c r="I152" s="622"/>
      <c r="J152" s="622"/>
      <c r="K152" s="622"/>
      <c r="L152" s="506"/>
    </row>
    <row r="153" spans="2:12" ht="16.2" x14ac:dyDescent="0.3">
      <c r="B153" s="513" t="s">
        <v>440</v>
      </c>
      <c r="C153" s="514" t="s">
        <v>180</v>
      </c>
      <c r="D153" s="515">
        <v>8405.1381152665672</v>
      </c>
      <c r="E153" s="516">
        <v>2143.3102212875601</v>
      </c>
      <c r="F153" s="517">
        <v>8436.3071709021242</v>
      </c>
      <c r="G153" s="518">
        <f t="shared" si="6"/>
        <v>18984.755507456252</v>
      </c>
      <c r="H153" s="622"/>
      <c r="I153" s="622"/>
      <c r="J153" s="622"/>
      <c r="K153" s="622"/>
      <c r="L153" s="506"/>
    </row>
    <row r="154" spans="2:12" ht="16.2" x14ac:dyDescent="0.3">
      <c r="B154" s="513" t="s">
        <v>468</v>
      </c>
      <c r="C154" s="514" t="s">
        <v>661</v>
      </c>
      <c r="D154" s="515">
        <v>8074.9934999999996</v>
      </c>
      <c r="E154" s="516">
        <v>5634.4700779199538</v>
      </c>
      <c r="F154" s="517">
        <v>9445.3925118980042</v>
      </c>
      <c r="G154" s="518">
        <f t="shared" si="6"/>
        <v>23154.856089817957</v>
      </c>
      <c r="H154" s="622"/>
      <c r="I154" s="622"/>
      <c r="J154" s="622"/>
      <c r="K154" s="622"/>
      <c r="L154" s="506"/>
    </row>
    <row r="155" spans="2:12" ht="16.2" x14ac:dyDescent="0.3">
      <c r="B155" s="513" t="s">
        <v>463</v>
      </c>
      <c r="C155" s="514" t="s">
        <v>661</v>
      </c>
      <c r="D155" s="515">
        <v>8526.9989999999998</v>
      </c>
      <c r="E155" s="516">
        <v>8244.5421580989023</v>
      </c>
      <c r="F155" s="517">
        <v>5922.0600207900561</v>
      </c>
      <c r="G155" s="518">
        <f t="shared" si="6"/>
        <v>22693.601178888959</v>
      </c>
      <c r="H155" s="622"/>
      <c r="I155" s="622"/>
      <c r="J155" s="622"/>
      <c r="K155" s="622"/>
      <c r="L155" s="506"/>
    </row>
    <row r="156" spans="2:12" ht="16.2" x14ac:dyDescent="0.3">
      <c r="B156" s="513" t="s">
        <v>430</v>
      </c>
      <c r="C156" s="514" t="s">
        <v>180</v>
      </c>
      <c r="D156" s="515">
        <v>8671.7062634989197</v>
      </c>
      <c r="E156" s="516">
        <v>2406.3984846475437</v>
      </c>
      <c r="F156" s="517">
        <v>9433.9733321501953</v>
      </c>
      <c r="G156" s="518">
        <f t="shared" si="6"/>
        <v>20512.078080296658</v>
      </c>
      <c r="H156" s="622"/>
      <c r="I156" s="622"/>
      <c r="J156" s="622"/>
      <c r="K156" s="622"/>
      <c r="L156" s="506"/>
    </row>
    <row r="157" spans="2:12" ht="16.2" x14ac:dyDescent="0.3">
      <c r="B157" s="513" t="s">
        <v>455</v>
      </c>
      <c r="C157" s="514" t="s">
        <v>661</v>
      </c>
      <c r="D157" s="515">
        <v>9889.01</v>
      </c>
      <c r="E157" s="516">
        <v>8714.9480958213044</v>
      </c>
      <c r="F157" s="517">
        <v>8182.1256701058674</v>
      </c>
      <c r="G157" s="518">
        <f t="shared" si="6"/>
        <v>26786.083765927171</v>
      </c>
      <c r="H157" s="622"/>
      <c r="I157" s="622"/>
      <c r="J157" s="622"/>
      <c r="K157" s="622"/>
      <c r="L157" s="506"/>
    </row>
    <row r="158" spans="2:12" ht="16.2" x14ac:dyDescent="0.3">
      <c r="B158" s="513" t="s">
        <v>446</v>
      </c>
      <c r="C158" s="514" t="s">
        <v>661</v>
      </c>
      <c r="D158" s="515">
        <v>10544.72077</v>
      </c>
      <c r="E158" s="516">
        <v>5818.6807657722684</v>
      </c>
      <c r="F158" s="517">
        <v>11103.9824356517</v>
      </c>
      <c r="G158" s="518">
        <f t="shared" si="6"/>
        <v>27467.383971423966</v>
      </c>
      <c r="H158" s="622"/>
      <c r="I158" s="622"/>
      <c r="J158" s="622"/>
      <c r="K158" s="622"/>
      <c r="L158" s="506"/>
    </row>
    <row r="159" spans="2:12" ht="16.2" x14ac:dyDescent="0.3">
      <c r="B159" s="513" t="s">
        <v>205</v>
      </c>
      <c r="C159" s="514" t="s">
        <v>180</v>
      </c>
      <c r="D159" s="515">
        <v>12097.305899738547</v>
      </c>
      <c r="E159" s="516">
        <v>6774.4912985591282</v>
      </c>
      <c r="F159" s="517">
        <v>7896.0607056355475</v>
      </c>
      <c r="G159" s="518">
        <f t="shared" si="6"/>
        <v>26767.857903933222</v>
      </c>
      <c r="H159" s="622"/>
      <c r="I159" s="622"/>
      <c r="J159" s="622"/>
      <c r="K159" s="622"/>
      <c r="L159" s="506"/>
    </row>
    <row r="160" spans="2:12" ht="16.2" x14ac:dyDescent="0.3">
      <c r="B160" s="513" t="s">
        <v>482</v>
      </c>
      <c r="C160" s="514" t="s">
        <v>180</v>
      </c>
      <c r="D160" s="515">
        <v>13124.340070478573</v>
      </c>
      <c r="E160" s="516">
        <v>22048.891335474367</v>
      </c>
      <c r="F160" s="517">
        <v>0</v>
      </c>
      <c r="G160" s="518">
        <f t="shared" si="6"/>
        <v>35173.231405952938</v>
      </c>
      <c r="H160" s="622"/>
      <c r="I160" s="622"/>
      <c r="J160" s="622"/>
      <c r="K160" s="622"/>
      <c r="L160" s="506"/>
    </row>
    <row r="161" spans="2:12" ht="16.2" x14ac:dyDescent="0.3">
      <c r="B161" s="513" t="s">
        <v>201</v>
      </c>
      <c r="C161" s="514" t="s">
        <v>180</v>
      </c>
      <c r="D161" s="515">
        <v>15750.254291235646</v>
      </c>
      <c r="E161" s="516">
        <v>25909.168307440832</v>
      </c>
      <c r="F161" s="517">
        <v>0</v>
      </c>
      <c r="G161" s="518">
        <f t="shared" si="6"/>
        <v>41659.42259867648</v>
      </c>
      <c r="H161" s="622"/>
      <c r="I161" s="622"/>
      <c r="J161" s="622"/>
      <c r="K161" s="622"/>
      <c r="L161" s="506"/>
    </row>
    <row r="162" spans="2:12" ht="16.2" x14ac:dyDescent="0.3">
      <c r="B162" s="513" t="s">
        <v>452</v>
      </c>
      <c r="C162" s="514" t="s">
        <v>661</v>
      </c>
      <c r="D162" s="515">
        <v>17632.364610000001</v>
      </c>
      <c r="E162" s="516">
        <v>7758.2404178357865</v>
      </c>
      <c r="F162" s="517">
        <v>20139.099111246924</v>
      </c>
      <c r="G162" s="518">
        <f t="shared" si="6"/>
        <v>45529.704139082707</v>
      </c>
      <c r="H162" s="622"/>
      <c r="I162" s="622"/>
      <c r="J162" s="622"/>
      <c r="K162" s="622"/>
      <c r="L162" s="506"/>
    </row>
    <row r="163" spans="2:12" ht="16.2" x14ac:dyDescent="0.3">
      <c r="B163" s="513" t="s">
        <v>434</v>
      </c>
      <c r="C163" s="514" t="s">
        <v>180</v>
      </c>
      <c r="D163" s="515">
        <v>19402.588245992953</v>
      </c>
      <c r="E163" s="516">
        <v>6596.8799998351824</v>
      </c>
      <c r="F163" s="517">
        <v>18420.87116533476</v>
      </c>
      <c r="G163" s="518">
        <f t="shared" si="6"/>
        <v>44420.339411162895</v>
      </c>
      <c r="H163" s="622"/>
      <c r="I163" s="622"/>
      <c r="J163" s="622"/>
      <c r="K163" s="622"/>
      <c r="L163" s="506"/>
    </row>
    <row r="164" spans="2:12" ht="16.2" x14ac:dyDescent="0.3">
      <c r="B164" s="513" t="s">
        <v>198</v>
      </c>
      <c r="C164" s="514" t="s">
        <v>180</v>
      </c>
      <c r="D164" s="515">
        <v>20230.814857337726</v>
      </c>
      <c r="E164" s="516">
        <v>11379.83334677363</v>
      </c>
      <c r="F164" s="517">
        <v>22835.532266503626</v>
      </c>
      <c r="G164" s="518">
        <f t="shared" si="6"/>
        <v>54446.180470614985</v>
      </c>
      <c r="H164" s="622"/>
      <c r="I164" s="622"/>
      <c r="J164" s="622"/>
      <c r="K164" s="622"/>
      <c r="L164" s="506"/>
    </row>
    <row r="165" spans="2:12" ht="16.2" x14ac:dyDescent="0.3">
      <c r="B165" s="513" t="s">
        <v>691</v>
      </c>
      <c r="C165" s="514" t="s">
        <v>661</v>
      </c>
      <c r="D165" s="515">
        <v>21692.86678</v>
      </c>
      <c r="E165" s="516">
        <v>2899.9203783335529</v>
      </c>
      <c r="F165" s="517">
        <v>5360.3499716664464</v>
      </c>
      <c r="G165" s="518">
        <f t="shared" si="6"/>
        <v>29953.137130000003</v>
      </c>
      <c r="H165" s="622"/>
      <c r="I165" s="622"/>
      <c r="J165" s="622"/>
      <c r="K165" s="622"/>
      <c r="L165" s="506"/>
    </row>
    <row r="166" spans="2:12" ht="16.2" x14ac:dyDescent="0.3">
      <c r="B166" s="513" t="s">
        <v>444</v>
      </c>
      <c r="C166" s="514" t="s">
        <v>661</v>
      </c>
      <c r="D166" s="515">
        <v>26591.737000000001</v>
      </c>
      <c r="E166" s="516">
        <v>1543.5035454878771</v>
      </c>
      <c r="F166" s="517">
        <v>8038.6121145121233</v>
      </c>
      <c r="G166" s="518">
        <f t="shared" ref="G166:G176" si="7">SUM(D166:F166)</f>
        <v>36173.852660000004</v>
      </c>
      <c r="H166" s="622"/>
      <c r="I166" s="622"/>
      <c r="J166" s="622"/>
      <c r="K166" s="622"/>
      <c r="L166" s="506"/>
    </row>
    <row r="167" spans="2:12" ht="16.2" x14ac:dyDescent="0.3">
      <c r="B167" s="513" t="s">
        <v>197</v>
      </c>
      <c r="C167" s="514" t="s">
        <v>180</v>
      </c>
      <c r="D167" s="515">
        <v>28307.913084005912</v>
      </c>
      <c r="E167" s="516">
        <v>5803.1221778116578</v>
      </c>
      <c r="F167" s="517">
        <v>38357.025646061382</v>
      </c>
      <c r="G167" s="518">
        <f t="shared" si="7"/>
        <v>72468.060907878942</v>
      </c>
      <c r="H167" s="622"/>
      <c r="I167" s="622"/>
      <c r="J167" s="622"/>
      <c r="K167" s="622"/>
      <c r="L167" s="506"/>
    </row>
    <row r="168" spans="2:12" ht="16.2" x14ac:dyDescent="0.3">
      <c r="B168" s="513" t="s">
        <v>433</v>
      </c>
      <c r="C168" s="514" t="s">
        <v>180</v>
      </c>
      <c r="D168" s="515">
        <v>29125.677810617253</v>
      </c>
      <c r="E168" s="516">
        <v>3058.1961709839225</v>
      </c>
      <c r="F168" s="517">
        <v>41124.243497477939</v>
      </c>
      <c r="G168" s="518">
        <f t="shared" si="7"/>
        <v>73308.117479079112</v>
      </c>
      <c r="H168" s="622"/>
      <c r="I168" s="622"/>
      <c r="J168" s="622"/>
      <c r="K168" s="622"/>
      <c r="L168" s="506"/>
    </row>
    <row r="169" spans="2:12" ht="16.2" x14ac:dyDescent="0.3">
      <c r="B169" s="513" t="s">
        <v>212</v>
      </c>
      <c r="C169" s="514" t="s">
        <v>180</v>
      </c>
      <c r="D169" s="515">
        <v>35332.215528020919</v>
      </c>
      <c r="E169" s="516">
        <v>3268.2299346822538</v>
      </c>
      <c r="F169" s="517">
        <v>44157.417806418867</v>
      </c>
      <c r="G169" s="518">
        <f t="shared" si="7"/>
        <v>82757.863269122041</v>
      </c>
      <c r="H169" s="622"/>
      <c r="I169" s="622"/>
      <c r="J169" s="622"/>
      <c r="K169" s="622"/>
      <c r="L169" s="506"/>
    </row>
    <row r="170" spans="2:12" ht="16.2" x14ac:dyDescent="0.3">
      <c r="B170" s="513" t="s">
        <v>458</v>
      </c>
      <c r="C170" s="514" t="s">
        <v>661</v>
      </c>
      <c r="D170" s="515">
        <v>35578.000999999997</v>
      </c>
      <c r="E170" s="516">
        <v>37755.360273302467</v>
      </c>
      <c r="F170" s="517">
        <v>18369.366641288085</v>
      </c>
      <c r="G170" s="518">
        <f t="shared" si="7"/>
        <v>91702.727914590549</v>
      </c>
      <c r="H170" s="622"/>
      <c r="I170" s="622"/>
      <c r="J170" s="622"/>
      <c r="K170" s="622"/>
      <c r="L170" s="506"/>
    </row>
    <row r="171" spans="2:12" ht="16.2" x14ac:dyDescent="0.3">
      <c r="B171" s="513" t="s">
        <v>199</v>
      </c>
      <c r="C171" s="514" t="s">
        <v>180</v>
      </c>
      <c r="D171" s="515">
        <v>37749.696123678528</v>
      </c>
      <c r="E171" s="516">
        <v>44355.892929884445</v>
      </c>
      <c r="F171" s="517">
        <v>21845.277287235014</v>
      </c>
      <c r="G171" s="518">
        <f t="shared" si="7"/>
        <v>103950.86634079799</v>
      </c>
      <c r="H171" s="622"/>
      <c r="I171" s="622"/>
      <c r="J171" s="622"/>
      <c r="K171" s="622"/>
      <c r="L171" s="506"/>
    </row>
    <row r="172" spans="2:12" ht="16.2" x14ac:dyDescent="0.3">
      <c r="B172" s="513" t="s">
        <v>448</v>
      </c>
      <c r="C172" s="514" t="s">
        <v>661</v>
      </c>
      <c r="D172" s="515">
        <v>51551.826000000001</v>
      </c>
      <c r="E172" s="516">
        <v>72881.394047324051</v>
      </c>
      <c r="F172" s="517">
        <v>0</v>
      </c>
      <c r="G172" s="518">
        <f t="shared" si="7"/>
        <v>124433.22004732405</v>
      </c>
      <c r="H172" s="622"/>
      <c r="I172" s="622"/>
      <c r="J172" s="622"/>
      <c r="K172" s="622"/>
      <c r="L172" s="506"/>
    </row>
    <row r="173" spans="2:12" ht="16.2" x14ac:dyDescent="0.3">
      <c r="B173" s="513" t="s">
        <v>445</v>
      </c>
      <c r="C173" s="514" t="s">
        <v>661</v>
      </c>
      <c r="D173" s="515">
        <v>53029.004000000001</v>
      </c>
      <c r="E173" s="516">
        <v>8871.3659617860903</v>
      </c>
      <c r="F173" s="517">
        <v>54836.225091301159</v>
      </c>
      <c r="G173" s="518">
        <f t="shared" si="7"/>
        <v>116736.59505308725</v>
      </c>
      <c r="H173" s="622"/>
      <c r="I173" s="622"/>
      <c r="J173" s="622"/>
      <c r="K173" s="622"/>
      <c r="L173" s="506"/>
    </row>
    <row r="174" spans="2:12" ht="16.2" x14ac:dyDescent="0.3">
      <c r="B174" s="513" t="s">
        <v>470</v>
      </c>
      <c r="C174" s="514" t="s">
        <v>661</v>
      </c>
      <c r="D174" s="515">
        <v>58417.519240000001</v>
      </c>
      <c r="E174" s="516">
        <v>66595.971818656835</v>
      </c>
      <c r="F174" s="517">
        <v>0</v>
      </c>
      <c r="G174" s="518">
        <f t="shared" si="7"/>
        <v>125013.49105865683</v>
      </c>
      <c r="H174" s="622"/>
      <c r="I174" s="622"/>
      <c r="J174" s="622"/>
      <c r="K174" s="622"/>
      <c r="L174" s="506"/>
    </row>
    <row r="175" spans="2:12" ht="16.2" x14ac:dyDescent="0.3">
      <c r="B175" s="513" t="s">
        <v>469</v>
      </c>
      <c r="C175" s="514" t="s">
        <v>661</v>
      </c>
      <c r="D175" s="515">
        <v>110804.33284</v>
      </c>
      <c r="E175" s="516">
        <v>128948.54235617546</v>
      </c>
      <c r="F175" s="517">
        <v>0</v>
      </c>
      <c r="G175" s="518">
        <f t="shared" si="7"/>
        <v>239752.87519617548</v>
      </c>
      <c r="H175" s="622"/>
      <c r="I175" s="622"/>
      <c r="J175" s="622"/>
      <c r="K175" s="622"/>
      <c r="L175" s="506"/>
    </row>
    <row r="176" spans="2:12" ht="16.2" x14ac:dyDescent="0.3">
      <c r="B176" s="513" t="s">
        <v>447</v>
      </c>
      <c r="C176" s="514" t="s">
        <v>661</v>
      </c>
      <c r="D176" s="515">
        <v>181636.8</v>
      </c>
      <c r="E176" s="516">
        <v>297405.42350999999</v>
      </c>
      <c r="F176" s="517">
        <v>0</v>
      </c>
      <c r="G176" s="518">
        <f t="shared" si="7"/>
        <v>479042.22350999998</v>
      </c>
      <c r="H176" s="622"/>
      <c r="I176" s="622"/>
      <c r="J176" s="622"/>
      <c r="K176" s="622"/>
      <c r="L176" s="506"/>
    </row>
    <row r="177" spans="1:12" ht="16.8" thickBot="1" x14ac:dyDescent="0.35">
      <c r="B177" s="526"/>
      <c r="C177" s="527"/>
      <c r="D177" s="515"/>
      <c r="E177" s="516"/>
      <c r="F177" s="542"/>
      <c r="G177" s="519"/>
      <c r="H177" s="505"/>
      <c r="I177" s="506"/>
      <c r="J177" s="506"/>
      <c r="K177" s="506"/>
      <c r="L177" s="506"/>
    </row>
    <row r="178" spans="1:12" ht="17.399999999999999" thickTop="1" thickBot="1" x14ac:dyDescent="0.35">
      <c r="A178" s="238"/>
      <c r="B178" s="1360" t="s">
        <v>275</v>
      </c>
      <c r="C178" s="1361"/>
      <c r="D178" s="543">
        <f>+D60+D33+D17</f>
        <v>1059021.0425543319</v>
      </c>
      <c r="E178" s="544">
        <f t="shared" ref="E178:G178" si="8">+E60+E33+E17</f>
        <v>865683.32294613926</v>
      </c>
      <c r="F178" s="545">
        <f t="shared" si="8"/>
        <v>514598.80439681944</v>
      </c>
      <c r="G178" s="545">
        <f t="shared" si="8"/>
        <v>2439303.1698972904</v>
      </c>
      <c r="H178" s="505"/>
      <c r="I178" s="506"/>
      <c r="J178" s="506"/>
      <c r="K178" s="506"/>
      <c r="L178" s="506"/>
    </row>
    <row r="179" spans="1:12" s="238" customFormat="1" ht="16.8" thickTop="1" x14ac:dyDescent="0.3">
      <c r="A179" s="224"/>
      <c r="B179" s="546"/>
      <c r="C179" s="546"/>
      <c r="D179" s="547"/>
      <c r="E179" s="547"/>
      <c r="F179" s="547"/>
      <c r="G179" s="547"/>
      <c r="H179" s="505"/>
      <c r="I179" s="506"/>
      <c r="J179" s="506"/>
      <c r="K179" s="506"/>
      <c r="L179" s="506"/>
    </row>
    <row r="180" spans="1:12" ht="16.2" x14ac:dyDescent="0.3">
      <c r="B180" s="1362" t="s">
        <v>329</v>
      </c>
      <c r="C180" s="1362"/>
      <c r="D180" s="1362"/>
      <c r="E180" s="1362"/>
      <c r="F180" s="1362"/>
      <c r="G180" s="1362"/>
      <c r="H180" s="505"/>
      <c r="I180" s="506"/>
      <c r="J180" s="506"/>
      <c r="K180" s="506"/>
      <c r="L180" s="506"/>
    </row>
    <row r="181" spans="1:12" ht="16.2" x14ac:dyDescent="0.3">
      <c r="B181" s="1362" t="s">
        <v>402</v>
      </c>
      <c r="C181" s="1362"/>
      <c r="D181" s="1362"/>
      <c r="E181" s="1362"/>
      <c r="F181" s="1362"/>
      <c r="G181" s="1362"/>
      <c r="H181" s="505"/>
      <c r="I181" s="506"/>
      <c r="J181" s="506"/>
      <c r="K181" s="506"/>
      <c r="L181" s="506"/>
    </row>
    <row r="182" spans="1:12" ht="16.2" x14ac:dyDescent="0.3">
      <c r="B182" s="548"/>
      <c r="C182" s="548"/>
      <c r="D182" s="548"/>
      <c r="E182" s="548"/>
      <c r="F182" s="548"/>
      <c r="G182" s="549"/>
      <c r="H182" s="505"/>
      <c r="I182" s="506"/>
      <c r="J182" s="506"/>
      <c r="K182" s="506"/>
      <c r="L182" s="506"/>
    </row>
    <row r="183" spans="1:12" ht="16.2" x14ac:dyDescent="0.3">
      <c r="D183" s="15"/>
      <c r="E183" s="15"/>
      <c r="F183" s="15"/>
      <c r="G183" s="15"/>
      <c r="H183" s="505"/>
    </row>
    <row r="184" spans="1:12" x14ac:dyDescent="0.3">
      <c r="D184" s="15"/>
      <c r="E184" s="15"/>
      <c r="F184" s="15"/>
      <c r="G184" s="15"/>
      <c r="H184" s="15"/>
    </row>
    <row r="185" spans="1:12" x14ac:dyDescent="0.3">
      <c r="D185" s="488"/>
      <c r="E185" s="488"/>
      <c r="F185" s="488"/>
      <c r="G185" s="488"/>
    </row>
    <row r="186" spans="1:12" x14ac:dyDescent="0.3">
      <c r="D186" s="15"/>
      <c r="E186" s="15"/>
      <c r="F186" s="15"/>
      <c r="G186" s="15"/>
    </row>
    <row r="187" spans="1:12" x14ac:dyDescent="0.3">
      <c r="D187" s="552"/>
      <c r="E187" s="552"/>
      <c r="F187" s="553"/>
      <c r="G187" s="553"/>
    </row>
    <row r="188" spans="1:12" x14ac:dyDescent="0.3">
      <c r="D188" s="550"/>
      <c r="E188" s="550"/>
      <c r="F188" s="551"/>
      <c r="G188" s="551"/>
    </row>
    <row r="189" spans="1:12" x14ac:dyDescent="0.3">
      <c r="D189" s="1235"/>
      <c r="E189" s="1235"/>
      <c r="F189" s="1235"/>
      <c r="G189" s="650"/>
    </row>
  </sheetData>
  <mergeCells count="19">
    <mergeCell ref="B6:G6"/>
    <mergeCell ref="B7:G7"/>
    <mergeCell ref="B11:B15"/>
    <mergeCell ref="C11:C15"/>
    <mergeCell ref="D11:D15"/>
    <mergeCell ref="E11:E15"/>
    <mergeCell ref="F11:F15"/>
    <mergeCell ref="G11:G15"/>
    <mergeCell ref="B178:C178"/>
    <mergeCell ref="B180:G180"/>
    <mergeCell ref="B181:G181"/>
    <mergeCell ref="B89:G89"/>
    <mergeCell ref="B90:G90"/>
    <mergeCell ref="B94:B98"/>
    <mergeCell ref="C94:C98"/>
    <mergeCell ref="D94:D98"/>
    <mergeCell ref="E94:E98"/>
    <mergeCell ref="F94:F98"/>
    <mergeCell ref="G94:G9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4"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L105"/>
  <sheetViews>
    <sheetView showGridLines="0" showRuler="0" zoomScale="85" zoomScaleNormal="85" zoomScaleSheetLayoutView="85" workbookViewId="0"/>
  </sheetViews>
  <sheetFormatPr baseColWidth="10" defaultColWidth="11.5546875" defaultRowHeight="14.4" x14ac:dyDescent="0.3"/>
  <cols>
    <col min="1" max="1" width="5.77734375" style="224" bestFit="1" customWidth="1"/>
    <col min="2" max="2" width="77.21875" style="224" customWidth="1"/>
    <col min="3" max="7" width="20.5546875" style="224" customWidth="1"/>
    <col min="8" max="8" width="18.5546875" style="224" customWidth="1"/>
    <col min="9" max="9" width="34" style="224" customWidth="1"/>
    <col min="10" max="16384" width="11.5546875" style="224"/>
  </cols>
  <sheetData>
    <row r="1" spans="1:12" ht="15" x14ac:dyDescent="0.3">
      <c r="A1" s="1" t="s">
        <v>216</v>
      </c>
      <c r="B1" s="223"/>
    </row>
    <row r="2" spans="1:12" ht="15" x14ac:dyDescent="0.3">
      <c r="A2" s="1"/>
      <c r="B2" s="4" t="s">
        <v>693</v>
      </c>
    </row>
    <row r="3" spans="1:12" ht="15" x14ac:dyDescent="0.3">
      <c r="A3" s="223"/>
      <c r="B3" s="4" t="s">
        <v>299</v>
      </c>
    </row>
    <row r="4" spans="1:12" s="227" customFormat="1" ht="11.4" x14ac:dyDescent="0.2">
      <c r="B4" s="136"/>
    </row>
    <row r="5" spans="1:12" s="227" customFormat="1" ht="11.4" x14ac:dyDescent="0.2">
      <c r="B5" s="136"/>
    </row>
    <row r="6" spans="1:12" ht="18" x14ac:dyDescent="0.3">
      <c r="B6" s="1305" t="s">
        <v>643</v>
      </c>
      <c r="C6" s="1305"/>
      <c r="D6" s="1305"/>
      <c r="E6" s="1305"/>
      <c r="F6" s="1305"/>
    </row>
    <row r="7" spans="1:12" ht="15" x14ac:dyDescent="0.3">
      <c r="B7" s="1328" t="s">
        <v>618</v>
      </c>
      <c r="C7" s="1328"/>
      <c r="D7" s="1328"/>
      <c r="E7" s="1328"/>
      <c r="F7" s="1328"/>
    </row>
    <row r="8" spans="1:12" s="227" customFormat="1" ht="11.4" x14ac:dyDescent="0.2">
      <c r="B8" s="136"/>
    </row>
    <row r="9" spans="1:12" s="227" customFormat="1" ht="11.4" x14ac:dyDescent="0.2">
      <c r="B9" s="135"/>
      <c r="D9" s="554"/>
      <c r="E9" s="554"/>
      <c r="F9" s="554"/>
    </row>
    <row r="10" spans="1:12" ht="15" thickBot="1" x14ac:dyDescent="0.35">
      <c r="B10" s="59" t="s">
        <v>218</v>
      </c>
      <c r="D10" s="555"/>
      <c r="E10" s="555"/>
      <c r="F10" s="555"/>
    </row>
    <row r="11" spans="1:12" ht="16.2" thickTop="1" thickBot="1" x14ac:dyDescent="0.35">
      <c r="B11" s="1397" t="s">
        <v>219</v>
      </c>
      <c r="C11" s="1215">
        <v>2020</v>
      </c>
      <c r="D11" s="1399">
        <v>2021</v>
      </c>
      <c r="E11" s="1400"/>
      <c r="F11" s="1400"/>
      <c r="G11" s="1401"/>
    </row>
    <row r="12" spans="1:12" ht="16.2" thickTop="1" thickBot="1" x14ac:dyDescent="0.35">
      <c r="B12" s="1398"/>
      <c r="C12" s="556" t="s">
        <v>801</v>
      </c>
      <c r="D12" s="556" t="s">
        <v>826</v>
      </c>
      <c r="E12" s="556" t="s">
        <v>839</v>
      </c>
      <c r="F12" s="556" t="s">
        <v>853</v>
      </c>
      <c r="G12" s="556" t="s">
        <v>887</v>
      </c>
    </row>
    <row r="13" spans="1:12" ht="15" thickTop="1" x14ac:dyDescent="0.3">
      <c r="B13" s="16"/>
      <c r="C13" s="139"/>
      <c r="D13" s="139"/>
      <c r="E13" s="139"/>
      <c r="F13" s="139"/>
      <c r="G13" s="139"/>
    </row>
    <row r="14" spans="1:12" ht="36" x14ac:dyDescent="0.3">
      <c r="B14" s="557" t="s">
        <v>619</v>
      </c>
      <c r="C14" s="74">
        <f>+C17+C76</f>
        <v>349096604.06598067</v>
      </c>
      <c r="D14" s="74">
        <f>+D17+D76</f>
        <v>348765843.92135662</v>
      </c>
      <c r="E14" s="74">
        <f>+E17+E76</f>
        <v>356804318.20946109</v>
      </c>
      <c r="F14" s="74">
        <f>+F17+F76</f>
        <v>355735956.11432391</v>
      </c>
      <c r="G14" s="74">
        <f>+G17+G76</f>
        <v>376214952.24697506</v>
      </c>
      <c r="I14" s="15"/>
      <c r="J14" s="15"/>
      <c r="K14" s="15"/>
      <c r="L14" s="15"/>
    </row>
    <row r="15" spans="1:12" ht="15" thickBot="1" x14ac:dyDescent="0.35">
      <c r="B15" s="35"/>
      <c r="C15" s="140"/>
      <c r="D15" s="140"/>
      <c r="E15" s="140"/>
      <c r="F15" s="140"/>
      <c r="G15" s="140"/>
      <c r="I15" s="15"/>
      <c r="J15" s="15"/>
      <c r="K15" s="15"/>
      <c r="L15" s="15"/>
    </row>
    <row r="16" spans="1:12" ht="15" thickTop="1" x14ac:dyDescent="0.3">
      <c r="B16" s="16"/>
      <c r="C16" s="139"/>
      <c r="D16" s="139"/>
      <c r="E16" s="139"/>
      <c r="F16" s="139"/>
      <c r="G16" s="139"/>
      <c r="I16" s="15"/>
      <c r="J16" s="15"/>
      <c r="K16" s="15"/>
      <c r="L16" s="15"/>
    </row>
    <row r="17" spans="2:12" s="238" customFormat="1" ht="16.2" x14ac:dyDescent="0.3">
      <c r="B17" s="558" t="s">
        <v>628</v>
      </c>
      <c r="C17" s="79">
        <f>+C20+C53+C63+C68</f>
        <v>335582217.91753709</v>
      </c>
      <c r="D17" s="79">
        <f>+D20+D53+D63+D68</f>
        <v>335556129.84585798</v>
      </c>
      <c r="E17" s="79">
        <f>+E20+E53+E63+E68</f>
        <v>343523942.65465468</v>
      </c>
      <c r="F17" s="79">
        <f>+F20+F53+F63+F68</f>
        <v>342620088.04056281</v>
      </c>
      <c r="G17" s="79">
        <f>+G20+G53+G63+G68</f>
        <v>363232609.17977554</v>
      </c>
      <c r="I17" s="15"/>
      <c r="J17" s="15"/>
      <c r="K17" s="15"/>
      <c r="L17" s="15"/>
    </row>
    <row r="18" spans="2:12" ht="15" thickBot="1" x14ac:dyDescent="0.35">
      <c r="B18" s="35"/>
      <c r="C18" s="209"/>
      <c r="D18" s="209"/>
      <c r="E18" s="209"/>
      <c r="F18" s="209"/>
      <c r="G18" s="209"/>
      <c r="I18" s="15"/>
      <c r="J18" s="15"/>
      <c r="K18" s="15"/>
      <c r="L18" s="15"/>
    </row>
    <row r="19" spans="2:12" ht="15" thickTop="1" x14ac:dyDescent="0.3">
      <c r="B19" s="26"/>
      <c r="C19" s="559"/>
      <c r="D19" s="559"/>
      <c r="E19" s="559"/>
      <c r="F19" s="559"/>
      <c r="G19" s="559"/>
      <c r="I19" s="15"/>
      <c r="J19" s="15"/>
      <c r="K19" s="15"/>
      <c r="L19" s="15"/>
    </row>
    <row r="20" spans="2:12" s="238" customFormat="1" ht="16.2" x14ac:dyDescent="0.3">
      <c r="B20" s="560" t="s">
        <v>390</v>
      </c>
      <c r="C20" s="561">
        <f>+C22+C26+C28+C51</f>
        <v>310360761.40248388</v>
      </c>
      <c r="D20" s="561">
        <f>+D22+D26+D28+D51</f>
        <v>310276520.6133008</v>
      </c>
      <c r="E20" s="561">
        <f>+E22+E26+E28+E51</f>
        <v>317946428.49065226</v>
      </c>
      <c r="F20" s="561">
        <f>+F22+F26+F28+F51</f>
        <v>316173084.4072361</v>
      </c>
      <c r="G20" s="561">
        <f>+G22+G26+G28+G51</f>
        <v>325767712.36216724</v>
      </c>
      <c r="I20" s="15"/>
      <c r="J20" s="15"/>
      <c r="K20" s="15"/>
      <c r="L20" s="15"/>
    </row>
    <row r="21" spans="2:12" x14ac:dyDescent="0.3">
      <c r="B21" s="26"/>
      <c r="C21" s="142"/>
      <c r="D21" s="142"/>
      <c r="E21" s="142"/>
      <c r="F21" s="142"/>
      <c r="G21" s="142"/>
      <c r="I21" s="15"/>
      <c r="J21" s="15"/>
      <c r="K21" s="15"/>
      <c r="L21" s="15"/>
    </row>
    <row r="22" spans="2:12" s="223" customFormat="1" ht="15" x14ac:dyDescent="0.3">
      <c r="B22" s="90" t="s">
        <v>300</v>
      </c>
      <c r="C22" s="94">
        <f>+C23+C24</f>
        <v>213925756.09160665</v>
      </c>
      <c r="D22" s="94">
        <f>+D23+D24</f>
        <v>215900991.45836648</v>
      </c>
      <c r="E22" s="94">
        <f>+E23+E24</f>
        <v>222214728.71937531</v>
      </c>
      <c r="F22" s="94">
        <f>+F23+F24</f>
        <v>223538489.85921568</v>
      </c>
      <c r="G22" s="94">
        <f>+G23+G24</f>
        <v>230369009.20414138</v>
      </c>
      <c r="I22" s="15"/>
      <c r="J22" s="15"/>
      <c r="K22" s="15"/>
      <c r="L22" s="15"/>
    </row>
    <row r="23" spans="2:12" x14ac:dyDescent="0.3">
      <c r="B23" s="22" t="s">
        <v>267</v>
      </c>
      <c r="C23" s="99">
        <v>47590243.771269649</v>
      </c>
      <c r="D23" s="119">
        <v>49808169.51101806</v>
      </c>
      <c r="E23" s="99">
        <v>56062276.96264939</v>
      </c>
      <c r="F23" s="99">
        <v>55630559.374693289</v>
      </c>
      <c r="G23" s="99">
        <v>60334299.229536504</v>
      </c>
      <c r="I23" s="15"/>
      <c r="J23" s="15"/>
      <c r="K23" s="15"/>
      <c r="L23" s="15"/>
    </row>
    <row r="24" spans="2:12" x14ac:dyDescent="0.3">
      <c r="B24" s="25" t="s">
        <v>107</v>
      </c>
      <c r="C24" s="99">
        <v>166335512.320337</v>
      </c>
      <c r="D24" s="119">
        <v>166092821.94734842</v>
      </c>
      <c r="E24" s="99">
        <v>166152451.75672591</v>
      </c>
      <c r="F24" s="99">
        <v>167907930.4845224</v>
      </c>
      <c r="G24" s="99">
        <v>170034709.97460487</v>
      </c>
      <c r="I24" s="15"/>
      <c r="J24" s="15"/>
      <c r="K24" s="15"/>
      <c r="L24" s="15"/>
    </row>
    <row r="25" spans="2:12" x14ac:dyDescent="0.3">
      <c r="B25" s="562"/>
      <c r="C25" s="145"/>
      <c r="D25" s="563"/>
      <c r="E25" s="145"/>
      <c r="F25" s="145"/>
      <c r="G25" s="145"/>
      <c r="I25" s="15"/>
      <c r="J25" s="15"/>
      <c r="K25" s="15"/>
      <c r="L25" s="15"/>
    </row>
    <row r="26" spans="2:12" s="223" customFormat="1" ht="15" x14ac:dyDescent="0.3">
      <c r="B26" s="90" t="s">
        <v>400</v>
      </c>
      <c r="C26" s="91">
        <v>8208699.9003800005</v>
      </c>
      <c r="D26" s="564">
        <v>8139931.56568</v>
      </c>
      <c r="E26" s="91">
        <v>9653177.6817946658</v>
      </c>
      <c r="F26" s="91">
        <v>10061943.058107773</v>
      </c>
      <c r="G26" s="91">
        <v>9432983.5779982805</v>
      </c>
      <c r="I26" s="15"/>
      <c r="J26" s="15"/>
      <c r="K26" s="15"/>
      <c r="L26" s="15"/>
    </row>
    <row r="27" spans="2:12" x14ac:dyDescent="0.3">
      <c r="B27" s="562"/>
      <c r="C27" s="145"/>
      <c r="D27" s="145"/>
      <c r="E27" s="145"/>
      <c r="F27" s="145"/>
      <c r="G27" s="145"/>
      <c r="I27" s="15"/>
      <c r="J27" s="15"/>
      <c r="K27" s="15"/>
      <c r="L27" s="15"/>
    </row>
    <row r="28" spans="2:12" s="223" customFormat="1" ht="15" x14ac:dyDescent="0.3">
      <c r="B28" s="90" t="s">
        <v>52</v>
      </c>
      <c r="C28" s="94">
        <f>+C30+C32+C43+C45+C47+C49</f>
        <v>81615692.777542248</v>
      </c>
      <c r="D28" s="94">
        <f>+D30+D32+D43+D45+D47+D49</f>
        <v>80188415.983557776</v>
      </c>
      <c r="E28" s="94">
        <f>+E30+E32+E43+E45+E47+E49</f>
        <v>80267708.596486047</v>
      </c>
      <c r="F28" s="94">
        <f>+F30+F32+F43+F45+F47+F49</f>
        <v>77326284.953223541</v>
      </c>
      <c r="G28" s="94">
        <f>+G30+G32+G43+G45+G47+G49</f>
        <v>78101972.621390104</v>
      </c>
      <c r="I28" s="15"/>
      <c r="J28" s="15"/>
      <c r="K28" s="15"/>
      <c r="L28" s="15"/>
    </row>
    <row r="29" spans="2:12" x14ac:dyDescent="0.3">
      <c r="B29" s="20"/>
      <c r="C29" s="145"/>
      <c r="D29" s="145"/>
      <c r="E29" s="145"/>
      <c r="F29" s="145"/>
      <c r="G29" s="145"/>
      <c r="I29" s="15"/>
      <c r="J29" s="15"/>
      <c r="K29" s="15"/>
      <c r="L29" s="15"/>
    </row>
    <row r="30" spans="2:12" x14ac:dyDescent="0.3">
      <c r="B30" s="93" t="s">
        <v>362</v>
      </c>
      <c r="C30" s="95">
        <v>605045.59676259232</v>
      </c>
      <c r="D30" s="114">
        <v>619031.92033093935</v>
      </c>
      <c r="E30" s="95">
        <v>670951.9368881738</v>
      </c>
      <c r="F30" s="95">
        <v>711511.65047191153</v>
      </c>
      <c r="G30" s="95">
        <v>751015.36872733664</v>
      </c>
      <c r="I30" s="15"/>
      <c r="J30" s="15"/>
      <c r="K30" s="15"/>
      <c r="L30" s="15"/>
    </row>
    <row r="31" spans="2:12" x14ac:dyDescent="0.3">
      <c r="B31" s="26"/>
      <c r="C31" s="89"/>
      <c r="D31" s="89"/>
      <c r="E31" s="89"/>
      <c r="F31" s="89"/>
      <c r="G31" s="89"/>
      <c r="I31" s="15"/>
      <c r="J31" s="15"/>
      <c r="K31" s="15"/>
      <c r="L31" s="15"/>
    </row>
    <row r="32" spans="2:12" x14ac:dyDescent="0.3">
      <c r="B32" s="93" t="s">
        <v>265</v>
      </c>
      <c r="C32" s="89">
        <f>SUM(C33:C41)</f>
        <v>71268153.583730102</v>
      </c>
      <c r="D32" s="89">
        <f>SUM(D33:D41)</f>
        <v>70261710.270418361</v>
      </c>
      <c r="E32" s="89">
        <f>SUM(E33:E41)</f>
        <v>70563442.527173772</v>
      </c>
      <c r="F32" s="89">
        <f>SUM(F33:F41)</f>
        <v>68063589.892435417</v>
      </c>
      <c r="G32" s="89">
        <f>SUM(G33:G41)</f>
        <v>68065416.412906617</v>
      </c>
      <c r="I32" s="15"/>
      <c r="J32" s="15"/>
      <c r="K32" s="15"/>
      <c r="L32" s="15"/>
    </row>
    <row r="33" spans="2:12" x14ac:dyDescent="0.3">
      <c r="B33" s="22" t="s">
        <v>524</v>
      </c>
      <c r="C33" s="99">
        <v>2625</v>
      </c>
      <c r="D33" s="119">
        <v>2625</v>
      </c>
      <c r="E33" s="99">
        <v>6822.1453700000002</v>
      </c>
      <c r="F33" s="99">
        <v>6822.1453700000002</v>
      </c>
      <c r="G33" s="99">
        <v>79285.844870000001</v>
      </c>
      <c r="I33" s="15"/>
      <c r="J33" s="15"/>
      <c r="K33" s="15"/>
      <c r="L33" s="15"/>
    </row>
    <row r="34" spans="2:12" x14ac:dyDescent="0.3">
      <c r="B34" s="22" t="s">
        <v>261</v>
      </c>
      <c r="C34" s="99">
        <v>7721122.1924700011</v>
      </c>
      <c r="D34" s="119">
        <v>7738428.4433400007</v>
      </c>
      <c r="E34" s="99">
        <v>7852691.048630002</v>
      </c>
      <c r="F34" s="99">
        <v>7805008.6167540029</v>
      </c>
      <c r="G34" s="99">
        <v>8517392.9526040014</v>
      </c>
      <c r="I34" s="15"/>
      <c r="J34" s="15"/>
      <c r="K34" s="15"/>
      <c r="L34" s="15"/>
    </row>
    <row r="35" spans="2:12" x14ac:dyDescent="0.3">
      <c r="B35" s="22" t="s">
        <v>260</v>
      </c>
      <c r="C35" s="99">
        <v>13368113.993966</v>
      </c>
      <c r="D35" s="119">
        <v>13197692.113915997</v>
      </c>
      <c r="E35" s="99">
        <v>13144787.356645998</v>
      </c>
      <c r="F35" s="99">
        <v>13246590.581485998</v>
      </c>
      <c r="G35" s="99">
        <v>14051576.594236</v>
      </c>
      <c r="I35" s="15"/>
      <c r="J35" s="15"/>
      <c r="K35" s="15"/>
      <c r="L35" s="15"/>
    </row>
    <row r="36" spans="2:12" x14ac:dyDescent="0.3">
      <c r="B36" s="22" t="s">
        <v>262</v>
      </c>
      <c r="C36" s="99">
        <v>323383.06634000002</v>
      </c>
      <c r="D36" s="119">
        <v>348643.67243000009</v>
      </c>
      <c r="E36" s="99">
        <v>352687.51808000007</v>
      </c>
      <c r="F36" s="99">
        <v>367188.01069999998</v>
      </c>
      <c r="G36" s="99">
        <v>404331.29771999997</v>
      </c>
      <c r="I36" s="15"/>
      <c r="J36" s="15"/>
      <c r="K36" s="15"/>
      <c r="L36" s="15"/>
    </row>
    <row r="37" spans="2:12" x14ac:dyDescent="0.3">
      <c r="B37" s="22" t="s">
        <v>263</v>
      </c>
      <c r="C37" s="99">
        <v>38557.758536033631</v>
      </c>
      <c r="D37" s="119">
        <v>38109.226334097606</v>
      </c>
      <c r="E37" s="99">
        <v>37364.730306875928</v>
      </c>
      <c r="F37" s="99">
        <v>36666.191611053822</v>
      </c>
      <c r="G37" s="99">
        <v>33561.959356723593</v>
      </c>
      <c r="I37" s="15"/>
      <c r="J37" s="15"/>
      <c r="K37" s="15"/>
      <c r="L37" s="15"/>
    </row>
    <row r="38" spans="2:12" x14ac:dyDescent="0.3">
      <c r="B38" s="22" t="s">
        <v>276</v>
      </c>
      <c r="C38" s="99">
        <v>3649093.4640599997</v>
      </c>
      <c r="D38" s="119">
        <v>3511722.8654400003</v>
      </c>
      <c r="E38" s="99">
        <v>3450619.7058699997</v>
      </c>
      <c r="F38" s="99">
        <v>3315558.1231099996</v>
      </c>
      <c r="G38" s="99">
        <v>3781438.8981399997</v>
      </c>
      <c r="I38" s="15"/>
      <c r="J38" s="15"/>
      <c r="K38" s="15"/>
      <c r="L38" s="15"/>
    </row>
    <row r="39" spans="2:12" x14ac:dyDescent="0.3">
      <c r="B39" s="22" t="s">
        <v>481</v>
      </c>
      <c r="C39" s="99">
        <v>94012.405776</v>
      </c>
      <c r="D39" s="119">
        <v>94406.019006000002</v>
      </c>
      <c r="E39" s="99">
        <v>98084.262799999997</v>
      </c>
      <c r="F39" s="99">
        <v>97479.444090000005</v>
      </c>
      <c r="G39" s="99">
        <v>123824.49632999998</v>
      </c>
      <c r="I39" s="15"/>
      <c r="J39" s="15"/>
      <c r="K39" s="15"/>
      <c r="L39" s="15"/>
    </row>
    <row r="40" spans="2:12" x14ac:dyDescent="0.3">
      <c r="B40" s="22" t="s">
        <v>575</v>
      </c>
      <c r="C40" s="99">
        <v>45965303.183062069</v>
      </c>
      <c r="D40" s="119">
        <v>45229180.839002267</v>
      </c>
      <c r="E40" s="99">
        <v>45519483.668520898</v>
      </c>
      <c r="F40" s="99">
        <v>43092415.116934359</v>
      </c>
      <c r="G40" s="99">
        <v>40952109.867039889</v>
      </c>
      <c r="I40" s="15"/>
      <c r="J40" s="15"/>
      <c r="K40" s="15"/>
      <c r="L40" s="15"/>
    </row>
    <row r="41" spans="2:12" x14ac:dyDescent="0.3">
      <c r="B41" s="22" t="s">
        <v>593</v>
      </c>
      <c r="C41" s="99">
        <v>105942.51952</v>
      </c>
      <c r="D41" s="119">
        <v>100902.09094999998</v>
      </c>
      <c r="E41" s="99">
        <v>100902.09094999998</v>
      </c>
      <c r="F41" s="99">
        <v>95861.662379999994</v>
      </c>
      <c r="G41" s="99">
        <v>121894.50261000001</v>
      </c>
      <c r="I41" s="15"/>
      <c r="J41" s="15"/>
      <c r="K41" s="15"/>
      <c r="L41" s="15"/>
    </row>
    <row r="42" spans="2:12" x14ac:dyDescent="0.3">
      <c r="B42" s="151"/>
      <c r="C42" s="565"/>
      <c r="D42" s="565"/>
      <c r="E42" s="565"/>
      <c r="F42" s="565"/>
      <c r="G42" s="565"/>
      <c r="I42" s="15"/>
      <c r="J42" s="15"/>
      <c r="K42" s="15"/>
      <c r="L42" s="15"/>
    </row>
    <row r="43" spans="2:12" x14ac:dyDescent="0.3">
      <c r="B43" s="93" t="s">
        <v>264</v>
      </c>
      <c r="C43" s="95">
        <v>5487770.1997930473</v>
      </c>
      <c r="D43" s="114">
        <v>5238720.5563039705</v>
      </c>
      <c r="E43" s="95">
        <v>5053276.4644250972</v>
      </c>
      <c r="F43" s="95">
        <v>4647416.4464222826</v>
      </c>
      <c r="G43" s="95">
        <v>4709868.6097969459</v>
      </c>
      <c r="I43" s="15"/>
      <c r="J43" s="15"/>
      <c r="K43" s="15"/>
      <c r="L43" s="15"/>
    </row>
    <row r="44" spans="2:12" x14ac:dyDescent="0.3">
      <c r="B44" s="566"/>
      <c r="C44" s="116"/>
      <c r="D44" s="567"/>
      <c r="E44" s="116"/>
      <c r="F44" s="116"/>
      <c r="G44" s="116"/>
      <c r="I44" s="15"/>
      <c r="J44" s="15"/>
      <c r="K44" s="15"/>
      <c r="L44" s="15"/>
    </row>
    <row r="45" spans="2:12" x14ac:dyDescent="0.3">
      <c r="B45" s="568" t="s">
        <v>350</v>
      </c>
      <c r="C45" s="95">
        <v>2028569.5492960329</v>
      </c>
      <c r="D45" s="95">
        <v>1895793.9988916798</v>
      </c>
      <c r="E45" s="95">
        <v>1835199.0003036847</v>
      </c>
      <c r="F45" s="95">
        <v>1818368.8482260893</v>
      </c>
      <c r="G45" s="95">
        <v>2530002.0371214976</v>
      </c>
      <c r="I45" s="15"/>
      <c r="J45" s="15"/>
      <c r="K45" s="15"/>
      <c r="L45" s="15"/>
    </row>
    <row r="46" spans="2:12" x14ac:dyDescent="0.3">
      <c r="B46" s="31"/>
      <c r="C46" s="116"/>
      <c r="D46" s="116"/>
      <c r="E46" s="116"/>
      <c r="F46" s="116"/>
      <c r="G46" s="116"/>
      <c r="I46" s="15"/>
      <c r="J46" s="15"/>
      <c r="K46" s="15"/>
      <c r="L46" s="15"/>
    </row>
    <row r="47" spans="2:12" x14ac:dyDescent="0.3">
      <c r="B47" s="104" t="s">
        <v>346</v>
      </c>
      <c r="C47" s="95">
        <v>1919958.9276317814</v>
      </c>
      <c r="D47" s="95">
        <v>1859913.5748988709</v>
      </c>
      <c r="E47" s="95">
        <v>1806600.4425621317</v>
      </c>
      <c r="F47" s="95">
        <v>1726713.0525717256</v>
      </c>
      <c r="G47" s="95">
        <v>1667070.6368930382</v>
      </c>
      <c r="I47" s="15"/>
      <c r="J47" s="15"/>
      <c r="K47" s="15"/>
      <c r="L47" s="15"/>
    </row>
    <row r="48" spans="2:12" x14ac:dyDescent="0.3">
      <c r="B48" s="31"/>
      <c r="C48" s="116"/>
      <c r="D48" s="116"/>
      <c r="E48" s="116"/>
      <c r="F48" s="116"/>
      <c r="G48" s="116"/>
      <c r="I48" s="15"/>
      <c r="J48" s="15"/>
      <c r="K48" s="15"/>
      <c r="L48" s="15"/>
    </row>
    <row r="49" spans="2:12" x14ac:dyDescent="0.3">
      <c r="B49" s="104" t="s">
        <v>364</v>
      </c>
      <c r="C49" s="95">
        <v>306194.92032869399</v>
      </c>
      <c r="D49" s="95">
        <v>313245.66271396342</v>
      </c>
      <c r="E49" s="95">
        <v>338238.22513318388</v>
      </c>
      <c r="F49" s="95">
        <v>358685.06309612456</v>
      </c>
      <c r="G49" s="95">
        <v>378599.55594466877</v>
      </c>
      <c r="I49" s="15"/>
      <c r="J49" s="15"/>
      <c r="K49" s="15"/>
      <c r="L49" s="15"/>
    </row>
    <row r="50" spans="2:12" x14ac:dyDescent="0.3">
      <c r="B50" s="569"/>
      <c r="C50" s="570"/>
      <c r="D50" s="570"/>
      <c r="E50" s="570"/>
      <c r="F50" s="570"/>
      <c r="G50" s="570"/>
      <c r="I50" s="15"/>
      <c r="J50" s="15"/>
      <c r="K50" s="15"/>
      <c r="L50" s="15"/>
    </row>
    <row r="51" spans="2:12" s="223" customFormat="1" ht="15" x14ac:dyDescent="0.3">
      <c r="B51" s="90" t="s">
        <v>235</v>
      </c>
      <c r="C51" s="91">
        <v>6610612.6329550184</v>
      </c>
      <c r="D51" s="91">
        <v>6047181.6056965813</v>
      </c>
      <c r="E51" s="91">
        <v>5810813.4929962074</v>
      </c>
      <c r="F51" s="91">
        <v>5246366.5366891176</v>
      </c>
      <c r="G51" s="91">
        <v>7863746.9586374694</v>
      </c>
      <c r="I51" s="15"/>
      <c r="J51" s="15"/>
      <c r="K51" s="15"/>
      <c r="L51" s="15"/>
    </row>
    <row r="52" spans="2:12" x14ac:dyDescent="0.3">
      <c r="B52" s="20"/>
      <c r="C52" s="571"/>
      <c r="D52" s="571"/>
      <c r="E52" s="571"/>
      <c r="F52" s="571"/>
      <c r="G52" s="571"/>
      <c r="I52" s="15"/>
      <c r="J52" s="15"/>
      <c r="K52" s="15"/>
      <c r="L52" s="15"/>
    </row>
    <row r="53" spans="2:12" s="238" customFormat="1" ht="16.2" x14ac:dyDescent="0.3">
      <c r="B53" s="560" t="s">
        <v>391</v>
      </c>
      <c r="C53" s="83">
        <f>SUM(C55:C61)</f>
        <v>22614316.915211044</v>
      </c>
      <c r="D53" s="83">
        <f t="shared" ref="D53:G53" si="0">SUM(D55:D61)</f>
        <v>22713044.596568581</v>
      </c>
      <c r="E53" s="83">
        <f t="shared" si="0"/>
        <v>22997849.626187317</v>
      </c>
      <c r="F53" s="83">
        <f t="shared" si="0"/>
        <v>23888216.415144797</v>
      </c>
      <c r="G53" s="83">
        <f t="shared" si="0"/>
        <v>34921031.788055554</v>
      </c>
      <c r="I53" s="15"/>
      <c r="J53" s="15"/>
      <c r="K53" s="15"/>
      <c r="L53" s="15"/>
    </row>
    <row r="54" spans="2:12" x14ac:dyDescent="0.3">
      <c r="B54" s="20"/>
      <c r="C54" s="572"/>
      <c r="D54" s="572"/>
      <c r="E54" s="572"/>
      <c r="F54" s="572"/>
      <c r="G54" s="572"/>
      <c r="I54" s="15"/>
      <c r="J54" s="15"/>
      <c r="K54" s="15"/>
      <c r="L54" s="15"/>
    </row>
    <row r="55" spans="2:12" s="223" customFormat="1" ht="15" x14ac:dyDescent="0.3">
      <c r="B55" s="93" t="s">
        <v>273</v>
      </c>
      <c r="C55" s="573">
        <v>8368887.0402281778</v>
      </c>
      <c r="D55" s="564">
        <v>9123226.6130347345</v>
      </c>
      <c r="E55" s="573">
        <v>9341176.4951680154</v>
      </c>
      <c r="F55" s="573">
        <v>5115200.7270876588</v>
      </c>
      <c r="G55" s="573">
        <v>13285151.764369829</v>
      </c>
      <c r="I55" s="15"/>
      <c r="J55" s="15"/>
      <c r="K55" s="15"/>
      <c r="L55" s="15"/>
    </row>
    <row r="56" spans="2:12" s="223" customFormat="1" ht="15" x14ac:dyDescent="0.3">
      <c r="B56" s="104" t="s">
        <v>297</v>
      </c>
      <c r="C56" s="573">
        <v>10559320.318414286</v>
      </c>
      <c r="D56" s="91">
        <v>10681786.320006285</v>
      </c>
      <c r="E56" s="573">
        <v>13656673.131019304</v>
      </c>
      <c r="F56" s="573">
        <v>18773015.68805714</v>
      </c>
      <c r="G56" s="573">
        <v>20687534.335908502</v>
      </c>
      <c r="I56" s="15"/>
      <c r="J56" s="15"/>
      <c r="K56" s="15"/>
      <c r="L56" s="15"/>
    </row>
    <row r="57" spans="2:12" s="223" customFormat="1" ht="15" x14ac:dyDescent="0.3">
      <c r="B57" s="104" t="s">
        <v>347</v>
      </c>
      <c r="C57" s="573">
        <v>0</v>
      </c>
      <c r="D57" s="573">
        <v>0</v>
      </c>
      <c r="E57" s="573">
        <v>0</v>
      </c>
      <c r="F57" s="573">
        <v>0</v>
      </c>
      <c r="G57" s="573">
        <v>0</v>
      </c>
      <c r="I57" s="15"/>
      <c r="J57" s="15"/>
      <c r="K57" s="15"/>
      <c r="L57" s="15"/>
    </row>
    <row r="58" spans="2:12" s="223" customFormat="1" ht="15" x14ac:dyDescent="0.3">
      <c r="B58" s="104" t="s">
        <v>266</v>
      </c>
      <c r="C58" s="573">
        <v>0</v>
      </c>
      <c r="D58" s="573">
        <v>0</v>
      </c>
      <c r="E58" s="573">
        <v>0</v>
      </c>
      <c r="F58" s="573">
        <v>0</v>
      </c>
      <c r="G58" s="573">
        <v>0</v>
      </c>
      <c r="I58" s="15"/>
      <c r="J58" s="15"/>
      <c r="K58" s="15"/>
      <c r="L58" s="15"/>
    </row>
    <row r="59" spans="2:12" s="223" customFormat="1" ht="15" x14ac:dyDescent="0.3">
      <c r="B59" s="104" t="s">
        <v>364</v>
      </c>
      <c r="C59" s="573">
        <v>843781.56753223611</v>
      </c>
      <c r="D59" s="573">
        <v>0</v>
      </c>
      <c r="E59" s="573">
        <v>0</v>
      </c>
      <c r="F59" s="573">
        <v>0</v>
      </c>
      <c r="G59" s="573">
        <v>827250.60827250604</v>
      </c>
      <c r="I59" s="15"/>
      <c r="J59" s="15"/>
      <c r="K59" s="15"/>
      <c r="L59" s="15"/>
    </row>
    <row r="60" spans="2:12" s="223" customFormat="1" ht="15" x14ac:dyDescent="0.3">
      <c r="B60" s="104" t="s">
        <v>589</v>
      </c>
      <c r="C60" s="573">
        <v>2842327.9890363459</v>
      </c>
      <c r="D60" s="573">
        <v>2908031.6635275595</v>
      </c>
      <c r="E60" s="573">
        <v>0</v>
      </c>
      <c r="F60" s="573">
        <v>0</v>
      </c>
      <c r="G60" s="573"/>
      <c r="I60" s="15"/>
      <c r="J60" s="15"/>
      <c r="K60" s="15"/>
      <c r="L60" s="15"/>
    </row>
    <row r="61" spans="2:12" s="223" customFormat="1" ht="15" x14ac:dyDescent="0.3">
      <c r="B61" s="104" t="s">
        <v>346</v>
      </c>
      <c r="C61" s="573">
        <v>0</v>
      </c>
      <c r="D61" s="573">
        <v>0</v>
      </c>
      <c r="E61" s="573">
        <v>0</v>
      </c>
      <c r="F61" s="573">
        <v>0</v>
      </c>
      <c r="G61" s="573">
        <v>121095.07950471021</v>
      </c>
      <c r="I61" s="15"/>
      <c r="J61" s="15"/>
      <c r="K61" s="15"/>
      <c r="L61" s="15"/>
    </row>
    <row r="62" spans="2:12" x14ac:dyDescent="0.3">
      <c r="B62" s="26"/>
      <c r="C62" s="574"/>
      <c r="D62" s="574"/>
      <c r="E62" s="574"/>
      <c r="F62" s="574"/>
      <c r="G62" s="574"/>
      <c r="I62" s="15"/>
      <c r="J62" s="15"/>
      <c r="K62" s="15"/>
      <c r="L62" s="15"/>
    </row>
    <row r="63" spans="2:12" s="238" customFormat="1" ht="16.2" x14ac:dyDescent="0.3">
      <c r="B63" s="560" t="s">
        <v>730</v>
      </c>
      <c r="C63" s="83">
        <f>+C65+C66</f>
        <v>106676.97023194257</v>
      </c>
      <c r="D63" s="83">
        <f>+D65+D66</f>
        <v>105311.79368968718</v>
      </c>
      <c r="E63" s="83">
        <f>+E65+E66</f>
        <v>105782.12397680746</v>
      </c>
      <c r="F63" s="83">
        <f>+F65+F66</f>
        <v>105086.82118610787</v>
      </c>
      <c r="G63" s="83">
        <f>+G65+G66</f>
        <v>104561.85965651557</v>
      </c>
      <c r="I63" s="15"/>
      <c r="J63" s="15"/>
      <c r="K63" s="15"/>
      <c r="L63" s="15"/>
    </row>
    <row r="64" spans="2:12" x14ac:dyDescent="0.3">
      <c r="B64" s="26"/>
      <c r="C64" s="146"/>
      <c r="D64" s="146"/>
      <c r="E64" s="146"/>
      <c r="F64" s="146"/>
      <c r="G64" s="146"/>
      <c r="I64" s="15"/>
      <c r="J64" s="15"/>
      <c r="K64" s="15"/>
      <c r="L64" s="15"/>
    </row>
    <row r="65" spans="1:12" x14ac:dyDescent="0.3">
      <c r="B65" s="93" t="s">
        <v>271</v>
      </c>
      <c r="C65" s="95">
        <v>97761.849322018606</v>
      </c>
      <c r="D65" s="114">
        <v>96714.591179466021</v>
      </c>
      <c r="E65" s="95">
        <v>97102.771007483359</v>
      </c>
      <c r="F65" s="95">
        <v>96586.671749658301</v>
      </c>
      <c r="G65" s="95">
        <v>96201.23588999483</v>
      </c>
      <c r="I65" s="15"/>
      <c r="J65" s="15"/>
      <c r="K65" s="15"/>
      <c r="L65" s="15"/>
    </row>
    <row r="66" spans="1:12" x14ac:dyDescent="0.3">
      <c r="B66" s="93" t="s">
        <v>731</v>
      </c>
      <c r="C66" s="95">
        <v>8915.1209099239641</v>
      </c>
      <c r="D66" s="114">
        <v>8597.2025102211628</v>
      </c>
      <c r="E66" s="95">
        <v>8679.3529693241053</v>
      </c>
      <c r="F66" s="95">
        <v>8500.1494364495757</v>
      </c>
      <c r="G66" s="95">
        <v>8360.6237665207482</v>
      </c>
      <c r="I66" s="15"/>
      <c r="J66" s="15"/>
      <c r="K66" s="15"/>
      <c r="L66" s="15"/>
    </row>
    <row r="67" spans="1:12" x14ac:dyDescent="0.3">
      <c r="B67" s="26"/>
      <c r="C67" s="146"/>
      <c r="D67" s="146"/>
      <c r="E67" s="146"/>
      <c r="F67" s="146"/>
      <c r="G67" s="146"/>
      <c r="I67" s="15"/>
      <c r="J67" s="15"/>
      <c r="K67" s="15"/>
      <c r="L67" s="15"/>
    </row>
    <row r="68" spans="1:12" s="238" customFormat="1" ht="16.2" x14ac:dyDescent="0.3">
      <c r="B68" s="560" t="s">
        <v>732</v>
      </c>
      <c r="C68" s="575">
        <f>+C70+C71+C72</f>
        <v>2500462.6296102544</v>
      </c>
      <c r="D68" s="575">
        <f>+D70+D71+D72</f>
        <v>2461252.8422989482</v>
      </c>
      <c r="E68" s="575">
        <f>+E70+E71+E72</f>
        <v>2473882.4138382589</v>
      </c>
      <c r="F68" s="575">
        <f>+F70+F71+F72</f>
        <v>2453700.3969958001</v>
      </c>
      <c r="G68" s="575">
        <f>+G70+G71+G72</f>
        <v>2439303.1698962622</v>
      </c>
      <c r="I68" s="15"/>
      <c r="J68" s="15"/>
      <c r="K68" s="15"/>
      <c r="L68" s="15"/>
    </row>
    <row r="69" spans="1:12" x14ac:dyDescent="0.3">
      <c r="B69" s="576"/>
      <c r="C69" s="116"/>
      <c r="D69" s="116"/>
      <c r="E69" s="116"/>
      <c r="F69" s="116"/>
      <c r="G69" s="116"/>
      <c r="I69" s="15"/>
      <c r="J69" s="15"/>
      <c r="K69" s="15"/>
      <c r="L69" s="15"/>
    </row>
    <row r="70" spans="1:12" x14ac:dyDescent="0.3">
      <c r="B70" s="93" t="s">
        <v>251</v>
      </c>
      <c r="C70" s="95">
        <v>1081386.0032978316</v>
      </c>
      <c r="D70" s="114">
        <v>1065022.4990281896</v>
      </c>
      <c r="E70" s="95">
        <v>1071627.1553712138</v>
      </c>
      <c r="F70" s="95">
        <v>1064015.4654120645</v>
      </c>
      <c r="G70" s="95">
        <v>1059021.0425543317</v>
      </c>
      <c r="I70" s="15"/>
      <c r="J70" s="15"/>
      <c r="K70" s="15"/>
      <c r="L70" s="15"/>
    </row>
    <row r="71" spans="1:12" x14ac:dyDescent="0.3">
      <c r="B71" s="93" t="s">
        <v>505</v>
      </c>
      <c r="C71" s="95">
        <v>878941.20410266705</v>
      </c>
      <c r="D71" s="114">
        <v>871283.44945199334</v>
      </c>
      <c r="E71" s="95">
        <v>873294.97468202503</v>
      </c>
      <c r="F71" s="95">
        <v>868960.07238301705</v>
      </c>
      <c r="G71" s="95">
        <v>865683.3229451112</v>
      </c>
      <c r="I71" s="15"/>
      <c r="J71" s="15"/>
      <c r="K71" s="15"/>
      <c r="L71" s="15"/>
    </row>
    <row r="72" spans="1:12" x14ac:dyDescent="0.3">
      <c r="B72" s="93" t="s">
        <v>733</v>
      </c>
      <c r="C72" s="95">
        <v>540135.42220975575</v>
      </c>
      <c r="D72" s="114">
        <v>524946.89381876565</v>
      </c>
      <c r="E72" s="95">
        <v>528960.28378502023</v>
      </c>
      <c r="F72" s="95">
        <v>520724.8592007187</v>
      </c>
      <c r="G72" s="95">
        <v>514598.80439681938</v>
      </c>
      <c r="I72" s="15"/>
      <c r="J72" s="15"/>
      <c r="K72" s="15"/>
      <c r="L72" s="15"/>
    </row>
    <row r="73" spans="1:12" ht="15" thickBot="1" x14ac:dyDescent="0.35">
      <c r="B73" s="35"/>
      <c r="C73" s="209"/>
      <c r="D73" s="209"/>
      <c r="E73" s="209"/>
      <c r="F73" s="209"/>
      <c r="G73" s="209"/>
      <c r="I73" s="15"/>
      <c r="J73" s="15"/>
      <c r="K73" s="15"/>
      <c r="L73" s="15"/>
    </row>
    <row r="74" spans="1:12" ht="15" thickTop="1" x14ac:dyDescent="0.3">
      <c r="B74" s="149"/>
      <c r="C74" s="577"/>
      <c r="D74" s="577"/>
      <c r="E74" s="577"/>
      <c r="F74" s="577"/>
      <c r="G74" s="577"/>
      <c r="I74" s="15"/>
      <c r="J74" s="15"/>
      <c r="K74" s="15"/>
      <c r="L74" s="15"/>
    </row>
    <row r="75" spans="1:12" ht="15" thickBot="1" x14ac:dyDescent="0.35">
      <c r="B75" s="11"/>
      <c r="C75" s="578"/>
      <c r="D75" s="578"/>
      <c r="E75" s="578"/>
      <c r="F75" s="578"/>
      <c r="G75" s="578"/>
      <c r="I75" s="15"/>
      <c r="J75" s="15"/>
      <c r="K75" s="15"/>
      <c r="L75" s="15"/>
    </row>
    <row r="76" spans="1:12" s="238" customFormat="1" ht="16.8" thickTop="1" x14ac:dyDescent="0.3">
      <c r="B76" s="579" t="s">
        <v>855</v>
      </c>
      <c r="C76" s="580">
        <f>SUM(C78:C82)</f>
        <v>13514386.148443591</v>
      </c>
      <c r="D76" s="580">
        <f>SUM(D78:D82)</f>
        <v>13209714.075498618</v>
      </c>
      <c r="E76" s="580">
        <f>SUM(E78:E82)</f>
        <v>13280375.5548064</v>
      </c>
      <c r="F76" s="580">
        <f>SUM(F78:F82)</f>
        <v>13115868.0737611</v>
      </c>
      <c r="G76" s="580">
        <f>SUM(G78:G82)</f>
        <v>12982343.067199547</v>
      </c>
      <c r="I76" s="15"/>
      <c r="J76" s="15"/>
      <c r="K76" s="15"/>
      <c r="L76" s="15"/>
    </row>
    <row r="77" spans="1:12" x14ac:dyDescent="0.3">
      <c r="B77" s="581"/>
      <c r="C77" s="116"/>
      <c r="D77" s="116"/>
      <c r="E77" s="116"/>
      <c r="F77" s="116"/>
      <c r="G77" s="116"/>
      <c r="I77" s="15"/>
      <c r="J77" s="15"/>
      <c r="K77" s="15"/>
      <c r="L77" s="15"/>
    </row>
    <row r="78" spans="1:12" x14ac:dyDescent="0.3">
      <c r="A78" s="15"/>
      <c r="B78" s="85" t="s">
        <v>385</v>
      </c>
      <c r="C78" s="99">
        <v>5151027.2004566593</v>
      </c>
      <c r="D78" s="119">
        <v>5151027.2004566593</v>
      </c>
      <c r="E78" s="99">
        <v>5151027.2004566593</v>
      </c>
      <c r="F78" s="99">
        <v>5151027.2004566593</v>
      </c>
      <c r="G78" s="99">
        <v>5151027.2004566593</v>
      </c>
      <c r="I78" s="15"/>
      <c r="J78" s="15"/>
      <c r="K78" s="15"/>
      <c r="L78" s="15"/>
    </row>
    <row r="79" spans="1:12" x14ac:dyDescent="0.3">
      <c r="A79" s="15"/>
      <c r="B79" s="85" t="s">
        <v>386</v>
      </c>
      <c r="C79" s="99">
        <v>929780.55230617255</v>
      </c>
      <c r="D79" s="119">
        <v>929780.55230617255</v>
      </c>
      <c r="E79" s="99">
        <v>929780.55230617255</v>
      </c>
      <c r="F79" s="99">
        <v>929780.55230617255</v>
      </c>
      <c r="G79" s="99">
        <v>929780.55230617255</v>
      </c>
      <c r="I79" s="15"/>
      <c r="J79" s="15"/>
      <c r="K79" s="15"/>
      <c r="L79" s="15"/>
    </row>
    <row r="80" spans="1:12" x14ac:dyDescent="0.3">
      <c r="A80" s="15"/>
      <c r="B80" s="85" t="s">
        <v>388</v>
      </c>
      <c r="C80" s="99">
        <v>7174735.3877183916</v>
      </c>
      <c r="D80" s="119">
        <v>6889496.11289295</v>
      </c>
      <c r="E80" s="99">
        <v>6964639.4018539637</v>
      </c>
      <c r="F80" s="99">
        <v>6803327.5454126447</v>
      </c>
      <c r="G80" s="99">
        <v>6678041.7590812985</v>
      </c>
      <c r="I80" s="15"/>
      <c r="J80" s="15"/>
      <c r="K80" s="15"/>
      <c r="L80" s="15"/>
    </row>
    <row r="81" spans="1:12" x14ac:dyDescent="0.3">
      <c r="A81" s="15"/>
      <c r="B81" s="85" t="s">
        <v>387</v>
      </c>
      <c r="C81" s="99">
        <v>111509.04593819924</v>
      </c>
      <c r="D81" s="119">
        <v>102004.98636157824</v>
      </c>
      <c r="E81" s="99">
        <v>98017.884983706477</v>
      </c>
      <c r="F81" s="99">
        <v>95031.434349215313</v>
      </c>
      <c r="G81" s="99">
        <v>91318.040588513613</v>
      </c>
      <c r="I81" s="15"/>
      <c r="J81" s="15"/>
      <c r="K81" s="15"/>
      <c r="L81" s="15"/>
    </row>
    <row r="82" spans="1:12" x14ac:dyDescent="0.3">
      <c r="A82" s="15"/>
      <c r="B82" s="85" t="s">
        <v>389</v>
      </c>
      <c r="C82" s="99">
        <v>147333.96202416989</v>
      </c>
      <c r="D82" s="119">
        <v>137405.22348125832</v>
      </c>
      <c r="E82" s="99">
        <v>136910.51520589829</v>
      </c>
      <c r="F82" s="99">
        <v>136701.34123640964</v>
      </c>
      <c r="G82" s="99">
        <v>132175.51476690389</v>
      </c>
      <c r="I82" s="15"/>
      <c r="J82" s="15"/>
      <c r="K82" s="15"/>
      <c r="L82" s="15"/>
    </row>
    <row r="83" spans="1:12" ht="15" thickBot="1" x14ac:dyDescent="0.35">
      <c r="B83" s="35"/>
      <c r="C83" s="209"/>
      <c r="D83" s="209"/>
      <c r="E83" s="209"/>
      <c r="F83" s="209"/>
      <c r="G83" s="209"/>
      <c r="I83" s="15"/>
      <c r="J83" s="15"/>
      <c r="K83" s="15"/>
      <c r="L83" s="15"/>
    </row>
    <row r="84" spans="1:12" ht="15" thickTop="1" x14ac:dyDescent="0.3">
      <c r="B84" s="149"/>
      <c r="C84" s="15"/>
      <c r="D84" s="577"/>
      <c r="E84" s="577"/>
      <c r="F84" s="577"/>
    </row>
    <row r="85" spans="1:12" x14ac:dyDescent="0.3">
      <c r="B85" s="582" t="s">
        <v>522</v>
      </c>
      <c r="C85" s="15"/>
    </row>
    <row r="86" spans="1:12" x14ac:dyDescent="0.3">
      <c r="B86" s="1057" t="s">
        <v>699</v>
      </c>
      <c r="C86" s="1057"/>
      <c r="D86" s="1057"/>
    </row>
    <row r="87" spans="1:12" x14ac:dyDescent="0.3">
      <c r="B87" s="583" t="s">
        <v>734</v>
      </c>
      <c r="C87" s="15"/>
      <c r="D87" s="467"/>
      <c r="E87" s="467"/>
      <c r="F87" s="467"/>
    </row>
    <row r="88" spans="1:12" x14ac:dyDescent="0.3">
      <c r="B88" s="584" t="s">
        <v>701</v>
      </c>
      <c r="C88" s="15"/>
      <c r="D88" s="467"/>
      <c r="E88" s="467"/>
      <c r="F88" s="467"/>
    </row>
    <row r="89" spans="1:12" x14ac:dyDescent="0.3">
      <c r="B89" s="584" t="s">
        <v>735</v>
      </c>
      <c r="C89" s="15"/>
    </row>
    <row r="90" spans="1:12" ht="43.2" x14ac:dyDescent="0.3">
      <c r="B90" s="585" t="s">
        <v>702</v>
      </c>
      <c r="C90" s="15"/>
    </row>
    <row r="91" spans="1:12" x14ac:dyDescent="0.3">
      <c r="B91" s="467"/>
      <c r="C91" s="15"/>
      <c r="D91" s="467"/>
      <c r="E91" s="467"/>
      <c r="F91" s="467"/>
    </row>
    <row r="92" spans="1:12" x14ac:dyDescent="0.3">
      <c r="C92" s="15"/>
    </row>
    <row r="93" spans="1:12" x14ac:dyDescent="0.3">
      <c r="C93" s="15"/>
    </row>
    <row r="98" spans="4:6" x14ac:dyDescent="0.3">
      <c r="D98" s="586"/>
      <c r="E98" s="586"/>
      <c r="F98" s="586"/>
    </row>
    <row r="99" spans="4:6" x14ac:dyDescent="0.3">
      <c r="D99" s="586"/>
      <c r="E99" s="586"/>
      <c r="F99" s="586"/>
    </row>
    <row r="100" spans="4:6" x14ac:dyDescent="0.3">
      <c r="D100" s="586"/>
      <c r="E100" s="586"/>
      <c r="F100" s="586"/>
    </row>
    <row r="101" spans="4:6" x14ac:dyDescent="0.3">
      <c r="D101" s="586"/>
      <c r="E101" s="586"/>
      <c r="F101" s="586"/>
    </row>
    <row r="102" spans="4:6" x14ac:dyDescent="0.3">
      <c r="D102" s="586"/>
      <c r="E102" s="586"/>
      <c r="F102" s="586"/>
    </row>
    <row r="103" spans="4:6" x14ac:dyDescent="0.3">
      <c r="D103" s="586"/>
      <c r="E103" s="586"/>
      <c r="F103" s="586"/>
    </row>
    <row r="104" spans="4:6" x14ac:dyDescent="0.3">
      <c r="D104" s="586"/>
      <c r="E104" s="586"/>
      <c r="F104" s="586"/>
    </row>
    <row r="105" spans="4:6" x14ac:dyDescent="0.3">
      <c r="D105" s="586"/>
      <c r="E105" s="586"/>
      <c r="F105" s="586"/>
    </row>
  </sheetData>
  <mergeCells count="4">
    <mergeCell ref="B11:B12"/>
    <mergeCell ref="B6:F6"/>
    <mergeCell ref="B7:F7"/>
    <mergeCell ref="D11:G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I106"/>
  <sheetViews>
    <sheetView showGridLines="0" zoomScale="85" zoomScaleNormal="85" zoomScaleSheetLayoutView="85" workbookViewId="0"/>
  </sheetViews>
  <sheetFormatPr baseColWidth="10" defaultColWidth="11.44140625" defaultRowHeight="14.4" x14ac:dyDescent="0.3"/>
  <cols>
    <col min="1" max="1" width="10.21875" style="3" customWidth="1"/>
    <col min="2" max="2" width="130.44140625" style="3" customWidth="1"/>
    <col min="3" max="4" width="21.5546875" style="3" customWidth="1"/>
    <col min="5" max="5" width="21.77734375" style="3" bestFit="1" customWidth="1"/>
    <col min="6" max="6" width="20.44140625" style="3" bestFit="1" customWidth="1"/>
    <col min="7" max="7" width="18.77734375" style="3" bestFit="1" customWidth="1"/>
    <col min="8" max="8" width="16.5546875" style="3" bestFit="1" customWidth="1"/>
    <col min="9" max="9" width="18.44140625" style="3" bestFit="1" customWidth="1"/>
    <col min="10" max="16384" width="11.44140625" style="3"/>
  </cols>
  <sheetData>
    <row r="1" spans="1:7" ht="15" x14ac:dyDescent="0.3">
      <c r="A1" s="1" t="s">
        <v>216</v>
      </c>
      <c r="B1" s="2"/>
    </row>
    <row r="2" spans="1:7" ht="15" x14ac:dyDescent="0.3">
      <c r="A2" s="2"/>
      <c r="B2" s="4" t="s">
        <v>693</v>
      </c>
      <c r="C2" s="587"/>
      <c r="D2" s="587"/>
      <c r="F2" s="15"/>
      <c r="G2" s="15"/>
    </row>
    <row r="3" spans="1:7" ht="15" x14ac:dyDescent="0.3">
      <c r="A3" s="2"/>
      <c r="B3" s="4" t="s">
        <v>299</v>
      </c>
      <c r="C3" s="587"/>
      <c r="D3" s="587"/>
      <c r="F3" s="15"/>
      <c r="G3" s="15"/>
    </row>
    <row r="4" spans="1:7" s="138" customFormat="1" x14ac:dyDescent="0.3">
      <c r="B4" s="588"/>
      <c r="C4" s="589"/>
      <c r="D4" s="589"/>
      <c r="F4" s="15"/>
      <c r="G4" s="15"/>
    </row>
    <row r="5" spans="1:7" s="138" customFormat="1" ht="18" x14ac:dyDescent="0.3">
      <c r="B5" s="1402" t="s">
        <v>643</v>
      </c>
      <c r="C5" s="1402"/>
      <c r="D5" s="1402"/>
      <c r="F5" s="15"/>
      <c r="G5" s="15"/>
    </row>
    <row r="6" spans="1:7" ht="18" x14ac:dyDescent="0.3">
      <c r="B6" s="1402" t="s">
        <v>277</v>
      </c>
      <c r="C6" s="1402"/>
      <c r="D6" s="1402"/>
      <c r="F6" s="15"/>
      <c r="G6" s="15"/>
    </row>
    <row r="7" spans="1:7" ht="16.2" x14ac:dyDescent="0.3">
      <c r="B7" s="1403" t="s">
        <v>929</v>
      </c>
      <c r="C7" s="1403"/>
      <c r="D7" s="1403"/>
      <c r="F7" s="15"/>
      <c r="G7" s="15"/>
    </row>
    <row r="8" spans="1:7" s="138" customFormat="1" x14ac:dyDescent="0.3">
      <c r="B8" s="590"/>
      <c r="C8" s="590"/>
      <c r="D8" s="590"/>
      <c r="F8" s="15"/>
      <c r="G8" s="15"/>
    </row>
    <row r="9" spans="1:7" s="138" customFormat="1" ht="15" thickBot="1" x14ac:dyDescent="0.35">
      <c r="B9" s="591"/>
      <c r="C9" s="592"/>
      <c r="D9" s="592"/>
      <c r="F9" s="15"/>
      <c r="G9" s="15"/>
    </row>
    <row r="10" spans="1:7" ht="16.2" thickTop="1" thickBot="1" x14ac:dyDescent="0.35">
      <c r="B10" s="593"/>
      <c r="C10" s="594" t="s">
        <v>269</v>
      </c>
      <c r="D10" s="594" t="s">
        <v>270</v>
      </c>
      <c r="F10" s="15"/>
      <c r="G10" s="15"/>
    </row>
    <row r="11" spans="1:7" ht="15" thickTop="1" x14ac:dyDescent="0.3">
      <c r="B11" s="595"/>
      <c r="C11" s="596"/>
      <c r="D11" s="596"/>
    </row>
    <row r="12" spans="1:7" ht="18" x14ac:dyDescent="0.3">
      <c r="B12" s="597" t="s">
        <v>930</v>
      </c>
      <c r="C12" s="598">
        <v>340166387.64356703</v>
      </c>
      <c r="D12" s="598">
        <v>33586328283.987587</v>
      </c>
    </row>
    <row r="13" spans="1:7" x14ac:dyDescent="0.3">
      <c r="B13" s="599"/>
      <c r="C13" s="600"/>
      <c r="D13" s="600"/>
    </row>
    <row r="14" spans="1:7" ht="18" x14ac:dyDescent="0.3">
      <c r="B14" s="597" t="s">
        <v>931</v>
      </c>
      <c r="C14" s="598">
        <v>2453700.3969958001</v>
      </c>
      <c r="D14" s="598">
        <v>242266108.6973803</v>
      </c>
    </row>
    <row r="15" spans="1:7" x14ac:dyDescent="0.3">
      <c r="B15" s="599"/>
      <c r="C15" s="600"/>
      <c r="D15" s="600"/>
    </row>
    <row r="16" spans="1:7" ht="18" x14ac:dyDescent="0.3">
      <c r="B16" s="597" t="s">
        <v>932</v>
      </c>
      <c r="C16" s="598">
        <f>+C12+C14</f>
        <v>342620088.04056281</v>
      </c>
      <c r="D16" s="598">
        <f>+D12+D14</f>
        <v>33828594392.684967</v>
      </c>
    </row>
    <row r="17" spans="2:9" x14ac:dyDescent="0.3">
      <c r="B17" s="26"/>
      <c r="C17" s="601"/>
      <c r="D17" s="601"/>
    </row>
    <row r="18" spans="2:9" s="186" customFormat="1" ht="16.2" x14ac:dyDescent="0.3">
      <c r="B18" s="183" t="s">
        <v>258</v>
      </c>
      <c r="C18" s="602"/>
      <c r="D18" s="602"/>
      <c r="E18" s="3"/>
    </row>
    <row r="19" spans="2:9" x14ac:dyDescent="0.3">
      <c r="B19" s="20"/>
      <c r="C19" s="603"/>
      <c r="D19" s="603"/>
    </row>
    <row r="20" spans="2:9" s="2" customFormat="1" ht="15" x14ac:dyDescent="0.3">
      <c r="B20" s="18" t="s">
        <v>787</v>
      </c>
      <c r="C20" s="604">
        <f>SUM(C22:C29)</f>
        <v>31128618.543756068</v>
      </c>
      <c r="D20" s="604">
        <f>SUM(D22:D29)</f>
        <v>3073484151.9177566</v>
      </c>
      <c r="E20" s="3"/>
      <c r="F20" s="15"/>
      <c r="G20" s="15"/>
      <c r="H20" s="3"/>
      <c r="I20" s="3"/>
    </row>
    <row r="21" spans="2:9" x14ac:dyDescent="0.3">
      <c r="B21" s="20"/>
      <c r="C21" s="603"/>
      <c r="D21" s="603"/>
      <c r="F21" s="15"/>
      <c r="G21" s="15"/>
    </row>
    <row r="22" spans="2:9" x14ac:dyDescent="0.3">
      <c r="B22" s="22" t="s">
        <v>358</v>
      </c>
      <c r="C22" s="605">
        <v>12406947.890818859</v>
      </c>
      <c r="D22" s="605">
        <v>1225000000</v>
      </c>
      <c r="F22" s="15"/>
      <c r="G22" s="15"/>
      <c r="H22" s="15"/>
    </row>
    <row r="23" spans="2:9" x14ac:dyDescent="0.3">
      <c r="B23" s="22" t="s">
        <v>359</v>
      </c>
      <c r="C23" s="605">
        <v>7573997.8862014981</v>
      </c>
      <c r="D23" s="605">
        <v>747818681.29410493</v>
      </c>
      <c r="F23" s="15"/>
      <c r="G23" s="15"/>
      <c r="H23" s="15"/>
    </row>
    <row r="24" spans="2:9" x14ac:dyDescent="0.3">
      <c r="B24" s="22" t="s">
        <v>694</v>
      </c>
      <c r="C24" s="605">
        <v>2242966.9589999998</v>
      </c>
      <c r="D24" s="605">
        <v>221459342.69686499</v>
      </c>
      <c r="F24" s="15"/>
      <c r="G24" s="15"/>
      <c r="H24" s="15"/>
    </row>
    <row r="25" spans="2:9" x14ac:dyDescent="0.3">
      <c r="B25" s="22" t="s">
        <v>48</v>
      </c>
      <c r="C25" s="605">
        <v>526456.10226614913</v>
      </c>
      <c r="D25" s="605">
        <v>51979643.257248238</v>
      </c>
      <c r="F25" s="15"/>
      <c r="G25" s="15"/>
      <c r="H25" s="15"/>
    </row>
    <row r="26" spans="2:9" x14ac:dyDescent="0.3">
      <c r="B26" s="22" t="s">
        <v>360</v>
      </c>
      <c r="C26" s="605">
        <v>860890.26181192079</v>
      </c>
      <c r="D26" s="605">
        <v>85000000</v>
      </c>
      <c r="F26" s="15"/>
      <c r="G26" s="15"/>
      <c r="H26" s="15"/>
    </row>
    <row r="27" spans="2:9" x14ac:dyDescent="0.3">
      <c r="B27" s="22" t="s">
        <v>259</v>
      </c>
      <c r="C27" s="605">
        <v>2470105.8937400002</v>
      </c>
      <c r="D27" s="605">
        <v>243885905.41841891</v>
      </c>
      <c r="F27" s="15"/>
      <c r="G27" s="15"/>
      <c r="H27" s="15"/>
    </row>
    <row r="28" spans="2:9" x14ac:dyDescent="0.3">
      <c r="B28" s="22" t="s">
        <v>80</v>
      </c>
      <c r="C28" s="605">
        <v>102543.1408302253</v>
      </c>
      <c r="D28" s="605">
        <v>10124597.009872295</v>
      </c>
      <c r="F28" s="15"/>
      <c r="G28" s="15"/>
      <c r="H28" s="15"/>
    </row>
    <row r="29" spans="2:9" x14ac:dyDescent="0.3">
      <c r="B29" s="22" t="s">
        <v>936</v>
      </c>
      <c r="C29" s="605">
        <v>4944710.4090874214</v>
      </c>
      <c r="D29" s="605">
        <v>488215982.24124652</v>
      </c>
      <c r="F29" s="15"/>
      <c r="G29" s="15"/>
      <c r="H29" s="15"/>
    </row>
    <row r="30" spans="2:9" x14ac:dyDescent="0.3">
      <c r="B30" s="22"/>
      <c r="C30" s="606"/>
      <c r="D30" s="606"/>
    </row>
    <row r="31" spans="2:9" s="2" customFormat="1" ht="15" x14ac:dyDescent="0.3">
      <c r="B31" s="18" t="s">
        <v>788</v>
      </c>
      <c r="C31" s="604">
        <f>SUM(C33:C39)</f>
        <v>11540910.636556119</v>
      </c>
      <c r="D31" s="604">
        <f>SUM(D33:D39)</f>
        <v>1139491811.7003686</v>
      </c>
      <c r="E31" s="3"/>
    </row>
    <row r="32" spans="2:9" x14ac:dyDescent="0.3">
      <c r="B32" s="20"/>
      <c r="C32" s="603"/>
      <c r="D32" s="603"/>
    </row>
    <row r="33" spans="1:7" x14ac:dyDescent="0.3">
      <c r="B33" s="22" t="s">
        <v>358</v>
      </c>
      <c r="C33" s="607">
        <v>759609.05453993008</v>
      </c>
      <c r="D33" s="605">
        <v>75000000</v>
      </c>
    </row>
    <row r="34" spans="1:7" x14ac:dyDescent="0.3">
      <c r="B34" s="22" t="s">
        <v>94</v>
      </c>
      <c r="C34" s="608">
        <v>37455.821490611917</v>
      </c>
      <c r="D34" s="605">
        <v>3698200.5348755675</v>
      </c>
    </row>
    <row r="35" spans="1:7" x14ac:dyDescent="0.3">
      <c r="B35" s="22" t="s">
        <v>359</v>
      </c>
      <c r="C35" s="607">
        <v>6004515.9713779865</v>
      </c>
      <c r="D35" s="605">
        <v>592855884.4340055</v>
      </c>
    </row>
    <row r="36" spans="1:7" x14ac:dyDescent="0.3">
      <c r="B36" s="22" t="s">
        <v>48</v>
      </c>
      <c r="C36" s="607">
        <v>26951.436554328706</v>
      </c>
      <c r="D36" s="605">
        <v>2661050.0881916448</v>
      </c>
    </row>
    <row r="37" spans="1:7" x14ac:dyDescent="0.3">
      <c r="B37" s="22" t="s">
        <v>259</v>
      </c>
      <c r="C37" s="607">
        <v>2271345.3311768621</v>
      </c>
      <c r="D37" s="605">
        <v>224261281.27374747</v>
      </c>
    </row>
    <row r="38" spans="1:7" x14ac:dyDescent="0.3">
      <c r="B38" s="22" t="s">
        <v>80</v>
      </c>
      <c r="C38" s="607">
        <v>10577.341457871877</v>
      </c>
      <c r="D38" s="605">
        <v>1044353.8088429797</v>
      </c>
    </row>
    <row r="39" spans="1:7" x14ac:dyDescent="0.3">
      <c r="B39" s="22" t="s">
        <v>936</v>
      </c>
      <c r="C39" s="608">
        <v>2430455.6799585288</v>
      </c>
      <c r="D39" s="605">
        <v>239971041.56070533</v>
      </c>
    </row>
    <row r="40" spans="1:7" x14ac:dyDescent="0.3">
      <c r="B40" s="26"/>
      <c r="C40" s="603"/>
      <c r="D40" s="603"/>
    </row>
    <row r="41" spans="1:7" ht="15" x14ac:dyDescent="0.3">
      <c r="A41" s="2"/>
      <c r="B41" s="18" t="s">
        <v>789</v>
      </c>
      <c r="C41" s="604">
        <f>+C20-C31</f>
        <v>19587707.907199949</v>
      </c>
      <c r="D41" s="604">
        <f>+D20-D31</f>
        <v>1933992340.2173879</v>
      </c>
    </row>
    <row r="42" spans="1:7" s="2" customFormat="1" ht="15" x14ac:dyDescent="0.3">
      <c r="A42" s="3"/>
      <c r="B42" s="609"/>
      <c r="C42" s="610"/>
      <c r="D42" s="611"/>
      <c r="E42" s="3"/>
    </row>
    <row r="43" spans="1:7" ht="15" x14ac:dyDescent="0.3">
      <c r="A43" s="2"/>
      <c r="B43" s="18" t="s">
        <v>343</v>
      </c>
      <c r="C43" s="604">
        <v>14164.279704461436</v>
      </c>
      <c r="D43" s="604">
        <v>1398510.1566199998</v>
      </c>
      <c r="F43" s="15"/>
      <c r="G43" s="15"/>
    </row>
    <row r="44" spans="1:7" s="2" customFormat="1" ht="15" x14ac:dyDescent="0.3">
      <c r="A44" s="3"/>
      <c r="B44" s="609"/>
      <c r="C44" s="611"/>
      <c r="D44" s="611"/>
      <c r="E44" s="3"/>
      <c r="F44" s="15"/>
      <c r="G44" s="15"/>
    </row>
    <row r="45" spans="1:7" ht="15" x14ac:dyDescent="0.3">
      <c r="B45" s="18" t="s">
        <v>591</v>
      </c>
      <c r="C45" s="611">
        <v>97744.213461759588</v>
      </c>
      <c r="D45" s="604">
        <v>9650774.9161468334</v>
      </c>
      <c r="F45" s="15"/>
      <c r="G45" s="15"/>
    </row>
    <row r="46" spans="1:7" ht="15" x14ac:dyDescent="0.3">
      <c r="B46" s="609"/>
      <c r="C46" s="611"/>
      <c r="D46" s="611"/>
      <c r="F46" s="15"/>
      <c r="G46" s="15"/>
    </row>
    <row r="47" spans="1:7" ht="15" x14ac:dyDescent="0.3">
      <c r="B47" s="18" t="s">
        <v>940</v>
      </c>
      <c r="C47" s="611">
        <v>-670075.77499999991</v>
      </c>
      <c r="D47" s="604">
        <v>-66159931.644624993</v>
      </c>
      <c r="F47" s="15"/>
      <c r="G47" s="15"/>
    </row>
    <row r="48" spans="1:7" ht="15" x14ac:dyDescent="0.3">
      <c r="B48" s="609"/>
      <c r="C48" s="611"/>
      <c r="D48" s="611"/>
      <c r="F48" s="15"/>
      <c r="G48" s="15"/>
    </row>
    <row r="49" spans="1:9" ht="15" x14ac:dyDescent="0.3">
      <c r="A49" s="2"/>
      <c r="B49" s="18" t="s">
        <v>937</v>
      </c>
      <c r="C49" s="604">
        <f>SUM(C51:C54)</f>
        <v>1597377.7409460819</v>
      </c>
      <c r="D49" s="604">
        <f>SUM(D51:D54)</f>
        <v>1606302214.8819842</v>
      </c>
      <c r="F49" s="15"/>
      <c r="G49" s="15"/>
    </row>
    <row r="50" spans="1:9" s="2" customFormat="1" ht="15" x14ac:dyDescent="0.3">
      <c r="A50" s="138"/>
      <c r="B50" s="612"/>
      <c r="C50" s="613"/>
      <c r="D50" s="613"/>
      <c r="E50" s="3"/>
      <c r="F50" s="15"/>
      <c r="G50" s="15"/>
    </row>
    <row r="51" spans="1:9" s="138" customFormat="1" x14ac:dyDescent="0.3">
      <c r="A51" s="3"/>
      <c r="B51" s="22" t="s">
        <v>50</v>
      </c>
      <c r="C51" s="608">
        <v>-2031935.550873762</v>
      </c>
      <c r="D51" s="608">
        <v>998209718.51891577</v>
      </c>
      <c r="E51" s="1238"/>
      <c r="F51" s="15"/>
      <c r="G51" s="15"/>
    </row>
    <row r="52" spans="1:9" x14ac:dyDescent="0.3">
      <c r="B52" s="22" t="s">
        <v>51</v>
      </c>
      <c r="C52" s="614">
        <v>3271997.8275928143</v>
      </c>
      <c r="D52" s="614">
        <v>572812953.28035426</v>
      </c>
      <c r="E52" s="1238"/>
      <c r="F52" s="15"/>
      <c r="G52" s="15"/>
    </row>
    <row r="53" spans="1:9" x14ac:dyDescent="0.3">
      <c r="B53" s="22" t="s">
        <v>668</v>
      </c>
      <c r="C53" s="614">
        <v>0</v>
      </c>
      <c r="D53" s="605">
        <v>0</v>
      </c>
      <c r="E53" s="1238"/>
      <c r="F53" s="15"/>
      <c r="G53" s="15"/>
    </row>
    <row r="54" spans="1:9" x14ac:dyDescent="0.3">
      <c r="B54" s="30" t="s">
        <v>856</v>
      </c>
      <c r="C54" s="614">
        <v>357315.46422702947</v>
      </c>
      <c r="D54" s="605">
        <v>35279543.08271414</v>
      </c>
      <c r="E54" s="1238"/>
      <c r="F54" s="15"/>
      <c r="G54" s="15"/>
    </row>
    <row r="55" spans="1:9" x14ac:dyDescent="0.3">
      <c r="B55" s="26"/>
      <c r="C55" s="615"/>
      <c r="D55" s="615"/>
      <c r="E55" s="1238"/>
      <c r="F55" s="15"/>
      <c r="G55" s="15"/>
    </row>
    <row r="56" spans="1:9" ht="15" x14ac:dyDescent="0.3">
      <c r="A56" s="2"/>
      <c r="B56" s="18" t="s">
        <v>938</v>
      </c>
      <c r="C56" s="616">
        <f>SUM(C58:C60)</f>
        <v>-14397.227099537897</v>
      </c>
      <c r="D56" s="616">
        <f>SUM(D58:D60)</f>
        <v>8372292.0094606653</v>
      </c>
      <c r="E56" s="1238"/>
      <c r="F56" s="15"/>
      <c r="G56" s="15"/>
    </row>
    <row r="57" spans="1:9" s="2" customFormat="1" ht="15" x14ac:dyDescent="0.3">
      <c r="A57" s="138"/>
      <c r="B57" s="612"/>
      <c r="C57" s="617"/>
      <c r="D57" s="617"/>
      <c r="E57" s="1238"/>
      <c r="F57" s="15"/>
      <c r="G57" s="15"/>
    </row>
    <row r="58" spans="1:9" s="138" customFormat="1" x14ac:dyDescent="0.3">
      <c r="A58" s="3"/>
      <c r="B58" s="22" t="s">
        <v>50</v>
      </c>
      <c r="C58" s="608">
        <v>-16896.079649626543</v>
      </c>
      <c r="D58" s="608">
        <v>7900486.2250662567</v>
      </c>
      <c r="E58" s="1238"/>
      <c r="F58" s="15"/>
      <c r="G58" s="15"/>
    </row>
    <row r="59" spans="1:9" x14ac:dyDescent="0.3">
      <c r="B59" s="22" t="s">
        <v>51</v>
      </c>
      <c r="C59" s="614">
        <v>2948.7880094020543</v>
      </c>
      <c r="D59" s="614">
        <v>516230.16189651599</v>
      </c>
      <c r="E59" s="1238"/>
      <c r="F59" s="15"/>
      <c r="G59" s="15"/>
    </row>
    <row r="60" spans="1:9" x14ac:dyDescent="0.3">
      <c r="B60" s="22" t="s">
        <v>682</v>
      </c>
      <c r="C60" s="614">
        <v>-449.9354593134085</v>
      </c>
      <c r="D60" s="605">
        <v>-44424.377502108415</v>
      </c>
      <c r="E60" s="1238"/>
      <c r="F60" s="15"/>
      <c r="G60" s="15"/>
    </row>
    <row r="61" spans="1:9" x14ac:dyDescent="0.3">
      <c r="B61" s="618"/>
      <c r="C61" s="619"/>
      <c r="D61" s="619"/>
      <c r="E61" s="1238"/>
      <c r="F61" s="15"/>
      <c r="G61" s="15"/>
    </row>
    <row r="62" spans="1:9" ht="16.2" x14ac:dyDescent="0.3">
      <c r="A62" s="186"/>
      <c r="B62" s="183" t="s">
        <v>939</v>
      </c>
      <c r="C62" s="620">
        <f>+C41+C43+C45+C49+C47+C56</f>
        <v>20612521.139212716</v>
      </c>
      <c r="D62" s="620">
        <f>+D41+D43+D45+D49+D47+D56</f>
        <v>3493556200.5369744</v>
      </c>
      <c r="E62" s="1238"/>
      <c r="F62" s="15"/>
      <c r="G62" s="15"/>
    </row>
    <row r="63" spans="1:9" s="186" customFormat="1" ht="16.2" x14ac:dyDescent="0.3">
      <c r="A63" s="3"/>
      <c r="B63" s="20"/>
      <c r="C63" s="621"/>
      <c r="D63" s="621"/>
      <c r="E63" s="1238"/>
      <c r="F63" s="15"/>
      <c r="G63" s="15"/>
      <c r="H63" s="622"/>
      <c r="I63" s="622"/>
    </row>
    <row r="64" spans="1:9" ht="18" x14ac:dyDescent="0.35">
      <c r="A64" s="174"/>
      <c r="B64" s="597" t="s">
        <v>933</v>
      </c>
      <c r="C64" s="623">
        <f>+C16+C62</f>
        <v>363232609.17977554</v>
      </c>
      <c r="D64" s="623">
        <f>+D16+D62</f>
        <v>37322150593.221939</v>
      </c>
      <c r="E64" s="1238"/>
      <c r="G64" s="15"/>
      <c r="H64" s="15"/>
      <c r="I64" s="15"/>
    </row>
    <row r="65" spans="1:9" s="174" customFormat="1" ht="18" x14ac:dyDescent="0.35">
      <c r="A65" s="3"/>
      <c r="B65" s="624"/>
      <c r="C65" s="606"/>
      <c r="D65" s="606"/>
      <c r="E65" s="1238"/>
      <c r="G65" s="15"/>
      <c r="H65" s="15"/>
      <c r="I65" s="625"/>
    </row>
    <row r="66" spans="1:9" ht="18" x14ac:dyDescent="0.35">
      <c r="A66" s="174"/>
      <c r="B66" s="597" t="s">
        <v>934</v>
      </c>
      <c r="C66" s="623">
        <f>+C14+C56</f>
        <v>2439303.1698962622</v>
      </c>
      <c r="D66" s="623">
        <f>+D14+D56</f>
        <v>250638400.70684096</v>
      </c>
      <c r="E66" s="1238"/>
      <c r="G66" s="15"/>
      <c r="H66" s="15"/>
      <c r="I66" s="15"/>
    </row>
    <row r="67" spans="1:9" s="174" customFormat="1" ht="18" x14ac:dyDescent="0.35">
      <c r="A67" s="3"/>
      <c r="B67" s="624"/>
      <c r="C67" s="606"/>
      <c r="D67" s="606"/>
      <c r="E67" s="1238"/>
      <c r="G67" s="15"/>
      <c r="H67" s="15"/>
      <c r="I67" s="625"/>
    </row>
    <row r="68" spans="1:9" ht="18" x14ac:dyDescent="0.35">
      <c r="A68" s="174"/>
      <c r="B68" s="597" t="s">
        <v>935</v>
      </c>
      <c r="C68" s="623">
        <f>+C64-C66</f>
        <v>360793306.00987929</v>
      </c>
      <c r="D68" s="623">
        <f>+D64-D66</f>
        <v>37071512192.515099</v>
      </c>
      <c r="E68" s="1238"/>
      <c r="G68" s="550"/>
      <c r="H68" s="550"/>
      <c r="I68" s="15"/>
    </row>
    <row r="69" spans="1:9" s="174" customFormat="1" ht="18.600000000000001" thickBot="1" x14ac:dyDescent="0.4">
      <c r="A69" s="3"/>
      <c r="B69" s="626"/>
      <c r="C69" s="627"/>
      <c r="D69" s="627"/>
      <c r="E69" s="207"/>
      <c r="F69" s="15"/>
      <c r="G69" s="15"/>
      <c r="H69" s="15"/>
      <c r="I69" s="625"/>
    </row>
    <row r="70" spans="1:9" ht="15" thickTop="1" x14ac:dyDescent="0.3">
      <c r="B70" s="628"/>
      <c r="C70" s="157"/>
      <c r="E70" s="15"/>
      <c r="H70" s="15"/>
      <c r="I70" s="15"/>
    </row>
    <row r="71" spans="1:9" x14ac:dyDescent="0.3">
      <c r="B71" s="437" t="s">
        <v>736</v>
      </c>
      <c r="C71" s="437"/>
    </row>
    <row r="72" spans="1:9" x14ac:dyDescent="0.3">
      <c r="B72" s="629"/>
    </row>
    <row r="73" spans="1:9" x14ac:dyDescent="0.3">
      <c r="B73" s="9"/>
      <c r="C73" s="630"/>
      <c r="D73" s="630"/>
    </row>
    <row r="74" spans="1:9" x14ac:dyDescent="0.3">
      <c r="B74" s="9"/>
      <c r="C74" s="630"/>
      <c r="D74" s="9"/>
    </row>
    <row r="75" spans="1:9" ht="18" x14ac:dyDescent="0.3">
      <c r="B75" s="1404" t="s">
        <v>620</v>
      </c>
      <c r="C75" s="1404"/>
      <c r="D75" s="1404"/>
    </row>
    <row r="76" spans="1:9" x14ac:dyDescent="0.3">
      <c r="B76" s="9"/>
      <c r="C76" s="9"/>
      <c r="D76" s="9"/>
    </row>
    <row r="77" spans="1:9" x14ac:dyDescent="0.3">
      <c r="B77" s="9"/>
      <c r="C77" s="9"/>
      <c r="D77" s="9"/>
    </row>
    <row r="78" spans="1:9" ht="15" thickBot="1" x14ac:dyDescent="0.35">
      <c r="B78" s="9" t="s">
        <v>163</v>
      </c>
      <c r="C78" s="9"/>
      <c r="D78" s="9"/>
    </row>
    <row r="79" spans="1:9" ht="15" thickTop="1" x14ac:dyDescent="0.3">
      <c r="B79" s="1405" t="s">
        <v>282</v>
      </c>
      <c r="C79" s="1407" t="s">
        <v>43</v>
      </c>
      <c r="D79" s="1408"/>
      <c r="E79" s="1409"/>
    </row>
    <row r="80" spans="1:9" ht="15" thickBot="1" x14ac:dyDescent="0.35">
      <c r="B80" s="1406"/>
      <c r="C80" s="631" t="s">
        <v>44</v>
      </c>
      <c r="D80" s="632" t="s">
        <v>45</v>
      </c>
      <c r="E80" s="633" t="s">
        <v>287</v>
      </c>
    </row>
    <row r="81" spans="2:6" ht="15" thickTop="1" x14ac:dyDescent="0.3">
      <c r="B81" s="634"/>
      <c r="C81" s="635"/>
      <c r="D81" s="636"/>
      <c r="E81" s="637"/>
    </row>
    <row r="82" spans="2:6" x14ac:dyDescent="0.3">
      <c r="B82" s="26" t="s">
        <v>99</v>
      </c>
      <c r="C82" s="638">
        <v>-1614.0253667828979</v>
      </c>
      <c r="D82" s="639">
        <v>-1.9549264653458027E-2</v>
      </c>
      <c r="E82" s="640">
        <f>+C82+D82</f>
        <v>-1614.0449160475514</v>
      </c>
    </row>
    <row r="83" spans="2:6" x14ac:dyDescent="0.3">
      <c r="B83" s="26" t="s">
        <v>100</v>
      </c>
      <c r="C83" s="638">
        <v>-125.86492190921975</v>
      </c>
      <c r="D83" s="639">
        <v>-16.891373447275996</v>
      </c>
      <c r="E83" s="640">
        <f t="shared" ref="E83:E88" si="0">+C83+D83</f>
        <v>-142.75629535649574</v>
      </c>
    </row>
    <row r="84" spans="2:6" x14ac:dyDescent="0.3">
      <c r="B84" s="26" t="s">
        <v>330</v>
      </c>
      <c r="C84" s="638">
        <v>-271.21695997879789</v>
      </c>
      <c r="D84" s="639">
        <v>0</v>
      </c>
      <c r="E84" s="640">
        <f t="shared" si="0"/>
        <v>-271.21695997879789</v>
      </c>
    </row>
    <row r="85" spans="2:6" x14ac:dyDescent="0.3">
      <c r="B85" s="26" t="s">
        <v>101</v>
      </c>
      <c r="C85" s="638">
        <v>-22.148840610612034</v>
      </c>
      <c r="D85" s="639">
        <v>-0.95355509206879885</v>
      </c>
      <c r="E85" s="640">
        <f t="shared" si="0"/>
        <v>-23.102395702680834</v>
      </c>
    </row>
    <row r="86" spans="2:6" x14ac:dyDescent="0.3">
      <c r="B86" s="26" t="s">
        <v>102</v>
      </c>
      <c r="C86" s="638">
        <v>2.0663715303108989</v>
      </c>
      <c r="D86" s="639">
        <v>0.34173821348660066</v>
      </c>
      <c r="E86" s="640">
        <f t="shared" si="0"/>
        <v>2.4081097437974996</v>
      </c>
    </row>
    <row r="87" spans="2:6" x14ac:dyDescent="0.3">
      <c r="B87" s="26" t="s">
        <v>82</v>
      </c>
      <c r="C87" s="638">
        <v>2.0286550627599469E-2</v>
      </c>
      <c r="D87" s="639">
        <v>1.4318434854819906E-2</v>
      </c>
      <c r="E87" s="640">
        <f t="shared" si="0"/>
        <v>3.4604985482419373E-2</v>
      </c>
    </row>
    <row r="88" spans="2:6" x14ac:dyDescent="0.3">
      <c r="B88" s="26" t="s">
        <v>331</v>
      </c>
      <c r="C88" s="638">
        <v>-0.15818091257915157</v>
      </c>
      <c r="D88" s="639">
        <v>0</v>
      </c>
      <c r="E88" s="640">
        <f t="shared" si="0"/>
        <v>-0.15818091257915157</v>
      </c>
    </row>
    <row r="89" spans="2:6" x14ac:dyDescent="0.3">
      <c r="B89" s="26"/>
      <c r="C89" s="641"/>
      <c r="D89" s="642"/>
      <c r="E89" s="643"/>
    </row>
    <row r="90" spans="2:6" ht="15" thickBot="1" x14ac:dyDescent="0.35">
      <c r="B90" s="644" t="s">
        <v>287</v>
      </c>
      <c r="C90" s="645">
        <f>SUM(C82:C89)</f>
        <v>-2031.3276121131682</v>
      </c>
      <c r="D90" s="646">
        <f>SUM(D82:D89)</f>
        <v>-17.508421155656837</v>
      </c>
      <c r="E90" s="647">
        <f>SUM(E82:E89)</f>
        <v>-2048.8360332688248</v>
      </c>
      <c r="F90" s="15"/>
    </row>
    <row r="91" spans="2:6" ht="15" thickTop="1" x14ac:dyDescent="0.3">
      <c r="B91" s="648"/>
      <c r="C91" s="649"/>
      <c r="D91" s="649"/>
      <c r="F91" s="15"/>
    </row>
    <row r="92" spans="2:6" x14ac:dyDescent="0.3">
      <c r="B92" s="9" t="s">
        <v>332</v>
      </c>
      <c r="C92" s="9"/>
      <c r="D92" s="10"/>
    </row>
    <row r="93" spans="2:6" x14ac:dyDescent="0.3">
      <c r="B93" s="9" t="s">
        <v>525</v>
      </c>
      <c r="C93" s="9"/>
      <c r="D93" s="9"/>
      <c r="E93" s="650"/>
      <c r="F93" s="15"/>
    </row>
    <row r="94" spans="2:6" x14ac:dyDescent="0.3">
      <c r="B94" s="10"/>
      <c r="D94" s="15"/>
      <c r="E94" s="15"/>
      <c r="F94" s="651"/>
    </row>
    <row r="95" spans="2:6" x14ac:dyDescent="0.3">
      <c r="B95" s="9"/>
      <c r="D95" s="15"/>
      <c r="E95" s="15"/>
      <c r="F95" s="651"/>
    </row>
    <row r="96" spans="2:6" x14ac:dyDescent="0.3">
      <c r="D96" s="15"/>
      <c r="E96" s="15"/>
      <c r="F96" s="651"/>
    </row>
    <row r="97" spans="4:6" x14ac:dyDescent="0.3">
      <c r="D97" s="15"/>
      <c r="E97" s="15"/>
      <c r="F97" s="651"/>
    </row>
    <row r="98" spans="4:6" x14ac:dyDescent="0.3">
      <c r="D98" s="15"/>
      <c r="E98" s="15"/>
      <c r="F98" s="651"/>
    </row>
    <row r="99" spans="4:6" x14ac:dyDescent="0.3">
      <c r="D99" s="15"/>
      <c r="E99" s="15"/>
      <c r="F99" s="651"/>
    </row>
    <row r="100" spans="4:6" x14ac:dyDescent="0.3">
      <c r="D100" s="15"/>
      <c r="E100" s="15"/>
      <c r="F100" s="651"/>
    </row>
    <row r="101" spans="4:6" x14ac:dyDescent="0.3">
      <c r="D101" s="15"/>
      <c r="E101" s="15"/>
      <c r="F101" s="651"/>
    </row>
    <row r="102" spans="4:6" x14ac:dyDescent="0.3">
      <c r="D102" s="15"/>
      <c r="E102" s="15"/>
      <c r="F102" s="651"/>
    </row>
    <row r="103" spans="4:6" x14ac:dyDescent="0.3">
      <c r="D103" s="15"/>
      <c r="E103" s="15"/>
      <c r="F103" s="651"/>
    </row>
    <row r="104" spans="4:6" x14ac:dyDescent="0.3">
      <c r="D104" s="15"/>
      <c r="E104" s="15"/>
      <c r="F104" s="651"/>
    </row>
    <row r="105" spans="4:6" x14ac:dyDescent="0.3">
      <c r="D105" s="15"/>
      <c r="E105" s="15"/>
      <c r="F105" s="651"/>
    </row>
    <row r="106" spans="4:6" x14ac:dyDescent="0.3">
      <c r="F106" s="651"/>
    </row>
  </sheetData>
  <sortState ref="B22:D29">
    <sortCondition ref="B22:B29"/>
  </sortState>
  <mergeCells count="6">
    <mergeCell ref="B5:D5"/>
    <mergeCell ref="B6:D6"/>
    <mergeCell ref="B7:D7"/>
    <mergeCell ref="B75:D75"/>
    <mergeCell ref="B79:B80"/>
    <mergeCell ref="C79:E79"/>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G82"/>
  <sheetViews>
    <sheetView showGridLines="0" zoomScale="85" zoomScaleNormal="85" zoomScaleSheetLayoutView="85" workbookViewId="0"/>
  </sheetViews>
  <sheetFormatPr baseColWidth="10" defaultColWidth="11.44140625" defaultRowHeight="14.4" x14ac:dyDescent="0.3"/>
  <cols>
    <col min="1" max="1" width="9.77734375" style="3" customWidth="1"/>
    <col min="2" max="2" width="131.77734375" style="3" customWidth="1"/>
    <col min="3" max="4" width="21.5546875" style="3" customWidth="1"/>
    <col min="5" max="5" width="21.77734375" style="3" bestFit="1" customWidth="1"/>
    <col min="6" max="6" width="24.21875" style="3" bestFit="1" customWidth="1"/>
    <col min="7" max="7" width="26" style="3" bestFit="1" customWidth="1"/>
    <col min="8" max="16384" width="11.44140625" style="3"/>
  </cols>
  <sheetData>
    <row r="1" spans="1:4" ht="15" x14ac:dyDescent="0.3">
      <c r="A1" s="1" t="s">
        <v>216</v>
      </c>
      <c r="B1" s="2"/>
    </row>
    <row r="2" spans="1:4" ht="15" x14ac:dyDescent="0.3">
      <c r="A2" s="2"/>
      <c r="B2" s="4" t="s">
        <v>693</v>
      </c>
      <c r="C2" s="587"/>
      <c r="D2" s="587"/>
    </row>
    <row r="3" spans="1:4" ht="15" x14ac:dyDescent="0.3">
      <c r="A3" s="2"/>
      <c r="B3" s="61" t="s">
        <v>299</v>
      </c>
      <c r="C3" s="587"/>
      <c r="D3" s="587"/>
    </row>
    <row r="4" spans="1:4" s="138" customFormat="1" ht="11.4" x14ac:dyDescent="0.2">
      <c r="B4" s="652"/>
      <c r="C4" s="653"/>
      <c r="D4" s="653"/>
    </row>
    <row r="5" spans="1:4" s="138" customFormat="1" ht="18" x14ac:dyDescent="0.2">
      <c r="B5" s="1402" t="s">
        <v>643</v>
      </c>
      <c r="C5" s="1402"/>
      <c r="D5" s="1402"/>
    </row>
    <row r="6" spans="1:4" ht="18" x14ac:dyDescent="0.3">
      <c r="B6" s="1402" t="s">
        <v>277</v>
      </c>
      <c r="C6" s="1402"/>
      <c r="D6" s="1402"/>
    </row>
    <row r="7" spans="1:4" ht="16.2" x14ac:dyDescent="0.3">
      <c r="B7" s="1403" t="s">
        <v>941</v>
      </c>
      <c r="C7" s="1403"/>
      <c r="D7" s="1403"/>
    </row>
    <row r="8" spans="1:4" s="138" customFormat="1" ht="11.4" x14ac:dyDescent="0.2">
      <c r="B8" s="590"/>
      <c r="C8" s="590"/>
      <c r="D8" s="590"/>
    </row>
    <row r="9" spans="1:4" s="138" customFormat="1" ht="12" thickBot="1" x14ac:dyDescent="0.25">
      <c r="B9" s="591"/>
      <c r="C9" s="592"/>
      <c r="D9" s="592"/>
    </row>
    <row r="10" spans="1:4" ht="16.2" thickTop="1" thickBot="1" x14ac:dyDescent="0.35">
      <c r="B10" s="593"/>
      <c r="C10" s="594" t="s">
        <v>269</v>
      </c>
      <c r="D10" s="594" t="s">
        <v>270</v>
      </c>
    </row>
    <row r="11" spans="1:4" ht="15" thickTop="1" x14ac:dyDescent="0.3">
      <c r="B11" s="595"/>
      <c r="C11" s="654"/>
      <c r="D11" s="655"/>
    </row>
    <row r="12" spans="1:4" ht="18" x14ac:dyDescent="0.3">
      <c r="B12" s="597" t="s">
        <v>808</v>
      </c>
      <c r="C12" s="598">
        <v>333081755.28791708</v>
      </c>
      <c r="D12" s="598">
        <v>28027164298.701851</v>
      </c>
    </row>
    <row r="13" spans="1:4" x14ac:dyDescent="0.3">
      <c r="B13" s="599"/>
      <c r="C13" s="600"/>
      <c r="D13" s="600"/>
    </row>
    <row r="14" spans="1:4" ht="18" x14ac:dyDescent="0.3">
      <c r="B14" s="597" t="s">
        <v>809</v>
      </c>
      <c r="C14" s="598">
        <v>2500462.6293085297</v>
      </c>
      <c r="D14" s="598">
        <v>210401427.94272366</v>
      </c>
    </row>
    <row r="15" spans="1:4" x14ac:dyDescent="0.3">
      <c r="B15" s="599"/>
      <c r="C15" s="600"/>
      <c r="D15" s="600"/>
    </row>
    <row r="16" spans="1:4" ht="18" x14ac:dyDescent="0.3">
      <c r="B16" s="597" t="s">
        <v>810</v>
      </c>
      <c r="C16" s="598">
        <v>335582217.9172256</v>
      </c>
      <c r="D16" s="598">
        <v>28237565726.644573</v>
      </c>
    </row>
    <row r="17" spans="1:7" x14ac:dyDescent="0.3">
      <c r="B17" s="26"/>
      <c r="C17" s="656"/>
      <c r="D17" s="657"/>
    </row>
    <row r="18" spans="1:7" s="186" customFormat="1" ht="16.2" x14ac:dyDescent="0.3">
      <c r="B18" s="183" t="s">
        <v>258</v>
      </c>
      <c r="C18" s="658"/>
      <c r="D18" s="659"/>
      <c r="F18" s="3"/>
      <c r="G18" s="3"/>
    </row>
    <row r="19" spans="1:7" ht="16.2" x14ac:dyDescent="0.3">
      <c r="B19" s="20"/>
      <c r="C19" s="660"/>
      <c r="D19" s="660"/>
      <c r="E19" s="186"/>
    </row>
    <row r="20" spans="1:7" s="2" customFormat="1" ht="16.2" x14ac:dyDescent="0.3">
      <c r="B20" s="18" t="s">
        <v>787</v>
      </c>
      <c r="C20" s="661">
        <f>SUM(C22:C29)</f>
        <v>97789473.236757517</v>
      </c>
      <c r="D20" s="661">
        <f>SUM(D22:D29)</f>
        <v>9099192314.2491379</v>
      </c>
      <c r="E20" s="186"/>
      <c r="F20" s="3"/>
      <c r="G20" s="3"/>
    </row>
    <row r="21" spans="1:7" ht="16.2" x14ac:dyDescent="0.3">
      <c r="B21" s="20"/>
      <c r="C21" s="660"/>
      <c r="D21" s="662"/>
      <c r="E21" s="186"/>
    </row>
    <row r="22" spans="1:7" ht="16.2" x14ac:dyDescent="0.3">
      <c r="B22" s="22" t="s">
        <v>358</v>
      </c>
      <c r="C22" s="614">
        <v>24225131.085455898</v>
      </c>
      <c r="D22" s="614">
        <v>2297130000</v>
      </c>
      <c r="E22" s="186"/>
    </row>
    <row r="23" spans="1:7" ht="16.2" x14ac:dyDescent="0.3">
      <c r="B23" s="22" t="s">
        <v>359</v>
      </c>
      <c r="C23" s="614">
        <v>37185532.870513022</v>
      </c>
      <c r="D23" s="614">
        <v>3454283541.8883395</v>
      </c>
      <c r="E23" s="186"/>
    </row>
    <row r="24" spans="1:7" ht="16.2" x14ac:dyDescent="0.3">
      <c r="B24" s="22" t="s">
        <v>694</v>
      </c>
      <c r="C24" s="614">
        <v>13763584.24664</v>
      </c>
      <c r="D24" s="614">
        <v>1212728009.6633239</v>
      </c>
      <c r="E24" s="186"/>
    </row>
    <row r="25" spans="1:7" ht="16.2" x14ac:dyDescent="0.3">
      <c r="B25" s="22" t="s">
        <v>48</v>
      </c>
      <c r="C25" s="614">
        <v>583603.17668588099</v>
      </c>
      <c r="D25" s="614">
        <v>57218542.851192057</v>
      </c>
      <c r="E25" s="186"/>
    </row>
    <row r="26" spans="1:7" x14ac:dyDescent="0.3">
      <c r="B26" s="22" t="s">
        <v>360</v>
      </c>
      <c r="C26" s="614">
        <v>860890.26181192079</v>
      </c>
      <c r="D26" s="614">
        <v>85000000</v>
      </c>
    </row>
    <row r="27" spans="1:7" x14ac:dyDescent="0.3">
      <c r="B27" s="22" t="s">
        <v>259</v>
      </c>
      <c r="C27" s="614">
        <v>3600465.8767525535</v>
      </c>
      <c r="D27" s="614">
        <v>347543455.64878857</v>
      </c>
    </row>
    <row r="28" spans="1:7" x14ac:dyDescent="0.3">
      <c r="B28" s="22" t="s">
        <v>80</v>
      </c>
      <c r="C28" s="614">
        <v>136979.44821062876</v>
      </c>
      <c r="D28" s="614">
        <v>13266453.855852664</v>
      </c>
    </row>
    <row r="29" spans="1:7" ht="15" x14ac:dyDescent="0.3">
      <c r="B29" s="22" t="s">
        <v>830</v>
      </c>
      <c r="C29" s="614">
        <v>17433286.270687602</v>
      </c>
      <c r="D29" s="614">
        <v>1632022310.3416402</v>
      </c>
      <c r="E29" s="2"/>
    </row>
    <row r="30" spans="1:7" x14ac:dyDescent="0.3">
      <c r="A30" s="663"/>
      <c r="C30" s="664"/>
      <c r="D30" s="665"/>
    </row>
    <row r="31" spans="1:7" s="2" customFormat="1" ht="15" x14ac:dyDescent="0.3">
      <c r="B31" s="18" t="s">
        <v>788</v>
      </c>
      <c r="C31" s="666">
        <f>SUM(C33:C41)</f>
        <v>72678258.85504511</v>
      </c>
      <c r="D31" s="666">
        <f>SUM(D33:D41)</f>
        <v>6689756873.1466532</v>
      </c>
      <c r="E31" s="3"/>
      <c r="F31" s="3"/>
      <c r="G31" s="3"/>
    </row>
    <row r="32" spans="1:7" x14ac:dyDescent="0.3">
      <c r="B32" s="20"/>
      <c r="C32" s="667"/>
      <c r="D32" s="667"/>
    </row>
    <row r="33" spans="2:7" x14ac:dyDescent="0.3">
      <c r="B33" s="22" t="s">
        <v>358</v>
      </c>
      <c r="C33" s="614">
        <v>14840296.170550583</v>
      </c>
      <c r="D33" s="614">
        <v>1384530656.211</v>
      </c>
    </row>
    <row r="34" spans="2:7" x14ac:dyDescent="0.3">
      <c r="B34" s="22" t="s">
        <v>94</v>
      </c>
      <c r="C34" s="614">
        <v>141646.59235557343</v>
      </c>
      <c r="D34" s="614">
        <v>13140811.761697235</v>
      </c>
    </row>
    <row r="35" spans="2:7" x14ac:dyDescent="0.3">
      <c r="B35" s="22" t="s">
        <v>359</v>
      </c>
      <c r="C35" s="614">
        <v>25713880.645037081</v>
      </c>
      <c r="D35" s="614">
        <v>2373432887.2173214</v>
      </c>
    </row>
    <row r="36" spans="2:7" x14ac:dyDescent="0.3">
      <c r="B36" s="22" t="s">
        <v>694</v>
      </c>
      <c r="C36" s="614">
        <v>9625386.4849999994</v>
      </c>
      <c r="D36" s="614">
        <v>809928145.78032494</v>
      </c>
    </row>
    <row r="37" spans="2:7" x14ac:dyDescent="0.3">
      <c r="B37" s="22" t="s">
        <v>48</v>
      </c>
      <c r="C37" s="614">
        <v>59121.296624327937</v>
      </c>
      <c r="D37" s="614">
        <v>5611898.1326478552</v>
      </c>
    </row>
    <row r="38" spans="2:7" x14ac:dyDescent="0.3">
      <c r="B38" s="22" t="s">
        <v>360</v>
      </c>
      <c r="C38" s="614">
        <v>844962.76404223614</v>
      </c>
      <c r="D38" s="614">
        <v>71108652.360972345</v>
      </c>
    </row>
    <row r="39" spans="2:7" x14ac:dyDescent="0.3">
      <c r="B39" s="22" t="s">
        <v>259</v>
      </c>
      <c r="C39" s="614">
        <v>5633512.7850610781</v>
      </c>
      <c r="D39" s="614">
        <v>538466718.17061126</v>
      </c>
    </row>
    <row r="40" spans="2:7" x14ac:dyDescent="0.3">
      <c r="B40" s="22" t="s">
        <v>80</v>
      </c>
      <c r="C40" s="614">
        <v>612626.6295607622</v>
      </c>
      <c r="D40" s="614">
        <v>56562824.28617347</v>
      </c>
    </row>
    <row r="41" spans="2:7" ht="15" x14ac:dyDescent="0.3">
      <c r="B41" s="22" t="s">
        <v>831</v>
      </c>
      <c r="C41" s="614">
        <v>15206825.486813471</v>
      </c>
      <c r="D41" s="614">
        <v>1436974279.2259045</v>
      </c>
      <c r="E41" s="2"/>
    </row>
    <row r="42" spans="2:7" x14ac:dyDescent="0.3">
      <c r="B42" s="26"/>
      <c r="C42" s="667"/>
      <c r="D42" s="668"/>
    </row>
    <row r="43" spans="2:7" s="2" customFormat="1" ht="15" x14ac:dyDescent="0.3">
      <c r="B43" s="18" t="s">
        <v>789</v>
      </c>
      <c r="C43" s="666">
        <f>+C20-C31</f>
        <v>25111214.381712407</v>
      </c>
      <c r="D43" s="666">
        <f>+D20-D31</f>
        <v>2409435441.1024847</v>
      </c>
      <c r="E43" s="3"/>
      <c r="F43" s="3"/>
      <c r="G43" s="3"/>
    </row>
    <row r="44" spans="2:7" ht="15" x14ac:dyDescent="0.3">
      <c r="B44" s="609"/>
      <c r="C44" s="669"/>
      <c r="D44" s="670"/>
    </row>
    <row r="45" spans="2:7" s="2" customFormat="1" ht="15" x14ac:dyDescent="0.3">
      <c r="B45" s="18" t="s">
        <v>343</v>
      </c>
      <c r="C45" s="666">
        <v>41540.686861302616</v>
      </c>
      <c r="D45" s="670">
        <v>3906642.7763399994</v>
      </c>
    </row>
    <row r="46" spans="2:7" ht="15" x14ac:dyDescent="0.3">
      <c r="B46" s="609"/>
      <c r="C46" s="666"/>
      <c r="D46" s="670"/>
      <c r="E46" s="138"/>
      <c r="F46" s="138"/>
      <c r="G46" s="138"/>
    </row>
    <row r="47" spans="2:7" ht="15" x14ac:dyDescent="0.3">
      <c r="B47" s="18" t="s">
        <v>591</v>
      </c>
      <c r="C47" s="666">
        <v>-2734.5085303293017</v>
      </c>
      <c r="D47" s="670">
        <v>258197.08475799672</v>
      </c>
    </row>
    <row r="48" spans="2:7" ht="15" x14ac:dyDescent="0.3">
      <c r="B48" s="609"/>
      <c r="C48" s="666"/>
      <c r="D48" s="666"/>
    </row>
    <row r="49" spans="2:7" ht="15" x14ac:dyDescent="0.3">
      <c r="B49" s="609" t="s">
        <v>940</v>
      </c>
      <c r="C49" s="666">
        <v>-670075.77499999991</v>
      </c>
      <c r="D49" s="666">
        <v>-66159931.644624993</v>
      </c>
    </row>
    <row r="50" spans="2:7" ht="15" x14ac:dyDescent="0.3">
      <c r="B50" s="609"/>
      <c r="C50" s="666"/>
      <c r="D50" s="666"/>
    </row>
    <row r="51" spans="2:7" s="2" customFormat="1" ht="15" x14ac:dyDescent="0.3">
      <c r="B51" s="18" t="s">
        <v>937</v>
      </c>
      <c r="C51" s="666">
        <f>SUM(C53:C56)</f>
        <v>3231605.9369188398</v>
      </c>
      <c r="D51" s="666">
        <f>SUM(D53:D56)</f>
        <v>6696907544.4942865</v>
      </c>
      <c r="E51" s="3"/>
      <c r="F51" s="3"/>
      <c r="G51" s="3"/>
    </row>
    <row r="52" spans="2:7" s="138" customFormat="1" ht="15" x14ac:dyDescent="0.3">
      <c r="B52" s="612"/>
      <c r="C52" s="671"/>
      <c r="D52" s="672"/>
      <c r="E52" s="2"/>
      <c r="F52" s="2"/>
      <c r="G52" s="2"/>
    </row>
    <row r="53" spans="2:7" x14ac:dyDescent="0.3">
      <c r="B53" s="22" t="s">
        <v>50</v>
      </c>
      <c r="C53" s="614">
        <v>-8677715.8042638022</v>
      </c>
      <c r="D53" s="614">
        <v>4613254001.7623825</v>
      </c>
      <c r="E53" s="138"/>
      <c r="F53" s="138"/>
      <c r="G53" s="138"/>
    </row>
    <row r="54" spans="2:7" x14ac:dyDescent="0.3">
      <c r="B54" s="22" t="s">
        <v>51</v>
      </c>
      <c r="C54" s="614">
        <v>11441055.7013401</v>
      </c>
      <c r="D54" s="614">
        <v>2038800334.9262044</v>
      </c>
      <c r="E54" s="1212"/>
      <c r="F54" s="1212"/>
    </row>
    <row r="55" spans="2:7" x14ac:dyDescent="0.3">
      <c r="B55" s="22" t="s">
        <v>668</v>
      </c>
      <c r="C55" s="614">
        <v>260544.76148969852</v>
      </c>
      <c r="D55" s="614">
        <v>23355726.570189998</v>
      </c>
      <c r="E55" s="1212"/>
      <c r="F55" s="1212"/>
    </row>
    <row r="56" spans="2:7" x14ac:dyDescent="0.3">
      <c r="B56" s="30" t="s">
        <v>856</v>
      </c>
      <c r="C56" s="614">
        <v>207721.27835284354</v>
      </c>
      <c r="D56" s="614">
        <v>21497481.235508885</v>
      </c>
      <c r="E56" s="1212"/>
      <c r="F56" s="1212"/>
    </row>
    <row r="57" spans="2:7" x14ac:dyDescent="0.3">
      <c r="B57" s="26"/>
      <c r="C57" s="664"/>
      <c r="D57" s="664"/>
      <c r="E57" s="1212"/>
      <c r="F57" s="1212"/>
    </row>
    <row r="58" spans="2:7" s="2" customFormat="1" ht="16.2" x14ac:dyDescent="0.3">
      <c r="B58" s="18" t="s">
        <v>938</v>
      </c>
      <c r="C58" s="666">
        <f>SUM(C60:C62)</f>
        <v>-61159.459412267533</v>
      </c>
      <c r="D58" s="666">
        <f>SUM(D60:D62)</f>
        <v>40236972.764117293</v>
      </c>
      <c r="E58" s="1213"/>
      <c r="F58" s="1213"/>
      <c r="G58" s="186"/>
    </row>
    <row r="59" spans="2:7" s="138" customFormat="1" x14ac:dyDescent="0.3">
      <c r="B59" s="612"/>
      <c r="C59" s="671"/>
      <c r="D59" s="672"/>
      <c r="E59" s="1212"/>
      <c r="F59" s="1212"/>
      <c r="G59" s="3"/>
    </row>
    <row r="60" spans="2:7" ht="18" x14ac:dyDescent="0.35">
      <c r="B60" s="22" t="s">
        <v>50</v>
      </c>
      <c r="C60" s="614">
        <v>-68368.880918029652</v>
      </c>
      <c r="D60" s="614">
        <v>38588019.868493885</v>
      </c>
      <c r="E60" s="1214"/>
      <c r="F60" s="1214"/>
      <c r="G60" s="174"/>
    </row>
    <row r="61" spans="2:7" x14ac:dyDescent="0.3">
      <c r="B61" s="22" t="s">
        <v>51</v>
      </c>
      <c r="C61" s="614">
        <v>11185.19413261831</v>
      </c>
      <c r="D61" s="614">
        <v>2024348.0553827407</v>
      </c>
      <c r="E61" s="1212"/>
      <c r="F61" s="1212"/>
    </row>
    <row r="62" spans="2:7" ht="18" x14ac:dyDescent="0.35">
      <c r="B62" s="22" t="s">
        <v>682</v>
      </c>
      <c r="C62" s="614">
        <v>-3975.7726268561901</v>
      </c>
      <c r="D62" s="614">
        <v>-375395.15975933883</v>
      </c>
      <c r="E62" s="1214"/>
      <c r="F62" s="1214"/>
      <c r="G62" s="174"/>
    </row>
    <row r="63" spans="2:7" x14ac:dyDescent="0.3">
      <c r="B63" s="22"/>
      <c r="C63" s="673"/>
      <c r="D63" s="674"/>
      <c r="E63" s="1212"/>
      <c r="F63" s="1212"/>
    </row>
    <row r="64" spans="2:7" s="186" customFormat="1" ht="18" x14ac:dyDescent="0.35">
      <c r="B64" s="183" t="s">
        <v>939</v>
      </c>
      <c r="C64" s="675">
        <f>+C43+C45+C47++C51+C49+C58</f>
        <v>27650391.262549952</v>
      </c>
      <c r="D64" s="675">
        <f>+D43+D45+D47++D51+D49+D58</f>
        <v>9084584866.5773621</v>
      </c>
      <c r="E64" s="1214"/>
      <c r="F64" s="1214"/>
      <c r="G64" s="174"/>
    </row>
    <row r="65" spans="1:7" x14ac:dyDescent="0.3">
      <c r="B65" s="20"/>
      <c r="C65" s="676"/>
      <c r="D65" s="676"/>
      <c r="E65" s="1212"/>
      <c r="F65" s="1212"/>
    </row>
    <row r="66" spans="1:7" s="174" customFormat="1" ht="18" x14ac:dyDescent="0.35">
      <c r="B66" s="597" t="s">
        <v>933</v>
      </c>
      <c r="C66" s="677">
        <f>+C16+C64</f>
        <v>363232609.17977554</v>
      </c>
      <c r="D66" s="677">
        <f>+D16+D64</f>
        <v>37322150593.221939</v>
      </c>
      <c r="E66" s="1212"/>
      <c r="F66" s="1212"/>
      <c r="G66" s="3"/>
    </row>
    <row r="67" spans="1:7" x14ac:dyDescent="0.3">
      <c r="B67" s="624"/>
      <c r="C67" s="678"/>
      <c r="D67" s="678"/>
      <c r="E67" s="1212"/>
      <c r="F67" s="1212"/>
      <c r="G67" s="204"/>
    </row>
    <row r="68" spans="1:7" s="174" customFormat="1" ht="18" x14ac:dyDescent="0.35">
      <c r="B68" s="597" t="s">
        <v>934</v>
      </c>
      <c r="C68" s="677">
        <f>+C14+C58</f>
        <v>2439303.1698962622</v>
      </c>
      <c r="D68" s="677">
        <f>+D14+D58</f>
        <v>250638400.70684096</v>
      </c>
      <c r="E68" s="1212"/>
      <c r="F68" s="1212"/>
      <c r="G68" s="3"/>
    </row>
    <row r="69" spans="1:7" x14ac:dyDescent="0.3">
      <c r="B69" s="624"/>
      <c r="C69" s="678"/>
      <c r="D69" s="678"/>
      <c r="E69" s="1212"/>
      <c r="F69" s="1212"/>
    </row>
    <row r="70" spans="1:7" s="174" customFormat="1" ht="18" x14ac:dyDescent="0.35">
      <c r="B70" s="597" t="s">
        <v>935</v>
      </c>
      <c r="C70" s="677">
        <f>+C66-C68</f>
        <v>360793306.00987929</v>
      </c>
      <c r="D70" s="677">
        <f>+D66-D68</f>
        <v>37071512192.515099</v>
      </c>
      <c r="E70" s="1212"/>
      <c r="F70" s="1212"/>
      <c r="G70" s="3"/>
    </row>
    <row r="71" spans="1:7" ht="15" thickBot="1" x14ac:dyDescent="0.35">
      <c r="B71" s="626"/>
      <c r="C71" s="679"/>
      <c r="D71" s="679"/>
      <c r="E71" s="1212"/>
      <c r="F71" s="1212"/>
    </row>
    <row r="72" spans="1:7" ht="15" thickTop="1" x14ac:dyDescent="0.3">
      <c r="B72" s="628"/>
      <c r="C72" s="680"/>
      <c r="D72" s="680"/>
    </row>
    <row r="73" spans="1:7" s="204" customFormat="1" x14ac:dyDescent="0.3">
      <c r="B73" s="437" t="s">
        <v>736</v>
      </c>
      <c r="C73" s="681"/>
      <c r="D73" s="681"/>
      <c r="E73" s="550"/>
      <c r="F73" s="550"/>
      <c r="G73" s="550"/>
    </row>
    <row r="74" spans="1:7" x14ac:dyDescent="0.3">
      <c r="B74" s="629"/>
      <c r="C74" s="629"/>
      <c r="D74" s="629"/>
    </row>
    <row r="75" spans="1:7" x14ac:dyDescent="0.3">
      <c r="B75" s="9"/>
      <c r="C75" s="629"/>
      <c r="D75" s="629"/>
    </row>
    <row r="76" spans="1:7" x14ac:dyDescent="0.3">
      <c r="C76" s="629"/>
      <c r="D76" s="629"/>
    </row>
    <row r="77" spans="1:7" x14ac:dyDescent="0.3">
      <c r="C77" s="629"/>
      <c r="D77" s="629"/>
    </row>
    <row r="78" spans="1:7" x14ac:dyDescent="0.3">
      <c r="C78" s="629"/>
      <c r="D78" s="629"/>
    </row>
    <row r="79" spans="1:7" s="550" customFormat="1" x14ac:dyDescent="0.3">
      <c r="A79" s="3"/>
      <c r="B79" s="3"/>
      <c r="C79" s="629"/>
      <c r="D79" s="629"/>
      <c r="E79" s="3"/>
      <c r="F79" s="3"/>
      <c r="G79" s="3"/>
    </row>
    <row r="80" spans="1:7" x14ac:dyDescent="0.3">
      <c r="C80" s="629"/>
      <c r="D80" s="629"/>
    </row>
    <row r="81" spans="3:4" x14ac:dyDescent="0.3">
      <c r="C81" s="629"/>
      <c r="D81" s="629"/>
    </row>
    <row r="82" spans="3:4" x14ac:dyDescent="0.3">
      <c r="C82" s="629"/>
      <c r="D82" s="629"/>
    </row>
  </sheetData>
  <sortState ref="B33:D41">
    <sortCondition ref="B33:B41"/>
  </sortState>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K105"/>
  <sheetViews>
    <sheetView showGridLines="0" zoomScale="85" zoomScaleNormal="85" zoomScaleSheetLayoutView="85" workbookViewId="0"/>
  </sheetViews>
  <sheetFormatPr baseColWidth="10" defaultColWidth="11.44140625" defaultRowHeight="14.4" x14ac:dyDescent="0.3"/>
  <cols>
    <col min="1" max="1" width="6.77734375" style="3" customWidth="1"/>
    <col min="2" max="2" width="25.21875" style="149" customWidth="1"/>
    <col min="3" max="6" width="19.5546875" style="149" customWidth="1"/>
    <col min="7" max="16384" width="11.44140625" style="3"/>
  </cols>
  <sheetData>
    <row r="1" spans="1:11" ht="15" x14ac:dyDescent="0.3">
      <c r="A1" s="1" t="s">
        <v>216</v>
      </c>
      <c r="B1" s="133"/>
      <c r="C1" s="9"/>
      <c r="D1" s="9"/>
      <c r="E1" s="9"/>
      <c r="F1" s="9"/>
    </row>
    <row r="2" spans="1:11" ht="15" x14ac:dyDescent="0.3">
      <c r="A2" s="2"/>
      <c r="B2" s="4" t="s">
        <v>693</v>
      </c>
      <c r="C2" s="9"/>
      <c r="D2" s="9"/>
      <c r="E2" s="9"/>
      <c r="F2" s="9"/>
    </row>
    <row r="3" spans="1:11" ht="15" x14ac:dyDescent="0.3">
      <c r="A3" s="2"/>
      <c r="B3" s="4" t="s">
        <v>299</v>
      </c>
      <c r="C3" s="9"/>
      <c r="D3" s="9"/>
      <c r="E3" s="9"/>
      <c r="F3" s="9"/>
    </row>
    <row r="4" spans="1:11" s="138" customFormat="1" x14ac:dyDescent="0.3">
      <c r="B4" s="135"/>
      <c r="C4" s="135"/>
      <c r="D4" s="135"/>
      <c r="E4" s="135"/>
      <c r="F4" s="135"/>
      <c r="G4" s="3"/>
      <c r="H4" s="3"/>
      <c r="I4" s="3"/>
      <c r="J4" s="3"/>
      <c r="K4" s="3"/>
    </row>
    <row r="5" spans="1:11" s="138" customFormat="1" x14ac:dyDescent="0.3">
      <c r="B5" s="135"/>
      <c r="C5" s="135"/>
      <c r="D5" s="135"/>
      <c r="E5" s="135"/>
      <c r="F5" s="135"/>
      <c r="G5" s="3"/>
      <c r="H5" s="3"/>
      <c r="I5" s="3"/>
      <c r="J5" s="3"/>
      <c r="K5" s="3"/>
    </row>
    <row r="6" spans="1:11" ht="18" x14ac:dyDescent="0.3">
      <c r="B6" s="1305" t="s">
        <v>606</v>
      </c>
      <c r="C6" s="1305"/>
      <c r="D6" s="1305"/>
      <c r="E6" s="1305"/>
      <c r="F6" s="1305"/>
    </row>
    <row r="7" spans="1:11" s="138" customFormat="1" x14ac:dyDescent="0.3">
      <c r="B7" s="135"/>
      <c r="C7" s="135"/>
      <c r="D7" s="135"/>
      <c r="E7" s="135"/>
      <c r="F7" s="135"/>
      <c r="G7" s="3"/>
      <c r="H7" s="3"/>
      <c r="I7" s="3"/>
      <c r="J7" s="3"/>
      <c r="K7" s="3"/>
    </row>
    <row r="8" spans="1:11" s="138" customFormat="1" ht="15" thickBot="1" x14ac:dyDescent="0.35">
      <c r="B8" s="135"/>
      <c r="C8" s="135"/>
      <c r="D8" s="135"/>
      <c r="E8" s="135"/>
      <c r="F8" s="135"/>
      <c r="G8" s="3"/>
      <c r="H8" s="3"/>
      <c r="I8" s="3"/>
      <c r="J8" s="3"/>
      <c r="K8" s="3"/>
    </row>
    <row r="9" spans="1:11" ht="31.2" thickTop="1" thickBot="1" x14ac:dyDescent="0.35">
      <c r="B9" s="682" t="s">
        <v>95</v>
      </c>
      <c r="C9" s="683" t="s">
        <v>96</v>
      </c>
      <c r="D9" s="682" t="s">
        <v>333</v>
      </c>
      <c r="E9" s="682" t="s">
        <v>662</v>
      </c>
      <c r="F9" s="684" t="s">
        <v>97</v>
      </c>
    </row>
    <row r="10" spans="1:11" ht="15.6" thickTop="1" x14ac:dyDescent="0.3">
      <c r="B10" s="685">
        <v>37290</v>
      </c>
      <c r="C10" s="686">
        <v>1</v>
      </c>
      <c r="D10" s="686">
        <v>1.3999590337802097</v>
      </c>
      <c r="E10" s="686">
        <v>1.4</v>
      </c>
      <c r="F10" s="687">
        <v>1.2063999999999999</v>
      </c>
    </row>
    <row r="11" spans="1:11" ht="15" x14ac:dyDescent="0.3">
      <c r="B11" s="685">
        <v>37346</v>
      </c>
      <c r="C11" s="686">
        <v>1.0481</v>
      </c>
      <c r="D11" s="686">
        <v>1.4673678494766407</v>
      </c>
      <c r="E11" s="686">
        <v>2.9</v>
      </c>
      <c r="F11" s="687">
        <v>2.5363000000000002</v>
      </c>
    </row>
    <row r="12" spans="1:11" ht="15" x14ac:dyDescent="0.3">
      <c r="B12" s="685">
        <v>37437</v>
      </c>
      <c r="C12" s="686">
        <v>1.2495000000000001</v>
      </c>
      <c r="D12" s="686">
        <v>1.749237448677363</v>
      </c>
      <c r="E12" s="686">
        <v>3.8</v>
      </c>
      <c r="F12" s="687">
        <v>3.7549000000000001</v>
      </c>
    </row>
    <row r="13" spans="1:11" ht="15" x14ac:dyDescent="0.3">
      <c r="B13" s="685">
        <v>37529</v>
      </c>
      <c r="C13" s="686">
        <v>1.3715999999999999</v>
      </c>
      <c r="D13" s="686">
        <v>1.9202837030972117</v>
      </c>
      <c r="E13" s="686">
        <v>3.75</v>
      </c>
      <c r="F13" s="687">
        <v>3.6941999999999999</v>
      </c>
    </row>
    <row r="14" spans="1:11" ht="15" x14ac:dyDescent="0.3">
      <c r="B14" s="685">
        <v>37621</v>
      </c>
      <c r="C14" s="686">
        <v>1.4053</v>
      </c>
      <c r="D14" s="686">
        <v>1.9674070109433832</v>
      </c>
      <c r="E14" s="686">
        <v>3.4</v>
      </c>
      <c r="F14" s="687">
        <v>3.5409000000000002</v>
      </c>
    </row>
    <row r="15" spans="1:11" ht="15" x14ac:dyDescent="0.3">
      <c r="B15" s="685">
        <v>37711</v>
      </c>
      <c r="C15" s="686">
        <v>1.4340999999999999</v>
      </c>
      <c r="D15" s="686">
        <v>2.0077399999999996</v>
      </c>
      <c r="E15" s="686">
        <v>2.88</v>
      </c>
      <c r="F15" s="687">
        <v>3.1358999999999999</v>
      </c>
    </row>
    <row r="16" spans="1:11" ht="15" x14ac:dyDescent="0.3">
      <c r="B16" s="685">
        <v>37802</v>
      </c>
      <c r="C16" s="686">
        <v>1.4403999999999999</v>
      </c>
      <c r="D16" s="686">
        <v>2.0165599999999997</v>
      </c>
      <c r="E16" s="686">
        <v>2.8</v>
      </c>
      <c r="F16" s="687">
        <v>3.2225000000000001</v>
      </c>
    </row>
    <row r="17" spans="2:6" ht="15" x14ac:dyDescent="0.3">
      <c r="B17" s="685">
        <v>37894</v>
      </c>
      <c r="C17" s="686">
        <v>1.4448000000000001</v>
      </c>
      <c r="D17" s="686">
        <v>2.0227200000000001</v>
      </c>
      <c r="E17" s="686">
        <v>2.915</v>
      </c>
      <c r="F17" s="687">
        <v>3.3969999999999998</v>
      </c>
    </row>
    <row r="18" spans="2:6" ht="15" x14ac:dyDescent="0.3">
      <c r="B18" s="685">
        <v>37986</v>
      </c>
      <c r="C18" s="686">
        <v>1.4568000000000001</v>
      </c>
      <c r="D18" s="686">
        <v>2.03952</v>
      </c>
      <c r="E18" s="686">
        <v>2.9175</v>
      </c>
      <c r="F18" s="687">
        <v>3.6720999999999999</v>
      </c>
    </row>
    <row r="19" spans="2:6" ht="15" x14ac:dyDescent="0.3">
      <c r="B19" s="685">
        <v>38077</v>
      </c>
      <c r="C19" s="686">
        <v>1.4678</v>
      </c>
      <c r="D19" s="686">
        <v>2.0549200000000001</v>
      </c>
      <c r="E19" s="686">
        <v>2.86</v>
      </c>
      <c r="F19" s="687">
        <v>3.5173999999999999</v>
      </c>
    </row>
    <row r="20" spans="2:6" ht="15" x14ac:dyDescent="0.3">
      <c r="B20" s="685">
        <v>38168</v>
      </c>
      <c r="C20" s="686">
        <v>1.4983</v>
      </c>
      <c r="D20" s="686">
        <v>2.09762</v>
      </c>
      <c r="E20" s="686">
        <v>2.9580000000000002</v>
      </c>
      <c r="F20" s="687">
        <v>3.6029</v>
      </c>
    </row>
    <row r="21" spans="2:6" ht="15" x14ac:dyDescent="0.3">
      <c r="B21" s="685">
        <v>38260</v>
      </c>
      <c r="C21" s="686">
        <v>1.52</v>
      </c>
      <c r="D21" s="686">
        <v>2.1279999999999997</v>
      </c>
      <c r="E21" s="686">
        <v>2.9809999999999999</v>
      </c>
      <c r="F21" s="687">
        <v>3.7073</v>
      </c>
    </row>
    <row r="22" spans="2:6" ht="15" x14ac:dyDescent="0.3">
      <c r="B22" s="685">
        <v>38352</v>
      </c>
      <c r="C22" s="686">
        <v>1.5367</v>
      </c>
      <c r="D22" s="686">
        <v>2.1513799999999996</v>
      </c>
      <c r="E22" s="686">
        <v>2.9790000000000001</v>
      </c>
      <c r="F22" s="687">
        <v>4.0530999999999997</v>
      </c>
    </row>
    <row r="23" spans="2:6" ht="15" x14ac:dyDescent="0.3">
      <c r="B23" s="685">
        <v>38442</v>
      </c>
      <c r="C23" s="686">
        <v>1.5844</v>
      </c>
      <c r="D23" s="686">
        <v>2.2181599999999997</v>
      </c>
      <c r="E23" s="686">
        <v>2.9169999999999998</v>
      </c>
      <c r="F23" s="687">
        <v>3.7824</v>
      </c>
    </row>
    <row r="24" spans="2:6" ht="15" x14ac:dyDescent="0.3">
      <c r="B24" s="685">
        <v>38533</v>
      </c>
      <c r="C24" s="686">
        <v>1.6274</v>
      </c>
      <c r="D24" s="686">
        <v>2.2783599999999997</v>
      </c>
      <c r="E24" s="686">
        <v>2.887</v>
      </c>
      <c r="F24" s="687">
        <v>3.4922</v>
      </c>
    </row>
    <row r="25" spans="2:6" ht="15" x14ac:dyDescent="0.3">
      <c r="B25" s="685">
        <v>38625</v>
      </c>
      <c r="C25" s="686">
        <v>1.6667000000000001</v>
      </c>
      <c r="D25" s="686">
        <v>2.33338</v>
      </c>
      <c r="E25" s="686">
        <v>2.91</v>
      </c>
      <c r="F25" s="687">
        <v>3.4971999999999999</v>
      </c>
    </row>
    <row r="26" spans="2:6" ht="15" x14ac:dyDescent="0.3">
      <c r="B26" s="685">
        <v>38717</v>
      </c>
      <c r="C26" s="686">
        <v>1.7173</v>
      </c>
      <c r="D26" s="686">
        <v>2.4041757275690854</v>
      </c>
      <c r="E26" s="686">
        <v>3.04</v>
      </c>
      <c r="F26" s="687">
        <v>3.6019000000000001</v>
      </c>
    </row>
    <row r="27" spans="2:6" ht="15" x14ac:dyDescent="0.3">
      <c r="B27" s="685">
        <v>38807</v>
      </c>
      <c r="C27" s="686">
        <v>1.7682</v>
      </c>
      <c r="D27" s="686">
        <v>2.4754799999999997</v>
      </c>
      <c r="E27" s="686">
        <v>3.0819999999999999</v>
      </c>
      <c r="F27" s="687">
        <v>3.7362000000000002</v>
      </c>
    </row>
    <row r="28" spans="2:6" ht="15" x14ac:dyDescent="0.3">
      <c r="B28" s="685">
        <v>38898</v>
      </c>
      <c r="C28" s="686">
        <v>1.8150999999999999</v>
      </c>
      <c r="D28" s="686">
        <v>2.54114</v>
      </c>
      <c r="E28" s="686">
        <v>3.0859999999999999</v>
      </c>
      <c r="F28" s="687">
        <v>3.9438</v>
      </c>
    </row>
    <row r="29" spans="2:6" ht="15" x14ac:dyDescent="0.3">
      <c r="B29" s="685">
        <v>38990</v>
      </c>
      <c r="C29" s="686">
        <v>1.8451</v>
      </c>
      <c r="D29" s="686">
        <v>2.5831399999999998</v>
      </c>
      <c r="E29" s="686">
        <v>3.1040000000000001</v>
      </c>
      <c r="F29" s="687">
        <v>3.9361000000000002</v>
      </c>
    </row>
    <row r="30" spans="2:6" ht="15" x14ac:dyDescent="0.3">
      <c r="B30" s="685">
        <v>39082</v>
      </c>
      <c r="C30" s="686">
        <v>1.8904000000000001</v>
      </c>
      <c r="D30" s="686">
        <v>2.64656</v>
      </c>
      <c r="E30" s="686">
        <v>3.0619999999999998</v>
      </c>
      <c r="F30" s="687">
        <v>4.0406000000000004</v>
      </c>
    </row>
    <row r="31" spans="2:6" ht="15" x14ac:dyDescent="0.3">
      <c r="B31" s="685">
        <v>39172</v>
      </c>
      <c r="C31" s="686">
        <v>1.9380999999999999</v>
      </c>
      <c r="D31" s="686">
        <v>2.7133399999999996</v>
      </c>
      <c r="E31" s="686">
        <v>3.1</v>
      </c>
      <c r="F31" s="687">
        <v>4.1399999999999997</v>
      </c>
    </row>
    <row r="32" spans="2:6" ht="15" x14ac:dyDescent="0.3">
      <c r="B32" s="685">
        <v>39263</v>
      </c>
      <c r="C32" s="686">
        <v>1.9752000000000001</v>
      </c>
      <c r="D32" s="686">
        <v>2.7652799999999997</v>
      </c>
      <c r="E32" s="686">
        <v>3.093</v>
      </c>
      <c r="F32" s="687">
        <v>4.1864999999999997</v>
      </c>
    </row>
    <row r="33" spans="2:6" ht="15" x14ac:dyDescent="0.3">
      <c r="B33" s="685">
        <v>39355</v>
      </c>
      <c r="C33" s="686">
        <v>2.0047999999999999</v>
      </c>
      <c r="D33" s="686">
        <v>2.8067199999999999</v>
      </c>
      <c r="E33" s="686">
        <v>3.15</v>
      </c>
      <c r="F33" s="687">
        <v>4.4928999999999997</v>
      </c>
    </row>
    <row r="34" spans="2:6" ht="15" x14ac:dyDescent="0.3">
      <c r="B34" s="685">
        <v>39447</v>
      </c>
      <c r="C34" s="686">
        <v>2.0510000000000002</v>
      </c>
      <c r="D34" s="686">
        <v>2.8714</v>
      </c>
      <c r="E34" s="686">
        <v>3.149</v>
      </c>
      <c r="F34" s="687">
        <v>4.6336000000000004</v>
      </c>
    </row>
    <row r="35" spans="2:6" ht="15" x14ac:dyDescent="0.3">
      <c r="B35" s="685">
        <v>39538</v>
      </c>
      <c r="C35" s="686">
        <v>2.1006</v>
      </c>
      <c r="D35" s="686">
        <v>2.9408399999999997</v>
      </c>
      <c r="E35" s="686">
        <v>3.1680000000000001</v>
      </c>
      <c r="F35" s="687">
        <v>4.9984000000000002</v>
      </c>
    </row>
    <row r="36" spans="2:6" ht="15" x14ac:dyDescent="0.3">
      <c r="B36" s="685">
        <v>39629</v>
      </c>
      <c r="C36" s="686">
        <v>2.1535000000000002</v>
      </c>
      <c r="D36" s="686">
        <v>3.0148999999999999</v>
      </c>
      <c r="E36" s="686">
        <v>3.0249999999999999</v>
      </c>
      <c r="F36" s="687">
        <v>4.7637999999999998</v>
      </c>
    </row>
    <row r="37" spans="2:6" ht="15" x14ac:dyDescent="0.3">
      <c r="B37" s="685">
        <v>39721</v>
      </c>
      <c r="C37" s="686">
        <v>2.1858</v>
      </c>
      <c r="D37" s="686">
        <v>3.06012</v>
      </c>
      <c r="E37" s="686">
        <v>3.1349999999999998</v>
      </c>
      <c r="F37" s="687">
        <v>4.4111000000000002</v>
      </c>
    </row>
    <row r="38" spans="2:6" ht="15" x14ac:dyDescent="0.3">
      <c r="B38" s="685">
        <v>39813</v>
      </c>
      <c r="C38" s="686">
        <v>2.2143999999999999</v>
      </c>
      <c r="D38" s="686">
        <v>3.1001599999999998</v>
      </c>
      <c r="E38" s="686">
        <v>3.452</v>
      </c>
      <c r="F38" s="687">
        <v>4.8735999999999997</v>
      </c>
    </row>
    <row r="39" spans="2:6" ht="15" x14ac:dyDescent="0.3">
      <c r="B39" s="685">
        <v>39903</v>
      </c>
      <c r="C39" s="686">
        <v>2.2429000000000001</v>
      </c>
      <c r="D39" s="686">
        <v>3.1400600000000001</v>
      </c>
      <c r="E39" s="686">
        <v>3.72</v>
      </c>
      <c r="F39" s="687">
        <v>4.9416000000000002</v>
      </c>
    </row>
    <row r="40" spans="2:6" ht="15" x14ac:dyDescent="0.3">
      <c r="B40" s="685">
        <v>39994</v>
      </c>
      <c r="C40" s="686">
        <v>2.2726000000000002</v>
      </c>
      <c r="D40" s="686">
        <v>3.1816400000000002</v>
      </c>
      <c r="E40" s="686">
        <v>3.7970000000000002</v>
      </c>
      <c r="F40" s="687">
        <v>5.3284000000000002</v>
      </c>
    </row>
    <row r="41" spans="2:6" ht="15" x14ac:dyDescent="0.3">
      <c r="B41" s="685">
        <v>40086</v>
      </c>
      <c r="C41" s="686">
        <v>2.3132000000000001</v>
      </c>
      <c r="D41" s="686">
        <v>3.23848</v>
      </c>
      <c r="E41" s="686">
        <v>3.843</v>
      </c>
      <c r="F41" s="687">
        <v>5.6224999999999996</v>
      </c>
    </row>
    <row r="42" spans="2:6" ht="15" x14ac:dyDescent="0.3">
      <c r="B42" s="685">
        <v>40178</v>
      </c>
      <c r="C42" s="686">
        <v>2.3683999999999998</v>
      </c>
      <c r="D42" s="686">
        <v>3.3157599999999996</v>
      </c>
      <c r="E42" s="686">
        <v>3.8</v>
      </c>
      <c r="F42" s="687">
        <v>5.4401999999999999</v>
      </c>
    </row>
    <row r="43" spans="2:6" ht="15" x14ac:dyDescent="0.3">
      <c r="B43" s="685">
        <v>40268</v>
      </c>
      <c r="C43" s="686">
        <v>2.4432999999999998</v>
      </c>
      <c r="D43" s="686">
        <v>3.4206199999999995</v>
      </c>
      <c r="E43" s="686">
        <v>3.8780000000000001</v>
      </c>
      <c r="F43" s="687">
        <v>5.2384000000000004</v>
      </c>
    </row>
    <row r="44" spans="2:6" ht="15" x14ac:dyDescent="0.3">
      <c r="B44" s="685">
        <v>40359</v>
      </c>
      <c r="C44" s="686">
        <v>2.5129000000000001</v>
      </c>
      <c r="D44" s="686">
        <v>3.5180599999999997</v>
      </c>
      <c r="E44" s="686">
        <v>3.931</v>
      </c>
      <c r="F44" s="687">
        <v>4.8086000000000002</v>
      </c>
    </row>
    <row r="45" spans="2:6" ht="15" x14ac:dyDescent="0.3">
      <c r="B45" s="685">
        <v>40451</v>
      </c>
      <c r="C45" s="686">
        <v>2.5705</v>
      </c>
      <c r="D45" s="686">
        <v>3.5986999999999996</v>
      </c>
      <c r="E45" s="686">
        <v>3.96</v>
      </c>
      <c r="F45" s="687">
        <v>5.3965658217497952</v>
      </c>
    </row>
    <row r="46" spans="2:6" ht="15" x14ac:dyDescent="0.3">
      <c r="B46" s="685">
        <v>40543</v>
      </c>
      <c r="C46" s="686">
        <v>2.63</v>
      </c>
      <c r="D46" s="686">
        <v>3.6819999999999995</v>
      </c>
      <c r="E46" s="686">
        <v>3.976</v>
      </c>
      <c r="F46" s="687">
        <v>5.3183520599250933</v>
      </c>
    </row>
    <row r="47" spans="2:6" ht="15" x14ac:dyDescent="0.3">
      <c r="B47" s="685">
        <v>40633</v>
      </c>
      <c r="C47" s="686">
        <v>2.6911</v>
      </c>
      <c r="D47" s="686">
        <v>3.7675399999999999</v>
      </c>
      <c r="E47" s="686">
        <v>4.0540000000000003</v>
      </c>
      <c r="F47" s="687">
        <v>5.7430230910893894</v>
      </c>
    </row>
    <row r="48" spans="2:6" ht="15" x14ac:dyDescent="0.3">
      <c r="B48" s="685">
        <v>40724</v>
      </c>
      <c r="C48" s="686">
        <v>2.7566000000000002</v>
      </c>
      <c r="D48" s="686">
        <v>3.8592399999999998</v>
      </c>
      <c r="E48" s="686">
        <v>4.1100000000000003</v>
      </c>
      <c r="F48" s="687">
        <v>5.9608411892675859</v>
      </c>
    </row>
    <row r="49" spans="1:6" ht="15" x14ac:dyDescent="0.3">
      <c r="B49" s="685">
        <v>40816</v>
      </c>
      <c r="C49" s="686">
        <v>2.8210999999999999</v>
      </c>
      <c r="D49" s="686">
        <v>3.9495399999999998</v>
      </c>
      <c r="E49" s="686">
        <v>4.2050000000000001</v>
      </c>
      <c r="F49" s="687">
        <v>5.6299370732360403</v>
      </c>
    </row>
    <row r="50" spans="1:6" ht="15" x14ac:dyDescent="0.3">
      <c r="B50" s="685">
        <v>40908</v>
      </c>
      <c r="C50" s="686">
        <v>2.8809</v>
      </c>
      <c r="D50" s="686">
        <v>4.0332599999999994</v>
      </c>
      <c r="E50" s="686">
        <v>4.3040000000000003</v>
      </c>
      <c r="F50" s="687">
        <v>5.5845335409368104</v>
      </c>
    </row>
    <row r="51" spans="1:6" ht="15" x14ac:dyDescent="0.3">
      <c r="B51" s="685">
        <v>40999</v>
      </c>
      <c r="C51" s="686">
        <v>2.9523999999999999</v>
      </c>
      <c r="D51" s="686">
        <v>4.1333599999999997</v>
      </c>
      <c r="E51" s="686">
        <v>4.3789999999999996</v>
      </c>
      <c r="F51" s="687">
        <v>5.8425617078052001</v>
      </c>
    </row>
    <row r="52" spans="1:6" ht="15" x14ac:dyDescent="0.3">
      <c r="A52" s="281"/>
      <c r="B52" s="685">
        <v>41090</v>
      </c>
      <c r="C52" s="686">
        <v>3.0287999999999999</v>
      </c>
      <c r="D52" s="686">
        <v>4.2403199999999996</v>
      </c>
      <c r="E52" s="686">
        <v>4.5270000000000001</v>
      </c>
      <c r="F52" s="687">
        <v>5.7267552182163204</v>
      </c>
    </row>
    <row r="53" spans="1:6" ht="15" x14ac:dyDescent="0.3">
      <c r="A53" s="281"/>
      <c r="B53" s="685">
        <v>41182</v>
      </c>
      <c r="C53" s="686">
        <v>3.1017000000000001</v>
      </c>
      <c r="D53" s="686">
        <v>4.3423799999999995</v>
      </c>
      <c r="E53" s="686">
        <v>4.6970000000000001</v>
      </c>
      <c r="F53" s="687">
        <v>6.0372750642673498</v>
      </c>
    </row>
    <row r="54" spans="1:6" ht="15" x14ac:dyDescent="0.3">
      <c r="B54" s="685">
        <v>41274</v>
      </c>
      <c r="C54" s="686">
        <v>3.1846999999999999</v>
      </c>
      <c r="D54" s="686">
        <v>4.4585799999999995</v>
      </c>
      <c r="E54" s="686">
        <v>4.9180000000000001</v>
      </c>
      <c r="F54" s="687">
        <v>6.4889827153978104</v>
      </c>
    </row>
    <row r="55" spans="1:6" ht="15" x14ac:dyDescent="0.3">
      <c r="A55" s="210"/>
      <c r="B55" s="688">
        <v>41364</v>
      </c>
      <c r="C55" s="686">
        <v>3.2732999999999999</v>
      </c>
      <c r="D55" s="686">
        <v>4.5826199999999995</v>
      </c>
      <c r="E55" s="686">
        <v>5.1219999999999999</v>
      </c>
      <c r="F55" s="687">
        <v>6.5649833376000002</v>
      </c>
    </row>
    <row r="56" spans="1:6" ht="15" x14ac:dyDescent="0.3">
      <c r="A56" s="210"/>
      <c r="B56" s="685">
        <v>41455</v>
      </c>
      <c r="C56" s="686">
        <v>3.3426</v>
      </c>
      <c r="D56" s="686">
        <v>4.67964</v>
      </c>
      <c r="E56" s="686">
        <v>5.3879999999999999</v>
      </c>
      <c r="F56" s="687">
        <v>7.0128855915999999</v>
      </c>
    </row>
    <row r="57" spans="1:6" ht="15" x14ac:dyDescent="0.3">
      <c r="B57" s="685">
        <v>41547</v>
      </c>
      <c r="C57" s="686">
        <v>3.4291999999999998</v>
      </c>
      <c r="D57" s="686">
        <v>4.8008799999999994</v>
      </c>
      <c r="E57" s="686">
        <v>5.7930000000000001</v>
      </c>
      <c r="F57" s="687">
        <v>7.83473086286177</v>
      </c>
    </row>
    <row r="58" spans="1:6" ht="15" x14ac:dyDescent="0.3">
      <c r="B58" s="688">
        <v>41639</v>
      </c>
      <c r="C58" s="686">
        <v>3.5202</v>
      </c>
      <c r="D58" s="686">
        <v>4.92828</v>
      </c>
      <c r="E58" s="686">
        <v>6.5209999999999999</v>
      </c>
      <c r="F58" s="687">
        <v>8.9635738831615104</v>
      </c>
    </row>
    <row r="59" spans="1:6" ht="15" x14ac:dyDescent="0.3">
      <c r="B59" s="688">
        <v>41729</v>
      </c>
      <c r="C59" s="686">
        <v>3.8069999999999999</v>
      </c>
      <c r="D59" s="686">
        <v>5.3297999999999996</v>
      </c>
      <c r="E59" s="686">
        <v>8.0047999999999995</v>
      </c>
      <c r="F59" s="687">
        <v>11.022858717</v>
      </c>
    </row>
    <row r="60" spans="1:6" ht="15" x14ac:dyDescent="0.3">
      <c r="B60" s="688">
        <v>41820</v>
      </c>
      <c r="C60" s="689">
        <v>4.0480999999999998</v>
      </c>
      <c r="D60" s="687">
        <v>5.6673399999999994</v>
      </c>
      <c r="E60" s="686">
        <v>8.1326999999999998</v>
      </c>
      <c r="F60" s="687">
        <v>11.134583790000001</v>
      </c>
    </row>
    <row r="61" spans="1:6" ht="15" x14ac:dyDescent="0.3">
      <c r="B61" s="685">
        <v>41912</v>
      </c>
      <c r="C61" s="690">
        <v>4.2153999999999998</v>
      </c>
      <c r="D61" s="687">
        <v>5.901559999999999</v>
      </c>
      <c r="E61" s="687">
        <v>8.4642999999999997</v>
      </c>
      <c r="F61" s="691">
        <v>10.6899469563021</v>
      </c>
    </row>
    <row r="62" spans="1:6" ht="15" x14ac:dyDescent="0.3">
      <c r="B62" s="685">
        <v>42004</v>
      </c>
      <c r="C62" s="690">
        <v>4.3769</v>
      </c>
      <c r="D62" s="687">
        <v>6.1276599999999997</v>
      </c>
      <c r="E62" s="687">
        <v>8.5519999999999996</v>
      </c>
      <c r="F62" s="691">
        <v>10.344744163541792</v>
      </c>
    </row>
    <row r="63" spans="1:6" ht="15" x14ac:dyDescent="0.3">
      <c r="B63" s="685">
        <v>42094</v>
      </c>
      <c r="C63" s="690">
        <v>4.5137</v>
      </c>
      <c r="D63" s="687">
        <v>6.3191799999999994</v>
      </c>
      <c r="E63" s="687">
        <v>8.8196999999999992</v>
      </c>
      <c r="F63" s="691">
        <v>9.4631974248926998</v>
      </c>
    </row>
    <row r="64" spans="1:6" ht="15" x14ac:dyDescent="0.3">
      <c r="B64" s="685">
        <v>42185</v>
      </c>
      <c r="C64" s="690">
        <v>4.6722999999999999</v>
      </c>
      <c r="D64" s="687">
        <v>6.5412199999999991</v>
      </c>
      <c r="E64" s="687">
        <v>9.0864999999999991</v>
      </c>
      <c r="F64" s="691">
        <v>10.1174702148981</v>
      </c>
    </row>
    <row r="65" spans="2:6" ht="15" x14ac:dyDescent="0.3">
      <c r="B65" s="685">
        <v>42277</v>
      </c>
      <c r="C65" s="690">
        <v>4.8352000000000004</v>
      </c>
      <c r="D65" s="687">
        <v>6.7692800000000002</v>
      </c>
      <c r="E65" s="687">
        <v>9.4192</v>
      </c>
      <c r="F65" s="691">
        <v>10.526598122499999</v>
      </c>
    </row>
    <row r="66" spans="2:6" ht="15" x14ac:dyDescent="0.3">
      <c r="B66" s="685">
        <v>42369</v>
      </c>
      <c r="C66" s="690">
        <v>5.0354999999999999</v>
      </c>
      <c r="D66" s="687">
        <v>7.0496999999999996</v>
      </c>
      <c r="E66" s="687">
        <v>13.005000000000001</v>
      </c>
      <c r="F66" s="691">
        <v>14.123588184200001</v>
      </c>
    </row>
    <row r="67" spans="2:6" ht="15" x14ac:dyDescent="0.3">
      <c r="B67" s="685">
        <v>42460</v>
      </c>
      <c r="C67" s="690">
        <v>5.5636000000000001</v>
      </c>
      <c r="D67" s="687">
        <v>7.78904</v>
      </c>
      <c r="E67" s="687">
        <v>14.5817</v>
      </c>
      <c r="F67" s="691">
        <v>16.590852201615654</v>
      </c>
    </row>
    <row r="68" spans="2:6" ht="15" x14ac:dyDescent="0.3">
      <c r="B68" s="685">
        <v>42551</v>
      </c>
      <c r="C68" s="690">
        <v>6.0945999999999998</v>
      </c>
      <c r="D68" s="687">
        <v>8.5324399999999994</v>
      </c>
      <c r="E68" s="687">
        <v>14.92</v>
      </c>
      <c r="F68" s="691">
        <v>16.544688400999998</v>
      </c>
    </row>
    <row r="69" spans="2:6" ht="15" x14ac:dyDescent="0.3">
      <c r="B69" s="685">
        <v>42643</v>
      </c>
      <c r="C69" s="690">
        <v>6.5437000000000003</v>
      </c>
      <c r="D69" s="687">
        <v>9.1611799999999999</v>
      </c>
      <c r="E69" s="687">
        <v>15.263299999999999</v>
      </c>
      <c r="F69" s="691">
        <v>17.15363002922</v>
      </c>
    </row>
    <row r="70" spans="2:6" ht="15" x14ac:dyDescent="0.3">
      <c r="B70" s="685">
        <v>42735</v>
      </c>
      <c r="C70" s="690">
        <v>6.8377999999999997</v>
      </c>
      <c r="D70" s="687">
        <v>9.5729199999999981</v>
      </c>
      <c r="E70" s="687">
        <v>15.850199999999999</v>
      </c>
      <c r="F70" s="691">
        <v>16.686177492367602</v>
      </c>
    </row>
    <row r="71" spans="2:6" ht="15" x14ac:dyDescent="0.3">
      <c r="B71" s="685">
        <v>42825</v>
      </c>
      <c r="C71" s="690">
        <v>7.1550000000000002</v>
      </c>
      <c r="D71" s="687">
        <v>10.016999999999999</v>
      </c>
      <c r="E71" s="687">
        <v>15.3818</v>
      </c>
      <c r="F71" s="691">
        <v>16.391517476555801</v>
      </c>
    </row>
    <row r="72" spans="2:6" ht="15" x14ac:dyDescent="0.3">
      <c r="B72" s="685">
        <v>42916</v>
      </c>
      <c r="C72" s="690">
        <v>7.657</v>
      </c>
      <c r="D72" s="687">
        <v>10.719799999999999</v>
      </c>
      <c r="E72" s="687">
        <v>16.598500000000001</v>
      </c>
      <c r="F72" s="691">
        <v>18.961046378798301</v>
      </c>
    </row>
    <row r="73" spans="2:6" ht="15" x14ac:dyDescent="0.3">
      <c r="B73" s="685">
        <v>43008</v>
      </c>
      <c r="C73" s="690">
        <v>7.9854000000000003</v>
      </c>
      <c r="D73" s="687">
        <v>11.17956</v>
      </c>
      <c r="E73" s="687">
        <v>17.318300000000001</v>
      </c>
      <c r="F73" s="691">
        <v>20.468384351731476</v>
      </c>
    </row>
    <row r="74" spans="2:6" ht="15" x14ac:dyDescent="0.3">
      <c r="B74" s="685">
        <v>43100</v>
      </c>
      <c r="C74" s="690">
        <v>8.3842999999999996</v>
      </c>
      <c r="D74" s="687">
        <v>11.738019999999999</v>
      </c>
      <c r="E74" s="687">
        <v>18.7742</v>
      </c>
      <c r="F74" s="691">
        <v>22.5218330134357</v>
      </c>
    </row>
    <row r="75" spans="2:6" ht="15" x14ac:dyDescent="0.3">
      <c r="B75" s="685">
        <v>43190</v>
      </c>
      <c r="C75" s="690">
        <v>8.9724000000000004</v>
      </c>
      <c r="D75" s="687">
        <v>12.561360000000001</v>
      </c>
      <c r="E75" s="687">
        <v>20.1433</v>
      </c>
      <c r="F75" s="691">
        <v>24.791753846153846</v>
      </c>
    </row>
    <row r="76" spans="2:6" ht="15" x14ac:dyDescent="0.3">
      <c r="B76" s="685">
        <v>43281</v>
      </c>
      <c r="C76" s="690">
        <v>9.6349999999999998</v>
      </c>
      <c r="D76" s="687">
        <v>13.488999999999999</v>
      </c>
      <c r="E76" s="687">
        <v>28.861699999999999</v>
      </c>
      <c r="F76" s="691">
        <v>33.720878607313942</v>
      </c>
    </row>
    <row r="77" spans="2:6" ht="15" x14ac:dyDescent="0.3">
      <c r="B77" s="685">
        <v>43373</v>
      </c>
      <c r="C77" s="690">
        <v>10.6099</v>
      </c>
      <c r="D77" s="687">
        <v>14.853899999999999</v>
      </c>
      <c r="E77" s="687">
        <v>40.896700000000003</v>
      </c>
      <c r="F77" s="691">
        <v>47.471499999999999</v>
      </c>
    </row>
    <row r="78" spans="2:6" ht="15" x14ac:dyDescent="0.3">
      <c r="B78" s="685">
        <v>43465</v>
      </c>
      <c r="C78" s="687">
        <v>12.338699999999999</v>
      </c>
      <c r="D78" s="687">
        <v>17.274179999999998</v>
      </c>
      <c r="E78" s="687">
        <v>37.808300000000003</v>
      </c>
      <c r="F78" s="687">
        <v>43.239135407136303</v>
      </c>
    </row>
    <row r="79" spans="2:6" ht="15" x14ac:dyDescent="0.3">
      <c r="B79" s="685">
        <v>43555</v>
      </c>
      <c r="C79" s="687">
        <v>13.4838</v>
      </c>
      <c r="D79" s="687">
        <v>18.877320000000001</v>
      </c>
      <c r="E79" s="687">
        <v>43.353299999999997</v>
      </c>
      <c r="F79" s="687">
        <v>48.629613011777899</v>
      </c>
    </row>
    <row r="80" spans="2:6" ht="15" x14ac:dyDescent="0.3">
      <c r="B80" s="685">
        <v>43646</v>
      </c>
      <c r="C80" s="687">
        <v>15.092000000000001</v>
      </c>
      <c r="D80" s="687">
        <v>21.128799999999998</v>
      </c>
      <c r="E80" s="687">
        <v>42.448300000000003</v>
      </c>
      <c r="F80" s="687">
        <v>48.253154484483296</v>
      </c>
    </row>
    <row r="81" spans="2:8" ht="15" x14ac:dyDescent="0.3">
      <c r="B81" s="685">
        <v>43738</v>
      </c>
      <c r="C81" s="687">
        <v>16.4026</v>
      </c>
      <c r="D81" s="687">
        <v>22.963639999999998</v>
      </c>
      <c r="E81" s="687">
        <v>57.558300000000003</v>
      </c>
      <c r="F81" s="687">
        <v>62.727005231037488</v>
      </c>
    </row>
    <row r="82" spans="2:8" ht="15" x14ac:dyDescent="0.3">
      <c r="B82" s="685">
        <v>43830</v>
      </c>
      <c r="C82" s="687">
        <v>18.700900000000001</v>
      </c>
      <c r="D82" s="687">
        <v>26.181259999999998</v>
      </c>
      <c r="E82" s="687">
        <v>59.895000000000003</v>
      </c>
      <c r="F82" s="687">
        <v>67.139334155363798</v>
      </c>
    </row>
    <row r="83" spans="2:8" ht="15" x14ac:dyDescent="0.3">
      <c r="B83" s="685">
        <v>43921</v>
      </c>
      <c r="C83" s="687">
        <v>20.455200000000001</v>
      </c>
      <c r="D83" s="687">
        <v>28.637280000000001</v>
      </c>
      <c r="E83" s="687">
        <v>64.469700000000003</v>
      </c>
      <c r="F83" s="687">
        <v>71.103672659093405</v>
      </c>
      <c r="G83" s="692"/>
    </row>
    <row r="84" spans="2:8" ht="15" x14ac:dyDescent="0.3">
      <c r="B84" s="685">
        <v>44012</v>
      </c>
      <c r="C84" s="687">
        <v>21.8154</v>
      </c>
      <c r="D84" s="687">
        <v>30.541559999999997</v>
      </c>
      <c r="E84" s="687">
        <v>70.454999999999998</v>
      </c>
      <c r="F84" s="687">
        <v>79.127358490566039</v>
      </c>
      <c r="G84" s="692"/>
    </row>
    <row r="85" spans="2:8" ht="15" x14ac:dyDescent="0.3">
      <c r="B85" s="685">
        <v>44104</v>
      </c>
      <c r="C85" s="687">
        <v>23.195699999999999</v>
      </c>
      <c r="D85" s="687">
        <v>32.473979999999997</v>
      </c>
      <c r="E85" s="687">
        <v>76.174999999999997</v>
      </c>
      <c r="F85" s="687">
        <v>89.2606046402625</v>
      </c>
      <c r="G85" s="692"/>
      <c r="H85" s="15"/>
    </row>
    <row r="86" spans="2:8" ht="15" x14ac:dyDescent="0.3">
      <c r="B86" s="685">
        <v>44196</v>
      </c>
      <c r="C86" s="687">
        <v>25.494299999999999</v>
      </c>
      <c r="D86" s="687">
        <v>35.692019999999999</v>
      </c>
      <c r="E86" s="687">
        <v>84.144999999999996</v>
      </c>
      <c r="F86" s="687">
        <v>102.766243282852</v>
      </c>
      <c r="G86" s="692"/>
    </row>
    <row r="87" spans="2:8" ht="15" x14ac:dyDescent="0.3">
      <c r="B87" s="685">
        <v>44286</v>
      </c>
      <c r="C87" s="687">
        <v>28.5139</v>
      </c>
      <c r="D87" s="687">
        <v>39.919459999999994</v>
      </c>
      <c r="E87" s="687">
        <v>91.984999999999999</v>
      </c>
      <c r="F87" s="687">
        <v>107.874985340682</v>
      </c>
      <c r="G87" s="692"/>
    </row>
    <row r="88" spans="2:8" ht="15" x14ac:dyDescent="0.3">
      <c r="B88" s="685">
        <v>44377</v>
      </c>
      <c r="C88" s="687">
        <v>32.162599999999998</v>
      </c>
      <c r="D88" s="687">
        <v>45.027639999999991</v>
      </c>
      <c r="E88" s="687">
        <v>95.726699999999994</v>
      </c>
      <c r="F88" s="687">
        <v>113.487492590397</v>
      </c>
      <c r="G88" s="692"/>
    </row>
    <row r="89" spans="2:8" ht="15" x14ac:dyDescent="0.3">
      <c r="B89" s="685">
        <v>44469</v>
      </c>
      <c r="C89" s="687">
        <v>35.178699999999999</v>
      </c>
      <c r="D89" s="687">
        <v>49.250179999999993</v>
      </c>
      <c r="E89" s="687">
        <v>98.734999999999999</v>
      </c>
      <c r="F89" s="687">
        <v>114.34279096699478</v>
      </c>
      <c r="G89" s="692"/>
    </row>
    <row r="90" spans="2:8" ht="15.6" thickBot="1" x14ac:dyDescent="0.35">
      <c r="B90" s="693">
        <v>44561</v>
      </c>
      <c r="C90" s="694">
        <v>38.641800000000003</v>
      </c>
      <c r="D90" s="694">
        <v>54.098520000000001</v>
      </c>
      <c r="E90" s="694">
        <v>102.75</v>
      </c>
      <c r="F90" s="694">
        <v>116.80118222121099</v>
      </c>
      <c r="G90" s="692"/>
    </row>
    <row r="91" spans="2:8" ht="15" thickTop="1" x14ac:dyDescent="0.3">
      <c r="B91" s="695"/>
      <c r="C91" s="696"/>
      <c r="D91" s="696"/>
      <c r="E91" s="696"/>
      <c r="F91" s="696"/>
    </row>
    <row r="92" spans="2:8" ht="28.05" customHeight="1" x14ac:dyDescent="0.3">
      <c r="B92" s="1410" t="s">
        <v>342</v>
      </c>
      <c r="C92" s="1410"/>
      <c r="D92" s="1410"/>
      <c r="E92" s="1410"/>
      <c r="F92" s="1410"/>
    </row>
    <row r="93" spans="2:8" x14ac:dyDescent="0.3">
      <c r="B93" s="697"/>
      <c r="C93" s="697"/>
      <c r="D93" s="697"/>
      <c r="E93" s="697"/>
      <c r="F93" s="697"/>
    </row>
    <row r="94" spans="2:8" x14ac:dyDescent="0.3">
      <c r="F94" s="9"/>
    </row>
    <row r="95" spans="2:8" x14ac:dyDescent="0.3">
      <c r="C95" s="698"/>
      <c r="D95" s="699"/>
    </row>
    <row r="96" spans="2:8" x14ac:dyDescent="0.3">
      <c r="D96" s="699"/>
    </row>
    <row r="97" spans="4:4" x14ac:dyDescent="0.3">
      <c r="D97" s="699"/>
    </row>
    <row r="98" spans="4:4" x14ac:dyDescent="0.3">
      <c r="D98" s="699"/>
    </row>
    <row r="99" spans="4:4" x14ac:dyDescent="0.3">
      <c r="D99" s="699"/>
    </row>
    <row r="100" spans="4:4" x14ac:dyDescent="0.3">
      <c r="D100" s="699"/>
    </row>
    <row r="101" spans="4:4" x14ac:dyDescent="0.3">
      <c r="D101" s="699"/>
    </row>
    <row r="102" spans="4:4" x14ac:dyDescent="0.3">
      <c r="D102" s="699"/>
    </row>
    <row r="103" spans="4:4" x14ac:dyDescent="0.3">
      <c r="D103" s="699"/>
    </row>
    <row r="104" spans="4:4" x14ac:dyDescent="0.3">
      <c r="D104" s="699"/>
    </row>
    <row r="105" spans="4:4" x14ac:dyDescent="0.3">
      <c r="D105" s="699"/>
    </row>
  </sheetData>
  <mergeCells count="2">
    <mergeCell ref="B6:F6"/>
    <mergeCell ref="B92:F9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L96"/>
  <sheetViews>
    <sheetView showGridLines="0" zoomScale="70" zoomScaleNormal="70" zoomScaleSheetLayoutView="55" workbookViewId="0"/>
  </sheetViews>
  <sheetFormatPr baseColWidth="10" defaultColWidth="11.44140625" defaultRowHeight="14.4" x14ac:dyDescent="0.3"/>
  <cols>
    <col min="1" max="1" width="7.21875" style="204" bestFit="1" customWidth="1"/>
    <col min="2" max="2" width="82.21875" style="204" customWidth="1"/>
    <col min="3" max="32" width="18.5546875" style="204" customWidth="1"/>
    <col min="33" max="33" width="18.21875" style="204" bestFit="1" customWidth="1"/>
    <col min="34" max="35" width="11.44140625" style="204"/>
    <col min="36" max="36" width="36.77734375" style="204" customWidth="1"/>
    <col min="37" max="37" width="16.21875" style="204" bestFit="1" customWidth="1"/>
    <col min="38" max="16384" width="11.44140625" style="204"/>
  </cols>
  <sheetData>
    <row r="1" spans="1:38" ht="15" x14ac:dyDescent="0.3">
      <c r="A1" s="1" t="s">
        <v>216</v>
      </c>
      <c r="B1" s="1241"/>
    </row>
    <row r="2" spans="1:38" ht="15" x14ac:dyDescent="0.3">
      <c r="A2" s="1241"/>
      <c r="B2" s="4" t="s">
        <v>693</v>
      </c>
      <c r="C2" s="9"/>
      <c r="D2" s="9"/>
      <c r="E2" s="9"/>
      <c r="F2" s="9"/>
      <c r="G2" s="9"/>
      <c r="H2" s="9"/>
      <c r="I2" s="9"/>
      <c r="J2" s="9"/>
      <c r="K2" s="9"/>
      <c r="L2" s="9"/>
      <c r="M2" s="9"/>
      <c r="N2" s="9"/>
      <c r="O2" s="9"/>
      <c r="P2" s="9"/>
      <c r="Q2" s="9"/>
      <c r="R2" s="1242"/>
      <c r="S2" s="1242"/>
      <c r="T2" s="1242"/>
      <c r="U2" s="1242"/>
      <c r="V2" s="1242"/>
      <c r="W2" s="1242"/>
      <c r="X2" s="1242"/>
    </row>
    <row r="3" spans="1:38" ht="15" x14ac:dyDescent="0.3">
      <c r="A3" s="1241"/>
      <c r="B3" s="61" t="s">
        <v>299</v>
      </c>
      <c r="C3" s="9"/>
      <c r="D3" s="9"/>
      <c r="E3" s="9"/>
      <c r="F3" s="9"/>
      <c r="G3" s="9"/>
      <c r="H3" s="9"/>
      <c r="I3" s="9"/>
      <c r="J3" s="9"/>
      <c r="K3" s="9"/>
      <c r="L3" s="9"/>
      <c r="M3" s="9"/>
      <c r="N3" s="9"/>
      <c r="O3" s="9"/>
      <c r="P3" s="9"/>
      <c r="Q3" s="9"/>
      <c r="R3" s="1242"/>
      <c r="S3" s="1242"/>
      <c r="T3" s="1242"/>
      <c r="U3" s="1242"/>
      <c r="V3" s="1242"/>
      <c r="W3" s="1242"/>
      <c r="X3" s="1242"/>
    </row>
    <row r="4" spans="1:38" x14ac:dyDescent="0.3">
      <c r="B4" s="1243"/>
      <c r="C4" s="9"/>
      <c r="D4" s="9"/>
      <c r="E4" s="9"/>
      <c r="F4" s="9"/>
      <c r="G4" s="9"/>
      <c r="H4" s="9"/>
      <c r="I4" s="9"/>
      <c r="J4" s="9"/>
      <c r="K4" s="9"/>
      <c r="L4" s="10"/>
      <c r="M4" s="9"/>
      <c r="N4" s="9"/>
      <c r="O4" s="9"/>
      <c r="P4" s="9"/>
      <c r="Q4" s="9"/>
      <c r="R4" s="1242"/>
      <c r="S4" s="1242"/>
      <c r="T4" s="1242"/>
      <c r="U4" s="1242"/>
      <c r="V4" s="1242"/>
      <c r="W4" s="1242"/>
      <c r="X4" s="1242"/>
    </row>
    <row r="5" spans="1:38" ht="15" x14ac:dyDescent="0.3">
      <c r="B5" s="1244"/>
      <c r="C5" s="9"/>
      <c r="D5" s="9"/>
      <c r="E5" s="9"/>
      <c r="F5" s="9"/>
      <c r="G5" s="9"/>
      <c r="H5" s="9"/>
      <c r="I5" s="9"/>
      <c r="J5" s="9"/>
      <c r="K5" s="9"/>
      <c r="L5" s="9"/>
      <c r="M5" s="9"/>
      <c r="N5" s="9"/>
      <c r="O5" s="9"/>
      <c r="P5" s="9"/>
      <c r="Q5" s="9"/>
      <c r="R5" s="1242"/>
      <c r="S5" s="1242"/>
      <c r="T5" s="1242"/>
      <c r="U5" s="1242"/>
      <c r="V5" s="1242"/>
      <c r="W5" s="1242"/>
      <c r="X5" s="1242"/>
    </row>
    <row r="6" spans="1:38" ht="18.600000000000001" x14ac:dyDescent="0.35">
      <c r="B6" s="1411" t="s">
        <v>862</v>
      </c>
      <c r="C6" s="1411"/>
      <c r="D6" s="1411"/>
      <c r="E6" s="1411"/>
      <c r="F6" s="1411"/>
      <c r="G6" s="1411"/>
      <c r="H6" s="1411"/>
      <c r="I6" s="1411"/>
      <c r="J6" s="1411"/>
      <c r="K6" s="1411"/>
      <c r="L6" s="1411"/>
      <c r="M6" s="1411"/>
      <c r="N6" s="1411"/>
      <c r="O6" s="1411"/>
      <c r="P6" s="1411"/>
      <c r="Q6" s="1411"/>
      <c r="R6" s="1411"/>
      <c r="S6" s="1411"/>
      <c r="T6" s="1411"/>
      <c r="U6" s="1411"/>
      <c r="V6" s="1411"/>
      <c r="W6" s="1411"/>
      <c r="X6" s="1411"/>
      <c r="Y6" s="1411"/>
      <c r="Z6" s="1411"/>
      <c r="AA6" s="1411"/>
      <c r="AB6" s="1245"/>
    </row>
    <row r="7" spans="1:38" ht="16.2" x14ac:dyDescent="0.3">
      <c r="B7" s="1412" t="s">
        <v>863</v>
      </c>
      <c r="C7" s="1412"/>
      <c r="D7" s="1412"/>
      <c r="E7" s="1412"/>
      <c r="F7" s="1412"/>
      <c r="G7" s="1412"/>
      <c r="H7" s="1412"/>
      <c r="I7" s="1412"/>
      <c r="J7" s="1412"/>
      <c r="K7" s="1412"/>
      <c r="L7" s="1412"/>
      <c r="M7" s="1412"/>
      <c r="N7" s="1412"/>
      <c r="O7" s="1412"/>
      <c r="P7" s="1412"/>
      <c r="Q7" s="1412"/>
      <c r="R7" s="1412"/>
      <c r="S7" s="1412"/>
      <c r="T7" s="1412"/>
      <c r="U7" s="1412"/>
      <c r="V7" s="1412"/>
      <c r="W7" s="1412"/>
      <c r="X7" s="1412"/>
      <c r="Y7" s="1412"/>
      <c r="Z7" s="1412"/>
      <c r="AA7" s="1412"/>
      <c r="AB7" s="1246"/>
    </row>
    <row r="8" spans="1:38" x14ac:dyDescent="0.3">
      <c r="B8" s="1413" t="s">
        <v>864</v>
      </c>
      <c r="C8" s="1413"/>
      <c r="D8" s="1413"/>
      <c r="E8" s="1413"/>
      <c r="F8" s="1413"/>
      <c r="G8" s="1413"/>
      <c r="H8" s="1413"/>
      <c r="I8" s="1413"/>
      <c r="J8" s="1413"/>
      <c r="K8" s="1413"/>
      <c r="L8" s="1413"/>
      <c r="M8" s="1413"/>
      <c r="N8" s="1413"/>
      <c r="O8" s="1413"/>
      <c r="P8" s="1413"/>
      <c r="Q8" s="1413"/>
      <c r="R8" s="1413"/>
      <c r="S8" s="1413"/>
      <c r="T8" s="1413"/>
      <c r="U8" s="1413"/>
      <c r="V8" s="1413"/>
      <c r="W8" s="1413"/>
      <c r="X8" s="1413"/>
      <c r="Y8" s="1413"/>
      <c r="Z8" s="1413"/>
      <c r="AA8" s="1413"/>
      <c r="AB8" s="1023"/>
    </row>
    <row r="9" spans="1:38" x14ac:dyDescent="0.3">
      <c r="B9" s="9"/>
      <c r="C9" s="10"/>
      <c r="D9" s="10"/>
      <c r="E9" s="10"/>
      <c r="F9" s="10"/>
      <c r="G9" s="10"/>
      <c r="H9" s="10"/>
      <c r="I9" s="10"/>
      <c r="J9" s="10"/>
      <c r="K9" s="10"/>
      <c r="L9" s="10"/>
      <c r="M9" s="10"/>
      <c r="N9" s="10"/>
      <c r="O9" s="10"/>
      <c r="P9" s="9"/>
      <c r="Q9" s="9"/>
      <c r="R9" s="1242"/>
      <c r="S9" s="1242"/>
      <c r="T9" s="1242"/>
      <c r="U9" s="1242"/>
      <c r="V9" s="1242"/>
      <c r="W9" s="1242"/>
      <c r="X9" s="1242"/>
    </row>
    <row r="10" spans="1:38" ht="15" thickBot="1" x14ac:dyDescent="0.35">
      <c r="B10" s="9" t="s">
        <v>865</v>
      </c>
      <c r="C10" s="1247"/>
      <c r="D10" s="1247"/>
      <c r="E10" s="1247"/>
      <c r="F10" s="1247"/>
      <c r="G10" s="1247"/>
      <c r="H10" s="1247"/>
      <c r="I10" s="1247"/>
      <c r="J10" s="1247"/>
      <c r="K10" s="1247"/>
      <c r="L10" s="1247"/>
      <c r="M10" s="1247"/>
      <c r="N10" s="1247"/>
      <c r="O10" s="1247"/>
      <c r="P10" s="1247"/>
      <c r="Q10" s="1247"/>
      <c r="R10" s="1247"/>
      <c r="S10" s="1247"/>
      <c r="T10" s="1247"/>
      <c r="U10" s="1247"/>
      <c r="V10" s="1247"/>
      <c r="W10" s="1247"/>
      <c r="X10" s="1242"/>
    </row>
    <row r="11" spans="1:38" ht="15.6" thickTop="1" thickBot="1" x14ac:dyDescent="0.35">
      <c r="B11" s="1414" t="s">
        <v>219</v>
      </c>
      <c r="C11" s="1416" t="s">
        <v>866</v>
      </c>
      <c r="D11" s="1417"/>
      <c r="E11" s="1417"/>
      <c r="F11" s="1417"/>
      <c r="G11" s="1417"/>
      <c r="H11" s="1417"/>
      <c r="I11" s="1417"/>
      <c r="J11" s="1417"/>
      <c r="K11" s="1417"/>
      <c r="L11" s="1417"/>
      <c r="M11" s="1417"/>
      <c r="N11" s="1417"/>
      <c r="O11" s="1417"/>
      <c r="P11" s="1417"/>
      <c r="Q11" s="1417"/>
      <c r="R11" s="1417"/>
      <c r="S11" s="1417"/>
      <c r="T11" s="1417"/>
      <c r="U11" s="1417"/>
      <c r="V11" s="1417"/>
      <c r="W11" s="1417"/>
      <c r="X11" s="1417"/>
      <c r="Y11" s="1417"/>
      <c r="Z11" s="1417"/>
      <c r="AA11" s="1417"/>
      <c r="AB11" s="1417"/>
      <c r="AC11" s="1417"/>
      <c r="AD11" s="1417"/>
      <c r="AE11" s="1417"/>
      <c r="AF11" s="1418"/>
    </row>
    <row r="12" spans="1:38" ht="17.399999999999999" thickTop="1" thickBot="1" x14ac:dyDescent="0.35">
      <c r="B12" s="1415"/>
      <c r="C12" s="1248" t="s">
        <v>867</v>
      </c>
      <c r="D12" s="1249">
        <v>34334</v>
      </c>
      <c r="E12" s="1249">
        <v>34699</v>
      </c>
      <c r="F12" s="1249">
        <v>35064</v>
      </c>
      <c r="G12" s="1249">
        <v>35430</v>
      </c>
      <c r="H12" s="1249">
        <v>35795</v>
      </c>
      <c r="I12" s="1249">
        <v>36160</v>
      </c>
      <c r="J12" s="1249">
        <v>36525</v>
      </c>
      <c r="K12" s="1249">
        <v>36891</v>
      </c>
      <c r="L12" s="1249">
        <v>37256</v>
      </c>
      <c r="M12" s="1249">
        <v>37621</v>
      </c>
      <c r="N12" s="1249">
        <v>37986</v>
      </c>
      <c r="O12" s="1249">
        <v>38352</v>
      </c>
      <c r="P12" s="1249">
        <v>38717</v>
      </c>
      <c r="Q12" s="1249">
        <v>39082</v>
      </c>
      <c r="R12" s="1249">
        <v>39447</v>
      </c>
      <c r="S12" s="1249">
        <v>39813</v>
      </c>
      <c r="T12" s="1249">
        <v>40178</v>
      </c>
      <c r="U12" s="1249">
        <v>40543</v>
      </c>
      <c r="V12" s="1249">
        <v>40908</v>
      </c>
      <c r="W12" s="1249">
        <v>41274</v>
      </c>
      <c r="X12" s="1250">
        <v>41639</v>
      </c>
      <c r="Y12" s="1250">
        <v>42004</v>
      </c>
      <c r="Z12" s="1249">
        <v>42369</v>
      </c>
      <c r="AA12" s="1249">
        <v>42735</v>
      </c>
      <c r="AB12" s="1249">
        <v>43100</v>
      </c>
      <c r="AC12" s="1249">
        <v>43465</v>
      </c>
      <c r="AD12" s="1249">
        <v>43830</v>
      </c>
      <c r="AE12" s="1249">
        <v>44196</v>
      </c>
      <c r="AF12" s="1249">
        <v>44561</v>
      </c>
    </row>
    <row r="13" spans="1:38" ht="9.75" customHeight="1" thickTop="1" x14ac:dyDescent="0.3">
      <c r="B13" s="1251"/>
      <c r="C13" s="1252"/>
      <c r="D13" s="1252"/>
      <c r="E13" s="1252"/>
      <c r="F13" s="1252"/>
      <c r="G13" s="1252"/>
      <c r="H13" s="1252"/>
      <c r="I13" s="1252"/>
      <c r="J13" s="1252"/>
      <c r="K13" s="1252"/>
      <c r="L13" s="1252"/>
      <c r="M13" s="1252"/>
      <c r="N13" s="1252"/>
      <c r="O13" s="1252"/>
      <c r="P13" s="1252"/>
      <c r="Q13" s="1252"/>
      <c r="R13" s="1252"/>
      <c r="S13" s="1252"/>
      <c r="T13" s="1252"/>
      <c r="U13" s="1252"/>
      <c r="V13" s="1252"/>
      <c r="W13" s="1252"/>
      <c r="X13" s="1253"/>
      <c r="Y13" s="1253"/>
      <c r="Z13" s="1253"/>
      <c r="AA13" s="1253"/>
      <c r="AB13" s="1253"/>
      <c r="AC13" s="1253"/>
      <c r="AD13" s="1253"/>
      <c r="AE13" s="1253"/>
      <c r="AF13" s="1253"/>
    </row>
    <row r="14" spans="1:38" s="82" customFormat="1" ht="36" x14ac:dyDescent="0.3">
      <c r="B14" s="557" t="s">
        <v>868</v>
      </c>
      <c r="C14" s="1254">
        <f>+C17+C50</f>
        <v>63250</v>
      </c>
      <c r="D14" s="1254">
        <f t="shared" ref="D14:Z14" si="0">+D17+D50</f>
        <v>71112</v>
      </c>
      <c r="E14" s="1254">
        <f t="shared" si="0"/>
        <v>81820</v>
      </c>
      <c r="F14" s="1254">
        <f t="shared" si="0"/>
        <v>88711</v>
      </c>
      <c r="G14" s="1254">
        <f t="shared" si="0"/>
        <v>99046</v>
      </c>
      <c r="H14" s="1254">
        <f t="shared" si="0"/>
        <v>103718</v>
      </c>
      <c r="I14" s="1254">
        <f t="shared" si="0"/>
        <v>114134</v>
      </c>
      <c r="J14" s="1254">
        <f t="shared" si="0"/>
        <v>123366</v>
      </c>
      <c r="K14" s="1254">
        <f t="shared" si="0"/>
        <v>129750</v>
      </c>
      <c r="L14" s="1254">
        <f t="shared" si="0"/>
        <v>144222</v>
      </c>
      <c r="M14" s="1254">
        <f t="shared" si="0"/>
        <v>153218.25159999999</v>
      </c>
      <c r="N14" s="1254">
        <f t="shared" si="0"/>
        <v>179353.74129999999</v>
      </c>
      <c r="O14" s="1254">
        <f t="shared" si="0"/>
        <v>192293.82920000001</v>
      </c>
      <c r="P14" s="1254">
        <f t="shared" si="0"/>
        <v>183055.2907086671</v>
      </c>
      <c r="Q14" s="1254">
        <f t="shared" si="0"/>
        <v>194163.74688965155</v>
      </c>
      <c r="R14" s="1254">
        <f t="shared" si="0"/>
        <v>205045.86923578873</v>
      </c>
      <c r="S14" s="1254">
        <f t="shared" si="0"/>
        <v>199004.14622785326</v>
      </c>
      <c r="T14" s="1254">
        <f t="shared" si="0"/>
        <v>200196.37084212672</v>
      </c>
      <c r="U14" s="1254">
        <f t="shared" si="0"/>
        <v>204351.2201152115</v>
      </c>
      <c r="V14" s="1254">
        <f t="shared" si="0"/>
        <v>216880.90348858497</v>
      </c>
      <c r="W14" s="1254">
        <f t="shared" si="0"/>
        <v>232863.88702076158</v>
      </c>
      <c r="X14" s="1254">
        <f t="shared" si="0"/>
        <v>239201.84086790445</v>
      </c>
      <c r="Y14" s="1254">
        <f t="shared" si="0"/>
        <v>253755.3521819275</v>
      </c>
      <c r="Z14" s="1254">
        <f t="shared" si="0"/>
        <v>253989.15054701199</v>
      </c>
      <c r="AA14" s="1254">
        <f t="shared" ref="AA14:AF14" si="1">+AA17+AA50</f>
        <v>288447.82278059644</v>
      </c>
      <c r="AB14" s="1254">
        <f t="shared" si="1"/>
        <v>334706.96999999997</v>
      </c>
      <c r="AC14" s="1254">
        <f t="shared" si="1"/>
        <v>345384.76</v>
      </c>
      <c r="AD14" s="1254">
        <f t="shared" si="1"/>
        <v>336027.35003944353</v>
      </c>
      <c r="AE14" s="1254">
        <f t="shared" si="1"/>
        <v>349096.60406598076</v>
      </c>
      <c r="AF14" s="1254">
        <f t="shared" si="1"/>
        <v>376214.95224697515</v>
      </c>
      <c r="AG14" s="204"/>
      <c r="AJ14" s="204"/>
      <c r="AK14" s="204"/>
      <c r="AL14" s="204"/>
    </row>
    <row r="15" spans="1:38" ht="9.75" customHeight="1" thickBot="1" x14ac:dyDescent="0.45">
      <c r="B15" s="1255"/>
      <c r="C15" s="1256"/>
      <c r="D15" s="1256"/>
      <c r="E15" s="1256"/>
      <c r="F15" s="1256"/>
      <c r="G15" s="1256"/>
      <c r="H15" s="1256"/>
      <c r="I15" s="1256"/>
      <c r="J15" s="1256"/>
      <c r="K15" s="1256"/>
      <c r="L15" s="1256"/>
      <c r="M15" s="1256"/>
      <c r="N15" s="1256"/>
      <c r="O15" s="1256"/>
      <c r="P15" s="1256"/>
      <c r="Q15" s="1256"/>
      <c r="R15" s="1256"/>
      <c r="S15" s="1256"/>
      <c r="T15" s="1256"/>
      <c r="U15" s="1256"/>
      <c r="V15" s="1256"/>
      <c r="W15" s="1256"/>
      <c r="X15" s="1256"/>
      <c r="Y15" s="1256"/>
      <c r="Z15" s="1256"/>
      <c r="AA15" s="1256"/>
      <c r="AB15" s="1256"/>
      <c r="AC15" s="1256"/>
      <c r="AD15" s="1256"/>
      <c r="AE15" s="1256"/>
      <c r="AF15" s="1256"/>
    </row>
    <row r="16" spans="1:38" ht="9.75" customHeight="1" thickTop="1" x14ac:dyDescent="0.3">
      <c r="B16" s="1251"/>
      <c r="C16" s="1252"/>
      <c r="D16" s="1252"/>
      <c r="E16" s="1252"/>
      <c r="F16" s="1252"/>
      <c r="G16" s="1252"/>
      <c r="H16" s="1252"/>
      <c r="I16" s="1252"/>
      <c r="J16" s="1252"/>
      <c r="K16" s="1252"/>
      <c r="L16" s="1252"/>
      <c r="M16" s="1252"/>
      <c r="N16" s="1252"/>
      <c r="O16" s="1252"/>
      <c r="P16" s="1252"/>
      <c r="Q16" s="1252"/>
      <c r="R16" s="1252"/>
      <c r="S16" s="1252"/>
      <c r="T16" s="1252"/>
      <c r="U16" s="1252"/>
      <c r="V16" s="1252"/>
      <c r="W16" s="1252"/>
      <c r="X16" s="1253"/>
      <c r="Y16" s="1253"/>
      <c r="Z16" s="1253"/>
      <c r="AA16" s="1253"/>
      <c r="AB16" s="1253"/>
      <c r="AC16" s="1253"/>
      <c r="AD16" s="1253"/>
      <c r="AE16" s="1253"/>
      <c r="AF16" s="1253"/>
    </row>
    <row r="17" spans="2:32" ht="21.6" x14ac:dyDescent="0.4">
      <c r="B17" s="1257" t="s">
        <v>869</v>
      </c>
      <c r="C17" s="1258">
        <f t="shared" ref="C17:Z17" si="2">+C20+C38+C40</f>
        <v>63250</v>
      </c>
      <c r="D17" s="1258">
        <f t="shared" si="2"/>
        <v>71112</v>
      </c>
      <c r="E17" s="1258">
        <f t="shared" si="2"/>
        <v>81820</v>
      </c>
      <c r="F17" s="1258">
        <f t="shared" si="2"/>
        <v>88711</v>
      </c>
      <c r="G17" s="1258">
        <f t="shared" si="2"/>
        <v>99046</v>
      </c>
      <c r="H17" s="1258">
        <f t="shared" si="2"/>
        <v>103718</v>
      </c>
      <c r="I17" s="1258">
        <f t="shared" si="2"/>
        <v>114134</v>
      </c>
      <c r="J17" s="1258">
        <f t="shared" si="2"/>
        <v>123366</v>
      </c>
      <c r="K17" s="1258">
        <f t="shared" si="2"/>
        <v>129750</v>
      </c>
      <c r="L17" s="1258">
        <f t="shared" si="2"/>
        <v>144222</v>
      </c>
      <c r="M17" s="1258">
        <f t="shared" si="2"/>
        <v>153218.25159999999</v>
      </c>
      <c r="N17" s="1258">
        <f t="shared" si="2"/>
        <v>179353.74129999999</v>
      </c>
      <c r="O17" s="1258">
        <f t="shared" si="2"/>
        <v>192293.82920000001</v>
      </c>
      <c r="P17" s="1258">
        <f t="shared" si="2"/>
        <v>154270.86479999998</v>
      </c>
      <c r="Q17" s="1258">
        <f t="shared" si="2"/>
        <v>165110.8946</v>
      </c>
      <c r="R17" s="1258">
        <f t="shared" si="2"/>
        <v>176870.2359</v>
      </c>
      <c r="S17" s="1258">
        <f t="shared" si="2"/>
        <v>179132.19052</v>
      </c>
      <c r="T17" s="1258">
        <f t="shared" si="2"/>
        <v>182083.48550000001</v>
      </c>
      <c r="U17" s="1258">
        <f t="shared" si="2"/>
        <v>181621.1741</v>
      </c>
      <c r="V17" s="1258">
        <f t="shared" si="2"/>
        <v>197155.57511999999</v>
      </c>
      <c r="W17" s="1258">
        <f t="shared" si="2"/>
        <v>216921.50179000001</v>
      </c>
      <c r="X17" s="1258">
        <f t="shared" si="2"/>
        <v>223440.10292</v>
      </c>
      <c r="Y17" s="1258">
        <f t="shared" si="2"/>
        <v>239325</v>
      </c>
      <c r="Z17" s="1258">
        <f t="shared" si="2"/>
        <v>240665</v>
      </c>
      <c r="AA17" s="1258">
        <f t="shared" ref="AA17:AF17" si="3">+AA20+AA38+AA40</f>
        <v>275446.12882406707</v>
      </c>
      <c r="AB17" s="1258">
        <f t="shared" si="3"/>
        <v>320934.78999999998</v>
      </c>
      <c r="AC17" s="1258">
        <f t="shared" si="3"/>
        <v>332191.82</v>
      </c>
      <c r="AD17" s="1258">
        <f t="shared" si="3"/>
        <v>323064.61825805862</v>
      </c>
      <c r="AE17" s="1258">
        <f t="shared" si="3"/>
        <v>335582.21791753714</v>
      </c>
      <c r="AF17" s="1258">
        <f t="shared" si="3"/>
        <v>363232.60917977558</v>
      </c>
    </row>
    <row r="18" spans="2:32" ht="9.75" customHeight="1" thickBot="1" x14ac:dyDescent="0.45">
      <c r="B18" s="1255"/>
      <c r="C18" s="1256"/>
      <c r="D18" s="1256"/>
      <c r="E18" s="1256"/>
      <c r="F18" s="1256"/>
      <c r="G18" s="1256"/>
      <c r="H18" s="1256"/>
      <c r="I18" s="1256"/>
      <c r="J18" s="1256"/>
      <c r="K18" s="1256"/>
      <c r="L18" s="1256"/>
      <c r="M18" s="1256"/>
      <c r="N18" s="1256"/>
      <c r="O18" s="1256"/>
      <c r="P18" s="1256"/>
      <c r="Q18" s="1256"/>
      <c r="R18" s="1256"/>
      <c r="S18" s="1256"/>
      <c r="T18" s="1256"/>
      <c r="U18" s="1256"/>
      <c r="V18" s="1256"/>
      <c r="W18" s="1256"/>
      <c r="X18" s="1256"/>
      <c r="Y18" s="1256"/>
      <c r="Z18" s="1256"/>
      <c r="AA18" s="1256"/>
      <c r="AB18" s="1256"/>
      <c r="AC18" s="1256"/>
      <c r="AD18" s="1256"/>
      <c r="AE18" s="1256"/>
      <c r="AF18" s="1256"/>
    </row>
    <row r="19" spans="2:32" ht="9.75" customHeight="1" thickTop="1" x14ac:dyDescent="0.4">
      <c r="B19" s="1259"/>
      <c r="C19" s="1260"/>
      <c r="D19" s="1260"/>
      <c r="E19" s="1260"/>
      <c r="F19" s="1260"/>
      <c r="G19" s="1260"/>
      <c r="H19" s="1260"/>
      <c r="I19" s="1260"/>
      <c r="J19" s="1260"/>
      <c r="K19" s="1260"/>
      <c r="L19" s="1260"/>
      <c r="M19" s="1260"/>
      <c r="N19" s="1260"/>
      <c r="O19" s="1260"/>
      <c r="P19" s="1260"/>
      <c r="Q19" s="1260"/>
      <c r="R19" s="1260"/>
      <c r="S19" s="1260"/>
      <c r="T19" s="1260"/>
      <c r="U19" s="1260"/>
      <c r="V19" s="1260"/>
      <c r="W19" s="1260"/>
      <c r="X19" s="1260"/>
      <c r="Y19" s="1260"/>
      <c r="Z19" s="1260"/>
      <c r="AA19" s="1260"/>
      <c r="AB19" s="1260"/>
      <c r="AC19" s="1260"/>
      <c r="AD19" s="1260"/>
      <c r="AE19" s="1260"/>
      <c r="AF19" s="1260"/>
    </row>
    <row r="20" spans="2:32" ht="21.6" x14ac:dyDescent="0.4">
      <c r="B20" s="1261" t="s">
        <v>870</v>
      </c>
      <c r="C20" s="1262">
        <f>+C22+C24+C36</f>
        <v>54018</v>
      </c>
      <c r="D20" s="1262">
        <f t="shared" ref="D20:M20" si="4">+D22+D24+D36</f>
        <v>71112</v>
      </c>
      <c r="E20" s="1262">
        <f t="shared" si="4"/>
        <v>81820</v>
      </c>
      <c r="F20" s="1262">
        <f t="shared" si="4"/>
        <v>88711</v>
      </c>
      <c r="G20" s="1262">
        <f t="shared" si="4"/>
        <v>99046</v>
      </c>
      <c r="H20" s="1262">
        <f t="shared" si="4"/>
        <v>103718</v>
      </c>
      <c r="I20" s="1262">
        <f t="shared" si="4"/>
        <v>114134</v>
      </c>
      <c r="J20" s="1262">
        <f t="shared" si="4"/>
        <v>123366</v>
      </c>
      <c r="K20" s="1262">
        <f t="shared" si="4"/>
        <v>129750</v>
      </c>
      <c r="L20" s="1262">
        <f t="shared" si="4"/>
        <v>144194</v>
      </c>
      <c r="M20" s="1262">
        <f t="shared" si="4"/>
        <v>141509</v>
      </c>
      <c r="N20" s="1262">
        <f>+N22+N24+N36</f>
        <v>150878</v>
      </c>
      <c r="O20" s="1262">
        <f>+O22+O24+O36</f>
        <v>145966</v>
      </c>
      <c r="P20" s="1262">
        <f t="shared" ref="P20" si="5">+P22+P24+P36</f>
        <v>125102</v>
      </c>
      <c r="Q20" s="1262">
        <f>+Q22+Q24+Q36</f>
        <v>131348</v>
      </c>
      <c r="R20" s="1262">
        <f t="shared" ref="R20" si="6">+R22+R24+R36</f>
        <v>139239</v>
      </c>
      <c r="S20" s="1262">
        <f>+S22+S24+S36</f>
        <v>139635</v>
      </c>
      <c r="T20" s="1262">
        <f>+T22+T24+T36</f>
        <v>140874</v>
      </c>
      <c r="U20" s="1262">
        <f>+U22+U24+U36</f>
        <v>158001</v>
      </c>
      <c r="V20" s="1262">
        <f t="shared" ref="V20" si="7">+V22+V24+V36</f>
        <v>172722</v>
      </c>
      <c r="W20" s="1262">
        <f>+W22+W24+W36</f>
        <v>191356</v>
      </c>
      <c r="X20" s="1262">
        <f>+X22+X24+X36</f>
        <v>196695</v>
      </c>
      <c r="Y20" s="1262">
        <f t="shared" ref="Y20:AE20" si="8">+Y22+Y24+Y36</f>
        <v>221699</v>
      </c>
      <c r="Z20" s="1262">
        <f t="shared" si="8"/>
        <v>222659</v>
      </c>
      <c r="AA20" s="1262">
        <f t="shared" si="8"/>
        <v>266935.14477210713</v>
      </c>
      <c r="AB20" s="1262">
        <f t="shared" si="8"/>
        <v>317950.84999999998</v>
      </c>
      <c r="AC20" s="1262">
        <f t="shared" si="8"/>
        <v>329281.56</v>
      </c>
      <c r="AD20" s="1262">
        <f t="shared" si="8"/>
        <v>320525.45350388758</v>
      </c>
      <c r="AE20" s="1262">
        <f t="shared" si="8"/>
        <v>332975.07831769495</v>
      </c>
      <c r="AF20" s="1262">
        <f t="shared" ref="AF20" si="9">+AF22+AF24+AF36</f>
        <v>360688.7441502228</v>
      </c>
    </row>
    <row r="21" spans="2:32" ht="9.75" customHeight="1" x14ac:dyDescent="0.4">
      <c r="B21" s="1263"/>
      <c r="C21" s="1264"/>
      <c r="D21" s="1264"/>
      <c r="E21" s="1264"/>
      <c r="F21" s="1264"/>
      <c r="G21" s="1264"/>
      <c r="H21" s="1264"/>
      <c r="I21" s="1264"/>
      <c r="J21" s="1264"/>
      <c r="K21" s="1264"/>
      <c r="L21" s="1264"/>
      <c r="M21" s="1264"/>
      <c r="N21" s="1264"/>
      <c r="O21" s="1264"/>
      <c r="P21" s="1264"/>
      <c r="Q21" s="1264"/>
      <c r="R21" s="1264"/>
      <c r="S21" s="1264"/>
      <c r="T21" s="1264"/>
      <c r="U21" s="1264"/>
      <c r="V21" s="1264"/>
      <c r="W21" s="1264"/>
      <c r="X21" s="1264"/>
      <c r="Y21" s="1264"/>
      <c r="Z21" s="1264"/>
      <c r="AA21" s="1264"/>
      <c r="AB21" s="1264"/>
      <c r="AC21" s="1264"/>
      <c r="AD21" s="1264"/>
      <c r="AE21" s="1264"/>
      <c r="AF21" s="1264"/>
    </row>
    <row r="22" spans="2:32" ht="21.6" x14ac:dyDescent="0.4">
      <c r="B22" s="1265" t="s">
        <v>871</v>
      </c>
      <c r="C22" s="1266">
        <v>17184</v>
      </c>
      <c r="D22" s="1266">
        <v>48401</v>
      </c>
      <c r="E22" s="1266">
        <v>57109</v>
      </c>
      <c r="F22" s="1266">
        <v>59048</v>
      </c>
      <c r="G22" s="1266">
        <v>69393</v>
      </c>
      <c r="H22" s="1266">
        <v>74801</v>
      </c>
      <c r="I22" s="1266">
        <v>82363</v>
      </c>
      <c r="J22" s="1266">
        <v>91555</v>
      </c>
      <c r="K22" s="1266">
        <v>98895</v>
      </c>
      <c r="L22" s="1266">
        <v>83051</v>
      </c>
      <c r="M22" s="1266">
        <v>91656</v>
      </c>
      <c r="N22" s="1266">
        <v>96885</v>
      </c>
      <c r="O22" s="1266">
        <v>92224</v>
      </c>
      <c r="P22" s="1266">
        <v>75628</v>
      </c>
      <c r="Q22" s="1266">
        <v>92222</v>
      </c>
      <c r="R22" s="1266">
        <v>99208</v>
      </c>
      <c r="S22" s="1266">
        <v>99994</v>
      </c>
      <c r="T22" s="1266">
        <v>100719</v>
      </c>
      <c r="U22" s="1266">
        <v>115672</v>
      </c>
      <c r="V22" s="1266">
        <v>125391</v>
      </c>
      <c r="W22" s="1266">
        <v>133214</v>
      </c>
      <c r="X22" s="1266">
        <v>137809</v>
      </c>
      <c r="Y22" s="1266">
        <v>154775</v>
      </c>
      <c r="Z22" s="1266">
        <v>160150</v>
      </c>
      <c r="AA22" s="1266">
        <v>208400.32807236814</v>
      </c>
      <c r="AB22" s="1266">
        <v>256515.52</v>
      </c>
      <c r="AC22" s="1266">
        <v>253709.2</v>
      </c>
      <c r="AD22" s="1267">
        <v>225444.5245159709</v>
      </c>
      <c r="AE22" s="1267">
        <v>235536.10429943728</v>
      </c>
      <c r="AF22" s="1267">
        <v>260489.52711804816</v>
      </c>
    </row>
    <row r="23" spans="2:32" ht="9.75" customHeight="1" x14ac:dyDescent="0.4">
      <c r="B23" s="1263"/>
      <c r="C23" s="1268"/>
      <c r="D23" s="1268"/>
      <c r="E23" s="1268"/>
      <c r="F23" s="1268"/>
      <c r="G23" s="1268"/>
      <c r="H23" s="1268"/>
      <c r="I23" s="1268"/>
      <c r="J23" s="1268"/>
      <c r="K23" s="1268"/>
      <c r="L23" s="1268"/>
      <c r="M23" s="1268"/>
      <c r="N23" s="1268"/>
      <c r="O23" s="1268"/>
      <c r="P23" s="1268"/>
      <c r="Q23" s="1268"/>
      <c r="R23" s="1268"/>
      <c r="S23" s="1268"/>
      <c r="T23" s="1268"/>
      <c r="U23" s="1268"/>
      <c r="V23" s="1268"/>
      <c r="W23" s="1268"/>
      <c r="X23" s="1268"/>
      <c r="Y23" s="1268"/>
      <c r="Z23" s="1268"/>
      <c r="AA23" s="1268"/>
      <c r="AB23" s="1268"/>
      <c r="AC23" s="1268"/>
      <c r="AD23" s="1268"/>
      <c r="AE23" s="1268"/>
      <c r="AF23" s="1268"/>
    </row>
    <row r="24" spans="2:32" ht="21.6" x14ac:dyDescent="0.4">
      <c r="B24" s="1265" t="s">
        <v>52</v>
      </c>
      <c r="C24" s="1266">
        <f t="shared" ref="C24:AA24" si="10">SUM(C26:C34)</f>
        <v>36834</v>
      </c>
      <c r="D24" s="1266">
        <f t="shared" si="10"/>
        <v>22711</v>
      </c>
      <c r="E24" s="1266">
        <f t="shared" si="10"/>
        <v>24711</v>
      </c>
      <c r="F24" s="1266">
        <f t="shared" si="10"/>
        <v>29663</v>
      </c>
      <c r="G24" s="1266">
        <f t="shared" si="10"/>
        <v>29653</v>
      </c>
      <c r="H24" s="1266">
        <f t="shared" si="10"/>
        <v>28917</v>
      </c>
      <c r="I24" s="1266">
        <f t="shared" si="10"/>
        <v>31771</v>
      </c>
      <c r="J24" s="1266">
        <f t="shared" si="10"/>
        <v>31811</v>
      </c>
      <c r="K24" s="1266">
        <f t="shared" si="10"/>
        <v>30855</v>
      </c>
      <c r="L24" s="1266">
        <f t="shared" si="10"/>
        <v>61143</v>
      </c>
      <c r="M24" s="1266">
        <f t="shared" si="10"/>
        <v>48774</v>
      </c>
      <c r="N24" s="1266">
        <f t="shared" si="10"/>
        <v>51467</v>
      </c>
      <c r="O24" s="1266">
        <f t="shared" si="10"/>
        <v>49274</v>
      </c>
      <c r="P24" s="1266">
        <f t="shared" si="10"/>
        <v>44211</v>
      </c>
      <c r="Q24" s="1266">
        <f t="shared" si="10"/>
        <v>33140</v>
      </c>
      <c r="R24" s="1266">
        <f t="shared" si="10"/>
        <v>33257</v>
      </c>
      <c r="S24" s="1266">
        <f t="shared" si="10"/>
        <v>31941</v>
      </c>
      <c r="T24" s="1266">
        <f t="shared" si="10"/>
        <v>30529</v>
      </c>
      <c r="U24" s="1266">
        <f t="shared" si="10"/>
        <v>30714</v>
      </c>
      <c r="V24" s="1266">
        <f t="shared" si="10"/>
        <v>31734</v>
      </c>
      <c r="W24" s="1266">
        <f t="shared" si="10"/>
        <v>32170</v>
      </c>
      <c r="X24" s="1266">
        <f t="shared" si="10"/>
        <v>30884</v>
      </c>
      <c r="Y24" s="1266">
        <f t="shared" si="10"/>
        <v>37522</v>
      </c>
      <c r="Z24" s="1266">
        <f t="shared" si="10"/>
        <v>36992</v>
      </c>
      <c r="AA24" s="1266">
        <f t="shared" si="10"/>
        <v>34419.6635786427</v>
      </c>
      <c r="AB24" s="1266">
        <f>SUM(AB26:AB34)</f>
        <v>36282.19</v>
      </c>
      <c r="AC24" s="1266">
        <f>SUM(AC26:AC34)</f>
        <v>62275.540000000008</v>
      </c>
      <c r="AD24" s="1266">
        <f>SUM(AD26:AD34)</f>
        <v>80843.847428521112</v>
      </c>
      <c r="AE24" s="1266">
        <f>SUM(AE26:AE34)</f>
        <v>82459.474345074486</v>
      </c>
      <c r="AF24" s="1266">
        <f>SUM(AF26:AF34)</f>
        <v>79050.318309167327</v>
      </c>
    </row>
    <row r="25" spans="2:32" ht="9.75" customHeight="1" x14ac:dyDescent="0.4">
      <c r="B25" s="1269"/>
      <c r="C25" s="1266"/>
      <c r="D25" s="1266"/>
      <c r="E25" s="1266"/>
      <c r="F25" s="1266"/>
      <c r="G25" s="1266"/>
      <c r="H25" s="1266"/>
      <c r="I25" s="1266"/>
      <c r="J25" s="1266"/>
      <c r="K25" s="1266"/>
      <c r="L25" s="1266"/>
      <c r="M25" s="1266"/>
      <c r="N25" s="1266"/>
      <c r="O25" s="1266"/>
      <c r="P25" s="1266"/>
      <c r="Q25" s="1266"/>
      <c r="R25" s="1266"/>
      <c r="S25" s="1266"/>
      <c r="T25" s="1266"/>
      <c r="U25" s="1266"/>
      <c r="V25" s="1266"/>
      <c r="W25" s="1266"/>
      <c r="X25" s="1266"/>
      <c r="Y25" s="1266"/>
      <c r="Z25" s="1266"/>
      <c r="AA25" s="1266"/>
      <c r="AB25" s="1266"/>
      <c r="AC25" s="1266"/>
      <c r="AD25" s="1266"/>
      <c r="AE25" s="1266"/>
      <c r="AF25" s="1266"/>
    </row>
    <row r="26" spans="2:32" ht="21.6" x14ac:dyDescent="0.4">
      <c r="B26" s="609" t="s">
        <v>257</v>
      </c>
      <c r="C26" s="1270">
        <v>0</v>
      </c>
      <c r="D26" s="1270">
        <v>0</v>
      </c>
      <c r="E26" s="1270">
        <v>0</v>
      </c>
      <c r="F26" s="1270">
        <v>0</v>
      </c>
      <c r="G26" s="1270">
        <v>0</v>
      </c>
      <c r="H26" s="1270">
        <v>0</v>
      </c>
      <c r="I26" s="1270">
        <v>0</v>
      </c>
      <c r="J26" s="1270">
        <v>0</v>
      </c>
      <c r="K26" s="1270">
        <v>0</v>
      </c>
      <c r="L26" s="1266">
        <v>21284</v>
      </c>
      <c r="M26" s="1266">
        <v>11636</v>
      </c>
      <c r="N26" s="1266">
        <v>14124</v>
      </c>
      <c r="O26" s="1266">
        <v>14646</v>
      </c>
      <c r="P26" s="1266">
        <v>14269</v>
      </c>
      <c r="Q26" s="1266">
        <v>13981</v>
      </c>
      <c r="R26" s="1266">
        <v>13037</v>
      </c>
      <c r="S26" s="1266">
        <v>11995</v>
      </c>
      <c r="T26" s="1266">
        <v>4541</v>
      </c>
      <c r="U26" s="1266">
        <v>4425</v>
      </c>
      <c r="V26" s="1266">
        <v>4121</v>
      </c>
      <c r="W26" s="1266">
        <v>3753</v>
      </c>
      <c r="X26" s="1266">
        <v>3035</v>
      </c>
      <c r="Y26" s="1266">
        <v>2877</v>
      </c>
      <c r="Z26" s="1266">
        <v>2076</v>
      </c>
      <c r="AA26" s="1266">
        <v>1844.6747305615399</v>
      </c>
      <c r="AB26" s="1266">
        <v>1139.31</v>
      </c>
      <c r="AC26" s="1266">
        <v>683.54</v>
      </c>
      <c r="AD26" s="1267">
        <v>640.32504701061919</v>
      </c>
      <c r="AE26" s="1267">
        <v>605.04559676259237</v>
      </c>
      <c r="AF26" s="1267">
        <v>751.01536872733664</v>
      </c>
    </row>
    <row r="27" spans="2:32" ht="9.75" customHeight="1" x14ac:dyDescent="0.4">
      <c r="B27" s="609"/>
      <c r="C27" s="1266"/>
      <c r="D27" s="1266"/>
      <c r="E27" s="1266"/>
      <c r="F27" s="1266"/>
      <c r="G27" s="1266"/>
      <c r="H27" s="1266"/>
      <c r="I27" s="1266"/>
      <c r="J27" s="1266"/>
      <c r="K27" s="1266"/>
      <c r="L27" s="1266"/>
      <c r="M27" s="1266"/>
      <c r="N27" s="1266"/>
      <c r="O27" s="1266"/>
      <c r="P27" s="1266"/>
      <c r="Q27" s="1266"/>
      <c r="R27" s="1266"/>
      <c r="S27" s="1266"/>
      <c r="T27" s="1266"/>
      <c r="U27" s="1266"/>
      <c r="V27" s="1266"/>
      <c r="W27" s="1266"/>
      <c r="X27" s="1266"/>
      <c r="Y27" s="1266"/>
      <c r="Z27" s="1266"/>
      <c r="AA27" s="1266"/>
      <c r="AB27" s="1266"/>
      <c r="AC27" s="1266"/>
      <c r="AD27" s="1267"/>
      <c r="AE27" s="1267"/>
      <c r="AF27" s="1267"/>
    </row>
    <row r="28" spans="2:32" ht="21.6" x14ac:dyDescent="0.4">
      <c r="B28" s="609" t="s">
        <v>265</v>
      </c>
      <c r="C28" s="1266">
        <v>7279</v>
      </c>
      <c r="D28" s="1266">
        <v>10944</v>
      </c>
      <c r="E28" s="1266">
        <v>11627</v>
      </c>
      <c r="F28" s="1266">
        <v>14862</v>
      </c>
      <c r="G28" s="1266">
        <v>16257</v>
      </c>
      <c r="H28" s="1266">
        <v>16795</v>
      </c>
      <c r="I28" s="1266">
        <v>19167</v>
      </c>
      <c r="J28" s="1266">
        <v>20311</v>
      </c>
      <c r="K28" s="1266">
        <v>21757</v>
      </c>
      <c r="L28" s="1266">
        <v>32357</v>
      </c>
      <c r="M28" s="1266">
        <v>31376</v>
      </c>
      <c r="N28" s="1266">
        <v>32115</v>
      </c>
      <c r="O28" s="1266">
        <v>30601</v>
      </c>
      <c r="P28" s="1266">
        <v>25260</v>
      </c>
      <c r="Q28" s="1266">
        <v>15155</v>
      </c>
      <c r="R28" s="1266">
        <v>15050</v>
      </c>
      <c r="S28" s="1266">
        <v>14769</v>
      </c>
      <c r="T28" s="1266">
        <v>16209</v>
      </c>
      <c r="U28" s="1266">
        <v>16958</v>
      </c>
      <c r="V28" s="1266">
        <v>17935</v>
      </c>
      <c r="W28" s="1266">
        <v>18335</v>
      </c>
      <c r="X28" s="1266">
        <v>19394</v>
      </c>
      <c r="Y28" s="1266">
        <v>19857</v>
      </c>
      <c r="Z28" s="1266">
        <v>19768</v>
      </c>
      <c r="AA28" s="1266">
        <v>20230.497711465719</v>
      </c>
      <c r="AB28" s="1266">
        <v>21326.95</v>
      </c>
      <c r="AC28" s="1266">
        <v>51037.440000000002</v>
      </c>
      <c r="AD28" s="1267">
        <v>68000.788456716706</v>
      </c>
      <c r="AE28" s="1267">
        <v>71268.153583730105</v>
      </c>
      <c r="AF28" s="1267">
        <v>68065.416412906619</v>
      </c>
    </row>
    <row r="29" spans="2:32" ht="9.75" customHeight="1" x14ac:dyDescent="0.4">
      <c r="B29" s="1263"/>
      <c r="C29" s="1268"/>
      <c r="D29" s="1268"/>
      <c r="E29" s="1268"/>
      <c r="F29" s="1268"/>
      <c r="G29" s="1268"/>
      <c r="H29" s="1268"/>
      <c r="I29" s="1268"/>
      <c r="J29" s="1268"/>
      <c r="K29" s="1268"/>
      <c r="L29" s="1268"/>
      <c r="M29" s="1268"/>
      <c r="N29" s="1268"/>
      <c r="O29" s="1268"/>
      <c r="P29" s="1268"/>
      <c r="Q29" s="1268"/>
      <c r="R29" s="1268"/>
      <c r="S29" s="1268"/>
      <c r="T29" s="1268"/>
      <c r="U29" s="1268"/>
      <c r="V29" s="1268"/>
      <c r="W29" s="1268"/>
      <c r="X29" s="1268"/>
      <c r="Y29" s="1268"/>
      <c r="Z29" s="1268"/>
      <c r="AA29" s="1268"/>
      <c r="AB29" s="1268"/>
      <c r="AC29" s="1268"/>
      <c r="AD29" s="1271"/>
      <c r="AE29" s="1271"/>
      <c r="AF29" s="1271"/>
    </row>
    <row r="30" spans="2:32" ht="21.6" x14ac:dyDescent="0.4">
      <c r="B30" s="609" t="s">
        <v>264</v>
      </c>
      <c r="C30" s="1266">
        <v>7380</v>
      </c>
      <c r="D30" s="1266">
        <v>9698</v>
      </c>
      <c r="E30" s="1266">
        <v>10870</v>
      </c>
      <c r="F30" s="1266">
        <v>11904</v>
      </c>
      <c r="G30" s="1266">
        <v>10063</v>
      </c>
      <c r="H30" s="1266">
        <v>8311</v>
      </c>
      <c r="I30" s="1266">
        <v>7634</v>
      </c>
      <c r="J30" s="1266">
        <v>6258</v>
      </c>
      <c r="K30" s="1266">
        <v>5017</v>
      </c>
      <c r="L30" s="1266">
        <v>5876</v>
      </c>
      <c r="M30" s="1266">
        <v>4935</v>
      </c>
      <c r="N30" s="1266">
        <v>4428</v>
      </c>
      <c r="O30" s="1266">
        <v>3389</v>
      </c>
      <c r="P30" s="1266">
        <v>2952</v>
      </c>
      <c r="Q30" s="1266">
        <v>1606</v>
      </c>
      <c r="R30" s="1266">
        <v>1907</v>
      </c>
      <c r="S30" s="1266">
        <v>1275</v>
      </c>
      <c r="T30" s="1266">
        <v>1749</v>
      </c>
      <c r="U30" s="1266">
        <v>1479</v>
      </c>
      <c r="V30" s="1266">
        <v>1410</v>
      </c>
      <c r="W30" s="1266">
        <v>849</v>
      </c>
      <c r="X30" s="1266">
        <v>767</v>
      </c>
      <c r="Y30" s="1266">
        <v>9026</v>
      </c>
      <c r="Z30" s="1266">
        <v>9183</v>
      </c>
      <c r="AA30" s="1266">
        <v>7844.7181501198802</v>
      </c>
      <c r="AB30" s="1266">
        <v>8280.3799999999992</v>
      </c>
      <c r="AC30" s="1266">
        <v>6912.17</v>
      </c>
      <c r="AD30" s="1267">
        <v>5398.0723095353451</v>
      </c>
      <c r="AE30" s="1267">
        <v>5487.7701997930471</v>
      </c>
      <c r="AF30" s="1267">
        <v>4709.8686097969457</v>
      </c>
    </row>
    <row r="31" spans="2:32" ht="9.75" customHeight="1" x14ac:dyDescent="0.4">
      <c r="B31" s="1263"/>
      <c r="C31" s="1268"/>
      <c r="D31" s="1268"/>
      <c r="E31" s="1268"/>
      <c r="F31" s="1268"/>
      <c r="G31" s="1268"/>
      <c r="H31" s="1268"/>
      <c r="I31" s="1268"/>
      <c r="J31" s="1268"/>
      <c r="K31" s="1268"/>
      <c r="L31" s="1268"/>
      <c r="M31" s="1268"/>
      <c r="N31" s="1268"/>
      <c r="O31" s="1268"/>
      <c r="P31" s="1268"/>
      <c r="Q31" s="1268"/>
      <c r="R31" s="1268"/>
      <c r="S31" s="1268"/>
      <c r="T31" s="1268"/>
      <c r="U31" s="1268"/>
      <c r="V31" s="1268"/>
      <c r="W31" s="1268"/>
      <c r="X31" s="1268"/>
      <c r="Y31" s="1268"/>
      <c r="Z31" s="1268"/>
      <c r="AA31" s="1268"/>
      <c r="AB31" s="1268"/>
      <c r="AC31" s="1268"/>
      <c r="AD31" s="1271"/>
      <c r="AE31" s="1271"/>
      <c r="AF31" s="1271"/>
    </row>
    <row r="32" spans="2:32" ht="21.6" x14ac:dyDescent="0.4">
      <c r="B32" s="1285" t="s">
        <v>266</v>
      </c>
      <c r="C32" s="1266">
        <v>21736</v>
      </c>
      <c r="D32" s="1266">
        <v>1564</v>
      </c>
      <c r="E32" s="1266">
        <v>1702</v>
      </c>
      <c r="F32" s="1266">
        <v>1908</v>
      </c>
      <c r="G32" s="1266">
        <v>2280</v>
      </c>
      <c r="H32" s="1266">
        <v>2366</v>
      </c>
      <c r="I32" s="1266">
        <v>3585</v>
      </c>
      <c r="J32" s="1266">
        <v>3655</v>
      </c>
      <c r="K32" s="1266">
        <v>2168</v>
      </c>
      <c r="L32" s="1266">
        <v>715</v>
      </c>
      <c r="M32" s="1266">
        <v>563</v>
      </c>
      <c r="N32" s="1266">
        <v>527</v>
      </c>
      <c r="O32" s="1266">
        <v>396</v>
      </c>
      <c r="P32" s="1266">
        <v>294</v>
      </c>
      <c r="Q32" s="1266">
        <v>859</v>
      </c>
      <c r="R32" s="1266">
        <v>1165</v>
      </c>
      <c r="S32" s="1266">
        <v>1453</v>
      </c>
      <c r="T32" s="1266">
        <v>5102</v>
      </c>
      <c r="U32" s="1266">
        <v>6055</v>
      </c>
      <c r="V32" s="1266">
        <v>6586</v>
      </c>
      <c r="W32" s="1266">
        <v>7273</v>
      </c>
      <c r="X32" s="1266">
        <v>4702</v>
      </c>
      <c r="Y32" s="1266">
        <v>4221</v>
      </c>
      <c r="Z32" s="1266">
        <v>3126</v>
      </c>
      <c r="AA32" s="1266">
        <v>1068.5918814818372</v>
      </c>
      <c r="AB32" s="1266">
        <v>2434.14</v>
      </c>
      <c r="AC32" s="1266">
        <v>1194.1600000000001</v>
      </c>
      <c r="AD32" s="1267">
        <v>2784.8971948301191</v>
      </c>
      <c r="AE32" s="1267">
        <v>2028.5695492960328</v>
      </c>
      <c r="AF32" s="1267">
        <v>2530.0020371214978</v>
      </c>
    </row>
    <row r="33" spans="2:32" ht="9.75" customHeight="1" x14ac:dyDescent="0.4">
      <c r="B33" s="1286"/>
      <c r="C33" s="1266"/>
      <c r="D33" s="1266"/>
      <c r="E33" s="1266"/>
      <c r="F33" s="1266"/>
      <c r="G33" s="1266"/>
      <c r="H33" s="1266"/>
      <c r="I33" s="1266"/>
      <c r="J33" s="1266"/>
      <c r="K33" s="1266"/>
      <c r="L33" s="1266"/>
      <c r="M33" s="1266"/>
      <c r="N33" s="1266"/>
      <c r="O33" s="1266"/>
      <c r="P33" s="1266"/>
      <c r="Q33" s="1266"/>
      <c r="R33" s="1266"/>
      <c r="S33" s="1266"/>
      <c r="T33" s="1266"/>
      <c r="U33" s="1266"/>
      <c r="V33" s="1266"/>
      <c r="W33" s="1266"/>
      <c r="X33" s="1266"/>
      <c r="Y33" s="1266"/>
      <c r="Z33" s="1266"/>
      <c r="AA33" s="1266"/>
      <c r="AB33" s="1266"/>
      <c r="AC33" s="1266"/>
      <c r="AD33" s="1267"/>
      <c r="AE33" s="1267"/>
      <c r="AF33" s="1267"/>
    </row>
    <row r="34" spans="2:32" ht="21.6" x14ac:dyDescent="0.4">
      <c r="B34" s="609" t="s">
        <v>872</v>
      </c>
      <c r="C34" s="1266">
        <v>439</v>
      </c>
      <c r="D34" s="1266">
        <v>505</v>
      </c>
      <c r="E34" s="1266">
        <v>512</v>
      </c>
      <c r="F34" s="1266">
        <v>989</v>
      </c>
      <c r="G34" s="1266">
        <v>1053</v>
      </c>
      <c r="H34" s="1266">
        <v>1445</v>
      </c>
      <c r="I34" s="1266">
        <v>1385</v>
      </c>
      <c r="J34" s="1266">
        <v>1587</v>
      </c>
      <c r="K34" s="1266">
        <v>1913</v>
      </c>
      <c r="L34" s="1266">
        <v>911</v>
      </c>
      <c r="M34" s="1266">
        <v>264</v>
      </c>
      <c r="N34" s="1266">
        <v>273</v>
      </c>
      <c r="O34" s="1266">
        <v>242</v>
      </c>
      <c r="P34" s="1266">
        <v>1436</v>
      </c>
      <c r="Q34" s="1266">
        <v>1539</v>
      </c>
      <c r="R34" s="1266">
        <v>2098</v>
      </c>
      <c r="S34" s="1266">
        <v>2449</v>
      </c>
      <c r="T34" s="1266">
        <v>2928</v>
      </c>
      <c r="U34" s="1266">
        <v>1797</v>
      </c>
      <c r="V34" s="1266">
        <v>1682</v>
      </c>
      <c r="W34" s="1266">
        <v>1960</v>
      </c>
      <c r="X34" s="1266">
        <v>2986</v>
      </c>
      <c r="Y34" s="1266">
        <v>1541</v>
      </c>
      <c r="Z34" s="1266">
        <v>2839</v>
      </c>
      <c r="AA34" s="1266">
        <v>3431.1811050137248</v>
      </c>
      <c r="AB34" s="1266">
        <v>3101.41</v>
      </c>
      <c r="AC34" s="1266">
        <v>2448.23</v>
      </c>
      <c r="AD34" s="1267">
        <v>4019.7644204283224</v>
      </c>
      <c r="AE34" s="1267">
        <v>3069.9354154927114</v>
      </c>
      <c r="AF34" s="1267">
        <v>2994.0158806149229</v>
      </c>
    </row>
    <row r="35" spans="2:32" ht="9.75" customHeight="1" x14ac:dyDescent="0.4">
      <c r="B35" s="609"/>
      <c r="C35" s="1266"/>
      <c r="D35" s="1266"/>
      <c r="E35" s="1266"/>
      <c r="F35" s="1266"/>
      <c r="G35" s="1266"/>
      <c r="H35" s="1266"/>
      <c r="I35" s="1266"/>
      <c r="J35" s="1266"/>
      <c r="K35" s="1266"/>
      <c r="L35" s="1266"/>
      <c r="M35" s="1266"/>
      <c r="N35" s="1266"/>
      <c r="O35" s="1266"/>
      <c r="P35" s="1266"/>
      <c r="Q35" s="1266"/>
      <c r="R35" s="1266"/>
      <c r="S35" s="1266"/>
      <c r="T35" s="1266"/>
      <c r="U35" s="1266"/>
      <c r="V35" s="1266"/>
      <c r="W35" s="1266"/>
      <c r="X35" s="1266"/>
      <c r="Y35" s="1266"/>
      <c r="Z35" s="1266"/>
      <c r="AA35" s="1266"/>
      <c r="AB35" s="1266"/>
      <c r="AC35" s="1266"/>
      <c r="AD35" s="1267"/>
      <c r="AE35" s="1267"/>
      <c r="AF35" s="1267"/>
    </row>
    <row r="36" spans="2:32" ht="21.6" x14ac:dyDescent="0.4">
      <c r="B36" s="1265" t="s">
        <v>235</v>
      </c>
      <c r="C36" s="1270">
        <v>0</v>
      </c>
      <c r="D36" s="1270">
        <v>0</v>
      </c>
      <c r="E36" s="1270">
        <v>0</v>
      </c>
      <c r="F36" s="1270">
        <v>0</v>
      </c>
      <c r="G36" s="1270">
        <v>0</v>
      </c>
      <c r="H36" s="1270">
        <v>0</v>
      </c>
      <c r="I36" s="1270">
        <v>0</v>
      </c>
      <c r="J36" s="1270">
        <v>0</v>
      </c>
      <c r="K36" s="1270">
        <v>0</v>
      </c>
      <c r="L36" s="1270">
        <v>0</v>
      </c>
      <c r="M36" s="1266">
        <v>1079</v>
      </c>
      <c r="N36" s="1266">
        <v>2526</v>
      </c>
      <c r="O36" s="1266">
        <v>4468</v>
      </c>
      <c r="P36" s="1266">
        <v>5263</v>
      </c>
      <c r="Q36" s="1266">
        <v>5986</v>
      </c>
      <c r="R36" s="1266">
        <v>6774</v>
      </c>
      <c r="S36" s="1266">
        <v>7700</v>
      </c>
      <c r="T36" s="1266">
        <v>9626</v>
      </c>
      <c r="U36" s="1266">
        <v>11615</v>
      </c>
      <c r="V36" s="1266">
        <v>15597</v>
      </c>
      <c r="W36" s="1266">
        <v>25972</v>
      </c>
      <c r="X36" s="1266">
        <v>28002</v>
      </c>
      <c r="Y36" s="1266">
        <v>29402</v>
      </c>
      <c r="Z36" s="1266">
        <v>25517</v>
      </c>
      <c r="AA36" s="1266">
        <v>24115.153121096289</v>
      </c>
      <c r="AB36" s="1266">
        <v>25153.14</v>
      </c>
      <c r="AC36" s="1266">
        <v>13296.82</v>
      </c>
      <c r="AD36" s="1267">
        <v>14237.081559395607</v>
      </c>
      <c r="AE36" s="1267">
        <v>14979.499673183196</v>
      </c>
      <c r="AF36" s="1267">
        <v>21148.898723007296</v>
      </c>
    </row>
    <row r="37" spans="2:32" ht="9.75" customHeight="1" x14ac:dyDescent="0.4">
      <c r="B37" s="1263"/>
      <c r="C37" s="1268"/>
      <c r="D37" s="1268"/>
      <c r="E37" s="1268"/>
      <c r="F37" s="1268"/>
      <c r="G37" s="1268"/>
      <c r="H37" s="1268"/>
      <c r="I37" s="1268"/>
      <c r="J37" s="1268"/>
      <c r="K37" s="1268"/>
      <c r="L37" s="1268"/>
      <c r="M37" s="1268"/>
      <c r="N37" s="1268"/>
      <c r="O37" s="1268"/>
      <c r="P37" s="1268"/>
      <c r="Q37" s="1268"/>
      <c r="R37" s="1268"/>
      <c r="S37" s="1268"/>
      <c r="T37" s="1268"/>
      <c r="U37" s="1268"/>
      <c r="V37" s="1268"/>
      <c r="W37" s="1268"/>
      <c r="X37" s="1268"/>
      <c r="Y37" s="1268"/>
      <c r="Z37" s="1268"/>
      <c r="AA37" s="1268"/>
      <c r="AB37" s="1268"/>
      <c r="AC37" s="1268"/>
      <c r="AD37" s="1268"/>
      <c r="AE37" s="1268"/>
      <c r="AF37" s="1268"/>
    </row>
    <row r="38" spans="2:32" ht="21.6" x14ac:dyDescent="0.4">
      <c r="B38" s="1261" t="s">
        <v>921</v>
      </c>
      <c r="C38" s="1272">
        <v>9232</v>
      </c>
      <c r="D38" s="1273">
        <v>0</v>
      </c>
      <c r="E38" s="1273">
        <v>0</v>
      </c>
      <c r="F38" s="1273">
        <v>0</v>
      </c>
      <c r="G38" s="1273">
        <v>0</v>
      </c>
      <c r="H38" s="1273">
        <v>0</v>
      </c>
      <c r="I38" s="1273">
        <v>0</v>
      </c>
      <c r="J38" s="1273">
        <v>0</v>
      </c>
      <c r="K38" s="1273">
        <v>0</v>
      </c>
      <c r="L38" s="1272">
        <v>28</v>
      </c>
      <c r="M38" s="1272">
        <v>11704.2516</v>
      </c>
      <c r="N38" s="1272">
        <v>28434.741300000002</v>
      </c>
      <c r="O38" s="1272">
        <v>46195.8292</v>
      </c>
      <c r="P38" s="1272">
        <v>5157.8648000000003</v>
      </c>
      <c r="Q38" s="1272">
        <v>6750.8945999999996</v>
      </c>
      <c r="R38" s="1272">
        <v>7271.2358999999997</v>
      </c>
      <c r="S38" s="1272">
        <v>8461.1905200000001</v>
      </c>
      <c r="T38" s="1272">
        <v>8678.4854999999989</v>
      </c>
      <c r="U38" s="1272">
        <v>9062.1741000000002</v>
      </c>
      <c r="V38" s="1272">
        <v>9265.5751199999995</v>
      </c>
      <c r="W38" s="1272">
        <v>9376.5017900000003</v>
      </c>
      <c r="X38" s="1272">
        <v>9440.1029199999994</v>
      </c>
      <c r="Y38" s="1272">
        <v>49</v>
      </c>
      <c r="Z38" s="1272">
        <v>44</v>
      </c>
      <c r="AA38" s="1272">
        <v>42.906828052374316</v>
      </c>
      <c r="AB38" s="1272">
        <v>107.43</v>
      </c>
      <c r="AC38" s="1272">
        <v>104.84</v>
      </c>
      <c r="AD38" s="1272">
        <v>103.9552346598757</v>
      </c>
      <c r="AE38" s="1272">
        <v>106.67697023194258</v>
      </c>
      <c r="AF38" s="1272">
        <v>104.56185965651558</v>
      </c>
    </row>
    <row r="39" spans="2:32" ht="18" customHeight="1" thickBot="1" x14ac:dyDescent="0.45">
      <c r="B39" s="1274"/>
      <c r="C39" s="1275"/>
      <c r="D39" s="1275"/>
      <c r="E39" s="1275"/>
      <c r="F39" s="1275"/>
      <c r="G39" s="1275"/>
      <c r="H39" s="1275"/>
      <c r="I39" s="1275"/>
      <c r="J39" s="1275"/>
      <c r="K39" s="1275"/>
      <c r="L39" s="1275"/>
      <c r="M39" s="1275"/>
      <c r="N39" s="1275"/>
      <c r="O39" s="1275"/>
      <c r="P39" s="1275"/>
      <c r="Q39" s="1275"/>
      <c r="R39" s="1275"/>
      <c r="S39" s="1275"/>
      <c r="T39" s="1275"/>
      <c r="U39" s="1275"/>
      <c r="V39" s="1275"/>
      <c r="W39" s="1275"/>
      <c r="X39" s="1275"/>
      <c r="Y39" s="1275"/>
      <c r="Z39" s="1275"/>
      <c r="AA39" s="1275"/>
      <c r="AB39" s="1275"/>
      <c r="AC39" s="1275"/>
      <c r="AD39" s="1275"/>
      <c r="AE39" s="1275"/>
      <c r="AF39" s="1275"/>
    </row>
    <row r="40" spans="2:32" ht="22.2" thickTop="1" x14ac:dyDescent="0.4">
      <c r="B40" s="1261" t="s">
        <v>922</v>
      </c>
      <c r="C40" s="1262">
        <v>0</v>
      </c>
      <c r="D40" s="1262">
        <v>0</v>
      </c>
      <c r="E40" s="1262">
        <v>0</v>
      </c>
      <c r="F40" s="1262">
        <v>0</v>
      </c>
      <c r="G40" s="1262">
        <v>0</v>
      </c>
      <c r="H40" s="1262">
        <v>0</v>
      </c>
      <c r="I40" s="1262">
        <v>0</v>
      </c>
      <c r="J40" s="1262">
        <v>0</v>
      </c>
      <c r="K40" s="1262">
        <v>0</v>
      </c>
      <c r="L40" s="1262">
        <v>0</v>
      </c>
      <c r="M40" s="1262">
        <f>+M42+M44+M46</f>
        <v>5</v>
      </c>
      <c r="N40" s="1262">
        <f t="shared" ref="N40:AE40" si="11">+N42+N44+N46</f>
        <v>41</v>
      </c>
      <c r="O40" s="1262">
        <f t="shared" si="11"/>
        <v>132</v>
      </c>
      <c r="P40" s="1262">
        <f t="shared" si="11"/>
        <v>24011</v>
      </c>
      <c r="Q40" s="1262">
        <f t="shared" si="11"/>
        <v>27012</v>
      </c>
      <c r="R40" s="1262">
        <f t="shared" si="11"/>
        <v>30360</v>
      </c>
      <c r="S40" s="1262">
        <f t="shared" si="11"/>
        <v>31036</v>
      </c>
      <c r="T40" s="1262">
        <f t="shared" si="11"/>
        <v>32531</v>
      </c>
      <c r="U40" s="1262">
        <f t="shared" si="11"/>
        <v>14558</v>
      </c>
      <c r="V40" s="1262">
        <f t="shared" si="11"/>
        <v>15168</v>
      </c>
      <c r="W40" s="1262">
        <f t="shared" si="11"/>
        <v>16189</v>
      </c>
      <c r="X40" s="1262">
        <f t="shared" si="11"/>
        <v>17305</v>
      </c>
      <c r="Y40" s="1262">
        <f t="shared" si="11"/>
        <v>17577</v>
      </c>
      <c r="Z40" s="1262">
        <f t="shared" si="11"/>
        <v>17962</v>
      </c>
      <c r="AA40" s="1262">
        <f t="shared" si="11"/>
        <v>8468.0772239075977</v>
      </c>
      <c r="AB40" s="1262">
        <f t="shared" si="11"/>
        <v>2876.51</v>
      </c>
      <c r="AC40" s="1262">
        <f t="shared" si="11"/>
        <v>2805.42</v>
      </c>
      <c r="AD40" s="1262">
        <f t="shared" si="11"/>
        <v>2435.2095195111228</v>
      </c>
      <c r="AE40" s="1262">
        <f t="shared" si="11"/>
        <v>2500.4626296102542</v>
      </c>
      <c r="AF40" s="1262">
        <f t="shared" ref="AF40" si="12">+AF42+AF44+AF46</f>
        <v>2439.3031698962623</v>
      </c>
    </row>
    <row r="41" spans="2:32" ht="9.75" customHeight="1" x14ac:dyDescent="0.4">
      <c r="B41" s="1276"/>
      <c r="C41" s="1277"/>
      <c r="D41" s="1277"/>
      <c r="E41" s="1277"/>
      <c r="F41" s="1277"/>
      <c r="G41" s="1277"/>
      <c r="H41" s="1277"/>
      <c r="I41" s="1277"/>
      <c r="J41" s="1277"/>
      <c r="K41" s="1277"/>
      <c r="L41" s="1277"/>
      <c r="M41" s="1277"/>
      <c r="N41" s="1277"/>
      <c r="O41" s="1277"/>
      <c r="P41" s="1278"/>
      <c r="Q41" s="1277"/>
      <c r="R41" s="1277"/>
      <c r="S41" s="1277"/>
      <c r="T41" s="1277"/>
      <c r="U41" s="1277"/>
      <c r="V41" s="1277"/>
      <c r="W41" s="1277"/>
      <c r="X41" s="1277"/>
      <c r="Y41" s="1277"/>
      <c r="Z41" s="1277"/>
      <c r="AA41" s="1277"/>
      <c r="AB41" s="1277"/>
      <c r="AC41" s="1277"/>
      <c r="AD41" s="1277"/>
      <c r="AE41" s="1277"/>
      <c r="AF41" s="1277"/>
    </row>
    <row r="42" spans="2:32" ht="21.6" x14ac:dyDescent="0.4">
      <c r="B42" s="609" t="s">
        <v>271</v>
      </c>
      <c r="C42" s="1277"/>
      <c r="D42" s="1277"/>
      <c r="E42" s="1277"/>
      <c r="F42" s="1277"/>
      <c r="G42" s="1277"/>
      <c r="H42" s="1277"/>
      <c r="I42" s="1277"/>
      <c r="J42" s="1277"/>
      <c r="K42" s="1277"/>
      <c r="L42" s="1277"/>
      <c r="M42" s="1266">
        <v>0</v>
      </c>
      <c r="N42" s="1266">
        <v>0</v>
      </c>
      <c r="O42" s="1266">
        <v>0</v>
      </c>
      <c r="P42" s="1266">
        <v>17966</v>
      </c>
      <c r="Q42" s="1266">
        <v>19119</v>
      </c>
      <c r="R42" s="1266">
        <v>20459</v>
      </c>
      <c r="S42" s="1266">
        <v>19956</v>
      </c>
      <c r="T42" s="1266">
        <v>20108</v>
      </c>
      <c r="U42" s="1266">
        <v>6809</v>
      </c>
      <c r="V42" s="1266">
        <v>6579</v>
      </c>
      <c r="W42" s="1266">
        <v>6608</v>
      </c>
      <c r="X42" s="1266">
        <v>6670</v>
      </c>
      <c r="Y42" s="1266">
        <v>6352</v>
      </c>
      <c r="Z42" s="1266">
        <v>6101</v>
      </c>
      <c r="AA42" s="1266">
        <v>3613.9821638567914</v>
      </c>
      <c r="AB42" s="1266">
        <v>1258.4000000000001</v>
      </c>
      <c r="AC42" s="1266">
        <v>1218.78</v>
      </c>
      <c r="AD42" s="1267">
        <v>1058.0797299730589</v>
      </c>
      <c r="AE42" s="1267">
        <v>1081.3860032978316</v>
      </c>
      <c r="AF42" s="1267">
        <v>1059.0210425543316</v>
      </c>
    </row>
    <row r="43" spans="2:32" ht="9.75" customHeight="1" x14ac:dyDescent="0.4">
      <c r="B43" s="1287"/>
      <c r="C43" s="1277"/>
      <c r="D43" s="1277"/>
      <c r="E43" s="1277"/>
      <c r="F43" s="1277"/>
      <c r="G43" s="1277"/>
      <c r="H43" s="1277"/>
      <c r="I43" s="1277"/>
      <c r="J43" s="1277"/>
      <c r="K43" s="1277"/>
      <c r="L43" s="1277"/>
      <c r="M43" s="1266"/>
      <c r="N43" s="1266"/>
      <c r="O43" s="1266"/>
      <c r="P43" s="1266"/>
      <c r="Q43" s="1266"/>
      <c r="R43" s="1266"/>
      <c r="S43" s="1266"/>
      <c r="T43" s="1266"/>
      <c r="U43" s="1266"/>
      <c r="V43" s="1266"/>
      <c r="W43" s="1266"/>
      <c r="X43" s="1266"/>
      <c r="Y43" s="1266"/>
      <c r="Z43" s="1266"/>
      <c r="AA43" s="1266"/>
      <c r="AB43" s="1266"/>
      <c r="AC43" s="1266"/>
      <c r="AD43" s="1267"/>
      <c r="AE43" s="1267"/>
      <c r="AF43" s="1267"/>
    </row>
    <row r="44" spans="2:32" ht="21.6" x14ac:dyDescent="0.4">
      <c r="B44" s="609" t="s">
        <v>873</v>
      </c>
      <c r="C44" s="1277"/>
      <c r="D44" s="1277"/>
      <c r="E44" s="1277"/>
      <c r="F44" s="1277"/>
      <c r="G44" s="1277"/>
      <c r="H44" s="1277"/>
      <c r="I44" s="1277"/>
      <c r="J44" s="1277"/>
      <c r="K44" s="1277"/>
      <c r="L44" s="1277"/>
      <c r="M44" s="1266">
        <v>0</v>
      </c>
      <c r="N44" s="1266">
        <v>0</v>
      </c>
      <c r="O44" s="1266">
        <v>0</v>
      </c>
      <c r="P44" s="1266">
        <v>5591</v>
      </c>
      <c r="Q44" s="1266">
        <v>6958</v>
      </c>
      <c r="R44" s="1266">
        <v>8398</v>
      </c>
      <c r="S44" s="1266">
        <v>9028</v>
      </c>
      <c r="T44" s="1266">
        <v>9700</v>
      </c>
      <c r="U44" s="1266">
        <v>4409</v>
      </c>
      <c r="V44" s="1266">
        <v>4599</v>
      </c>
      <c r="W44" s="1266">
        <v>4874</v>
      </c>
      <c r="X44" s="1266">
        <v>5168</v>
      </c>
      <c r="Y44" s="1266">
        <v>5280</v>
      </c>
      <c r="Z44" s="1266">
        <v>5420</v>
      </c>
      <c r="AA44" s="1266">
        <v>2510.288551352709</v>
      </c>
      <c r="AB44" s="1266">
        <v>1022.69</v>
      </c>
      <c r="AC44" s="1266">
        <v>1012.57</v>
      </c>
      <c r="AD44" s="1267">
        <v>863.85757424961264</v>
      </c>
      <c r="AE44" s="1267">
        <v>878.94120410266703</v>
      </c>
      <c r="AF44" s="1267">
        <v>865.68332294511117</v>
      </c>
    </row>
    <row r="45" spans="2:32" ht="9.75" customHeight="1" x14ac:dyDescent="0.4">
      <c r="B45" s="1287"/>
      <c r="C45" s="1277"/>
      <c r="D45" s="1277"/>
      <c r="E45" s="1277"/>
      <c r="F45" s="1277"/>
      <c r="G45" s="1277"/>
      <c r="H45" s="1277"/>
      <c r="I45" s="1277"/>
      <c r="J45" s="1277"/>
      <c r="K45" s="1277"/>
      <c r="L45" s="1277"/>
      <c r="M45" s="1266"/>
      <c r="N45" s="1266"/>
      <c r="O45" s="1266"/>
      <c r="P45" s="1266"/>
      <c r="Q45" s="1266"/>
      <c r="R45" s="1266"/>
      <c r="S45" s="1266"/>
      <c r="T45" s="1266"/>
      <c r="U45" s="1266"/>
      <c r="V45" s="1266"/>
      <c r="W45" s="1266"/>
      <c r="X45" s="1266"/>
      <c r="Y45" s="1266"/>
      <c r="Z45" s="1266"/>
      <c r="AA45" s="1266"/>
      <c r="AB45" s="1266"/>
      <c r="AC45" s="1266"/>
      <c r="AD45" s="1267"/>
      <c r="AE45" s="1267"/>
      <c r="AF45" s="1267"/>
    </row>
    <row r="46" spans="2:32" ht="21.6" x14ac:dyDescent="0.4">
      <c r="B46" s="609" t="s">
        <v>874</v>
      </c>
      <c r="C46" s="1277"/>
      <c r="D46" s="1277"/>
      <c r="E46" s="1277"/>
      <c r="F46" s="1277"/>
      <c r="G46" s="1277"/>
      <c r="H46" s="1277"/>
      <c r="I46" s="1277"/>
      <c r="J46" s="1277"/>
      <c r="K46" s="1277"/>
      <c r="L46" s="1277"/>
      <c r="M46" s="1266">
        <v>5</v>
      </c>
      <c r="N46" s="1266">
        <v>41</v>
      </c>
      <c r="O46" s="1266">
        <v>132</v>
      </c>
      <c r="P46" s="1266">
        <v>454</v>
      </c>
      <c r="Q46" s="1266">
        <v>935</v>
      </c>
      <c r="R46" s="1266">
        <v>1503</v>
      </c>
      <c r="S46" s="1266">
        <v>2052</v>
      </c>
      <c r="T46" s="1266">
        <v>2723</v>
      </c>
      <c r="U46" s="1266">
        <v>3340</v>
      </c>
      <c r="V46" s="1266">
        <v>3990</v>
      </c>
      <c r="W46" s="1266">
        <v>4707</v>
      </c>
      <c r="X46" s="1266">
        <v>5467</v>
      </c>
      <c r="Y46" s="1266">
        <v>5945</v>
      </c>
      <c r="Z46" s="1266">
        <v>6441</v>
      </c>
      <c r="AA46" s="1266">
        <v>2343.8065086980969</v>
      </c>
      <c r="AB46" s="1266">
        <v>595.41999999999996</v>
      </c>
      <c r="AC46" s="1266">
        <v>574.07000000000005</v>
      </c>
      <c r="AD46" s="1267">
        <v>513.27221528845132</v>
      </c>
      <c r="AE46" s="1267">
        <v>540.1354222097558</v>
      </c>
      <c r="AF46" s="1267">
        <v>514.59880439681933</v>
      </c>
    </row>
    <row r="47" spans="2:32" ht="9.75" customHeight="1" thickBot="1" x14ac:dyDescent="0.45">
      <c r="B47" s="35"/>
      <c r="C47" s="1275"/>
      <c r="D47" s="1275"/>
      <c r="E47" s="1275"/>
      <c r="F47" s="1275"/>
      <c r="G47" s="1275"/>
      <c r="H47" s="1275"/>
      <c r="I47" s="1275"/>
      <c r="J47" s="1275"/>
      <c r="K47" s="1275"/>
      <c r="L47" s="1275"/>
      <c r="M47" s="1275"/>
      <c r="N47" s="1275"/>
      <c r="O47" s="1275"/>
      <c r="P47" s="1275"/>
      <c r="Q47" s="1275"/>
      <c r="R47" s="1275"/>
      <c r="S47" s="1275"/>
      <c r="T47" s="1275"/>
      <c r="U47" s="1275"/>
      <c r="V47" s="1275"/>
      <c r="W47" s="1275"/>
      <c r="X47" s="1275"/>
      <c r="Y47" s="1275"/>
      <c r="Z47" s="1275"/>
      <c r="AA47" s="1275"/>
      <c r="AB47" s="1275"/>
      <c r="AC47" s="1275"/>
      <c r="AD47" s="1275"/>
      <c r="AE47" s="1275"/>
      <c r="AF47" s="1275"/>
    </row>
    <row r="48" spans="2:32" ht="15.6" thickTop="1" thickBot="1" x14ac:dyDescent="0.35">
      <c r="B48" s="149"/>
      <c r="C48" s="577"/>
      <c r="D48" s="577"/>
      <c r="E48" s="577"/>
      <c r="F48" s="577"/>
      <c r="G48" s="577"/>
      <c r="H48" s="577"/>
      <c r="I48" s="577"/>
      <c r="J48" s="577"/>
      <c r="K48" s="577"/>
      <c r="L48" s="577"/>
      <c r="M48" s="577"/>
      <c r="N48" s="577"/>
      <c r="O48" s="577"/>
      <c r="P48" s="9"/>
      <c r="Q48" s="9"/>
      <c r="R48" s="1242"/>
      <c r="S48" s="1242"/>
      <c r="T48" s="1242"/>
      <c r="U48" s="1242"/>
      <c r="V48" s="1242"/>
      <c r="W48" s="1242"/>
      <c r="X48" s="1242"/>
    </row>
    <row r="49" spans="2:32" ht="9.75" customHeight="1" thickTop="1" x14ac:dyDescent="0.4">
      <c r="B49" s="16"/>
      <c r="C49" s="1279"/>
      <c r="D49" s="1279"/>
      <c r="E49" s="1279"/>
      <c r="F49" s="1279"/>
      <c r="G49" s="1279"/>
      <c r="H49" s="1279"/>
      <c r="I49" s="1279"/>
      <c r="J49" s="1279"/>
      <c r="K49" s="1279"/>
      <c r="L49" s="1279"/>
      <c r="M49" s="1279"/>
      <c r="N49" s="1279"/>
      <c r="O49" s="1279"/>
      <c r="P49" s="1279"/>
      <c r="Q49" s="1279"/>
      <c r="R49" s="1279"/>
      <c r="S49" s="1279"/>
      <c r="T49" s="1279"/>
      <c r="U49" s="1279"/>
      <c r="V49" s="1279"/>
      <c r="W49" s="1279"/>
      <c r="X49" s="1279"/>
      <c r="Y49" s="1279"/>
      <c r="Z49" s="1279"/>
      <c r="AA49" s="1279"/>
      <c r="AB49" s="1279"/>
      <c r="AC49" s="1279"/>
      <c r="AD49" s="1279"/>
      <c r="AE49" s="1279"/>
      <c r="AF49" s="1279"/>
    </row>
    <row r="50" spans="2:32" ht="21.6" x14ac:dyDescent="0.4">
      <c r="B50" s="1261" t="s">
        <v>875</v>
      </c>
      <c r="C50" s="1280">
        <v>0</v>
      </c>
      <c r="D50" s="1280">
        <v>0</v>
      </c>
      <c r="E50" s="1280">
        <v>0</v>
      </c>
      <c r="F50" s="1280">
        <v>0</v>
      </c>
      <c r="G50" s="1280">
        <v>0</v>
      </c>
      <c r="H50" s="1280">
        <v>0</v>
      </c>
      <c r="I50" s="1280">
        <v>0</v>
      </c>
      <c r="J50" s="1280">
        <v>0</v>
      </c>
      <c r="K50" s="1280">
        <v>0</v>
      </c>
      <c r="L50" s="1280">
        <v>0</v>
      </c>
      <c r="M50" s="1280">
        <v>0</v>
      </c>
      <c r="N50" s="1280">
        <v>0</v>
      </c>
      <c r="O50" s="1280">
        <v>0</v>
      </c>
      <c r="P50" s="1280">
        <v>28784.425908667123</v>
      </c>
      <c r="Q50" s="1280">
        <v>29052.852289651546</v>
      </c>
      <c r="R50" s="1280">
        <v>28175.633335788727</v>
      </c>
      <c r="S50" s="1280">
        <v>19871.955707853253</v>
      </c>
      <c r="T50" s="1280">
        <v>18112.885342126716</v>
      </c>
      <c r="U50" s="1280">
        <v>22730.046015211505</v>
      </c>
      <c r="V50" s="1280">
        <v>19725.328368584986</v>
      </c>
      <c r="W50" s="1280">
        <v>15942.38523076158</v>
      </c>
      <c r="X50" s="1280">
        <v>15761.737947904438</v>
      </c>
      <c r="Y50" s="1280">
        <v>14430.352181927505</v>
      </c>
      <c r="Z50" s="1280">
        <v>13324.15054701199</v>
      </c>
      <c r="AA50" s="1280">
        <v>13001.693956529345</v>
      </c>
      <c r="AB50" s="1280">
        <v>13772.18</v>
      </c>
      <c r="AC50" s="1280">
        <v>13192.94</v>
      </c>
      <c r="AD50" s="1280">
        <v>12962.731781384884</v>
      </c>
      <c r="AE50" s="1280">
        <v>13514.386148443591</v>
      </c>
      <c r="AF50" s="1280">
        <v>12982.34306719955</v>
      </c>
    </row>
    <row r="51" spans="2:32" ht="9.75" customHeight="1" thickBot="1" x14ac:dyDescent="0.45">
      <c r="B51" s="35"/>
      <c r="C51" s="1275"/>
      <c r="D51" s="1275"/>
      <c r="E51" s="1275"/>
      <c r="F51" s="1275"/>
      <c r="G51" s="1275"/>
      <c r="H51" s="1275"/>
      <c r="I51" s="1275"/>
      <c r="J51" s="1275"/>
      <c r="K51" s="1275"/>
      <c r="L51" s="1275"/>
      <c r="M51" s="1275"/>
      <c r="N51" s="1275"/>
      <c r="O51" s="1275"/>
      <c r="P51" s="1275"/>
      <c r="Q51" s="1275"/>
      <c r="R51" s="1275"/>
      <c r="S51" s="1275"/>
      <c r="T51" s="1275"/>
      <c r="U51" s="1275"/>
      <c r="V51" s="1275"/>
      <c r="W51" s="1275"/>
      <c r="X51" s="1275"/>
      <c r="Y51" s="1275"/>
      <c r="Z51" s="1275"/>
      <c r="AA51" s="1275"/>
      <c r="AB51" s="1275"/>
      <c r="AC51" s="1275"/>
      <c r="AD51" s="1275"/>
      <c r="AE51" s="1275"/>
      <c r="AF51" s="1275"/>
    </row>
    <row r="52" spans="2:32" ht="17.25" customHeight="1" thickTop="1" x14ac:dyDescent="0.4">
      <c r="B52" s="149"/>
      <c r="C52" s="1282"/>
      <c r="D52" s="1282"/>
      <c r="E52" s="1282"/>
      <c r="F52" s="1282"/>
      <c r="G52" s="1282"/>
      <c r="H52" s="1282"/>
      <c r="I52" s="1282"/>
      <c r="J52" s="1282"/>
      <c r="K52" s="1282"/>
      <c r="L52" s="1282"/>
      <c r="M52" s="1282"/>
      <c r="N52" s="1282"/>
      <c r="O52" s="1282"/>
      <c r="P52" s="1282"/>
      <c r="Q52" s="1282"/>
      <c r="R52" s="1282"/>
      <c r="S52" s="1282"/>
      <c r="T52" s="1282"/>
      <c r="U52" s="1282"/>
      <c r="V52" s="1282"/>
      <c r="W52" s="1282"/>
      <c r="X52" s="1282"/>
      <c r="Y52" s="1282"/>
      <c r="Z52" s="1282"/>
      <c r="AA52" s="1282"/>
      <c r="AB52" s="1282"/>
      <c r="AC52" s="1282"/>
      <c r="AD52" s="1282"/>
      <c r="AE52" s="1282"/>
      <c r="AF52" s="1282"/>
    </row>
    <row r="53" spans="2:32" ht="15" x14ac:dyDescent="0.3">
      <c r="B53" s="1283" t="s">
        <v>876</v>
      </c>
      <c r="C53" s="9"/>
      <c r="D53" s="9"/>
      <c r="E53" s="9"/>
      <c r="F53" s="9"/>
      <c r="G53" s="9"/>
      <c r="H53" s="9"/>
      <c r="I53" s="9"/>
      <c r="J53" s="9"/>
      <c r="K53" s="9"/>
      <c r="L53" s="9"/>
      <c r="M53" s="10"/>
      <c r="N53" s="9"/>
      <c r="O53" s="9"/>
      <c r="P53" s="9"/>
      <c r="Q53" s="9"/>
      <c r="R53" s="1242"/>
      <c r="S53" s="1242"/>
      <c r="T53" s="1242"/>
      <c r="U53" s="1242"/>
      <c r="V53" s="1242"/>
      <c r="W53" s="1242"/>
      <c r="X53" s="1242"/>
    </row>
    <row r="54" spans="2:32" ht="15" x14ac:dyDescent="0.3">
      <c r="B54" s="1283" t="s">
        <v>877</v>
      </c>
    </row>
    <row r="55" spans="2:32" ht="15" x14ac:dyDescent="0.3">
      <c r="B55" s="1284" t="s">
        <v>878</v>
      </c>
    </row>
    <row r="56" spans="2:32" x14ac:dyDescent="0.3">
      <c r="Q56" s="1281"/>
    </row>
    <row r="59" spans="2:32" x14ac:dyDescent="0.3">
      <c r="C59" s="1281"/>
      <c r="D59" s="1281"/>
      <c r="E59" s="1281"/>
      <c r="F59" s="1281"/>
      <c r="G59" s="1281"/>
      <c r="H59" s="1281"/>
      <c r="I59" s="1281"/>
      <c r="J59" s="1281"/>
      <c r="K59" s="1281"/>
      <c r="L59" s="1281"/>
      <c r="M59" s="1281"/>
      <c r="N59" s="1281"/>
      <c r="O59" s="1281"/>
      <c r="P59" s="1281"/>
      <c r="Q59" s="1281"/>
      <c r="R59" s="1281"/>
      <c r="S59" s="1281"/>
      <c r="T59" s="1281"/>
      <c r="U59" s="1281"/>
      <c r="V59" s="1281"/>
      <c r="W59" s="1281"/>
      <c r="X59" s="1281"/>
      <c r="Y59" s="1281"/>
      <c r="Z59" s="1281"/>
      <c r="AA59" s="1281"/>
      <c r="AB59" s="1281"/>
      <c r="AC59" s="1281"/>
      <c r="AD59" s="1281"/>
      <c r="AE59" s="1281"/>
      <c r="AF59" s="1281"/>
    </row>
    <row r="96" spans="38:38" x14ac:dyDescent="0.3">
      <c r="AL96" s="82"/>
    </row>
  </sheetData>
  <mergeCells count="5">
    <mergeCell ref="B6:AA6"/>
    <mergeCell ref="B7:AA7"/>
    <mergeCell ref="B8:AA8"/>
    <mergeCell ref="B11:B12"/>
    <mergeCell ref="C11:AF11"/>
  </mergeCells>
  <hyperlinks>
    <hyperlink ref="A1" location="INDICE!A1" display="Indice"/>
  </hyperlinks>
  <printOptions horizontalCentered="1"/>
  <pageMargins left="0.17" right="0.17" top="0.19685039370078741" bottom="0.19685039370078741" header="0.15748031496062992" footer="0"/>
  <pageSetup paperSize="9" scale="29" orientation="landscape" horizontalDpi="4294967294" verticalDpi="4294967294" r:id="rId1"/>
  <headerFooter differentFirst="1"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Z86"/>
  <sheetViews>
    <sheetView showGridLines="0" showRuler="0" zoomScale="85" zoomScaleNormal="85" zoomScaleSheetLayoutView="76" workbookViewId="0"/>
  </sheetViews>
  <sheetFormatPr baseColWidth="10" defaultColWidth="11.44140625" defaultRowHeight="16.2" x14ac:dyDescent="0.3"/>
  <cols>
    <col min="1" max="1" width="6.77734375" style="9" customWidth="1"/>
    <col min="2" max="2" width="39" style="387" customWidth="1"/>
    <col min="3" max="15" width="21.21875" style="387" customWidth="1"/>
    <col min="16" max="16" width="19.44140625" style="700" bestFit="1" customWidth="1"/>
    <col min="17" max="22" width="16.5546875" style="387" customWidth="1"/>
    <col min="23" max="16384" width="11.44140625" style="387"/>
  </cols>
  <sheetData>
    <row r="1" spans="1:26" x14ac:dyDescent="0.3">
      <c r="A1" s="1" t="s">
        <v>216</v>
      </c>
      <c r="B1" s="286"/>
    </row>
    <row r="2" spans="1:26" s="38" customFormat="1" ht="15" customHeight="1" x14ac:dyDescent="0.3">
      <c r="A2" s="133"/>
      <c r="B2" s="4" t="s">
        <v>693</v>
      </c>
      <c r="C2" s="701"/>
      <c r="D2" s="701"/>
      <c r="E2" s="701"/>
      <c r="F2" s="701"/>
      <c r="G2" s="701"/>
      <c r="H2" s="701"/>
      <c r="I2" s="701"/>
      <c r="J2" s="701"/>
      <c r="K2" s="701"/>
      <c r="L2" s="701"/>
      <c r="M2" s="701"/>
      <c r="N2" s="701"/>
      <c r="O2" s="701"/>
      <c r="P2" s="700"/>
      <c r="Q2" s="701"/>
      <c r="R2" s="701"/>
      <c r="S2" s="701"/>
      <c r="T2" s="701"/>
      <c r="U2" s="701"/>
      <c r="V2" s="701"/>
    </row>
    <row r="3" spans="1:26" s="38" customFormat="1" ht="15" customHeight="1" x14ac:dyDescent="0.3">
      <c r="A3" s="133"/>
      <c r="B3" s="4" t="s">
        <v>299</v>
      </c>
      <c r="C3" s="701"/>
      <c r="D3" s="701"/>
      <c r="E3" s="701"/>
      <c r="F3" s="701"/>
      <c r="G3" s="701"/>
      <c r="H3" s="701"/>
      <c r="I3" s="701"/>
      <c r="J3" s="701"/>
      <c r="K3" s="701"/>
      <c r="L3" s="701"/>
      <c r="M3" s="701"/>
      <c r="N3" s="701"/>
      <c r="O3" s="701"/>
      <c r="P3" s="700"/>
      <c r="Q3" s="701"/>
      <c r="R3" s="701"/>
      <c r="S3" s="701"/>
      <c r="T3" s="701"/>
      <c r="U3" s="701"/>
      <c r="V3" s="701"/>
    </row>
    <row r="4" spans="1:26" s="135" customFormat="1" x14ac:dyDescent="0.3">
      <c r="B4" s="315"/>
      <c r="C4" s="701"/>
      <c r="D4" s="701"/>
      <c r="E4" s="701"/>
      <c r="F4" s="701"/>
      <c r="G4" s="701"/>
      <c r="H4" s="701"/>
      <c r="I4" s="701"/>
      <c r="J4" s="701"/>
      <c r="K4" s="701"/>
      <c r="L4" s="701"/>
      <c r="M4" s="701"/>
      <c r="N4" s="701"/>
      <c r="O4" s="701"/>
      <c r="P4" s="700"/>
      <c r="Q4" s="701"/>
      <c r="R4" s="701"/>
      <c r="S4" s="701"/>
      <c r="T4" s="701"/>
      <c r="U4" s="701"/>
      <c r="V4" s="701"/>
    </row>
    <row r="5" spans="1:26" s="135" customFormat="1" x14ac:dyDescent="0.3">
      <c r="B5" s="315"/>
      <c r="C5" s="701"/>
      <c r="D5" s="701"/>
      <c r="E5" s="701"/>
      <c r="F5" s="701"/>
      <c r="G5" s="701"/>
      <c r="H5" s="701"/>
      <c r="I5" s="701"/>
      <c r="J5" s="701"/>
      <c r="K5" s="701"/>
      <c r="L5" s="701"/>
      <c r="M5" s="701"/>
      <c r="N5" s="701"/>
      <c r="O5" s="701"/>
      <c r="P5" s="700"/>
      <c r="Q5" s="701"/>
      <c r="R5" s="701"/>
      <c r="S5" s="701"/>
      <c r="T5" s="701"/>
      <c r="U5" s="701"/>
      <c r="V5" s="701"/>
    </row>
    <row r="6" spans="1:26" s="702" customFormat="1" ht="18" x14ac:dyDescent="0.3">
      <c r="B6" s="1421" t="s">
        <v>650</v>
      </c>
      <c r="C6" s="1421"/>
      <c r="D6" s="1421"/>
      <c r="E6" s="1421"/>
      <c r="F6" s="1421"/>
      <c r="G6" s="1421"/>
      <c r="H6" s="1421"/>
      <c r="I6" s="1421"/>
      <c r="J6" s="1421"/>
      <c r="K6" s="1421"/>
      <c r="L6" s="1421"/>
      <c r="M6" s="1421"/>
      <c r="N6" s="1421"/>
      <c r="O6" s="1421"/>
      <c r="P6" s="700"/>
      <c r="Q6" s="701"/>
      <c r="R6" s="701"/>
      <c r="S6" s="701"/>
      <c r="T6" s="701"/>
      <c r="U6" s="701"/>
      <c r="V6" s="701"/>
    </row>
    <row r="7" spans="1:26" s="703" customFormat="1" ht="18" x14ac:dyDescent="0.3">
      <c r="B7" s="1422" t="s">
        <v>907</v>
      </c>
      <c r="C7" s="1422"/>
      <c r="D7" s="1422"/>
      <c r="E7" s="1422"/>
      <c r="F7" s="1422"/>
      <c r="G7" s="1422"/>
      <c r="H7" s="1422"/>
      <c r="I7" s="1422"/>
      <c r="J7" s="1422"/>
      <c r="K7" s="1422"/>
      <c r="L7" s="1422"/>
      <c r="M7" s="1422"/>
      <c r="N7" s="1422"/>
      <c r="O7" s="1422"/>
      <c r="P7" s="700"/>
      <c r="Q7" s="701"/>
      <c r="R7" s="701"/>
      <c r="S7" s="701"/>
      <c r="T7" s="701"/>
      <c r="U7" s="701"/>
      <c r="V7" s="701"/>
    </row>
    <row r="8" spans="1:26" x14ac:dyDescent="0.3">
      <c r="B8" s="1423" t="s">
        <v>334</v>
      </c>
      <c r="C8" s="1423"/>
      <c r="D8" s="1423"/>
      <c r="E8" s="1423"/>
      <c r="F8" s="1423"/>
      <c r="G8" s="1423"/>
      <c r="H8" s="1423"/>
      <c r="I8" s="1423"/>
      <c r="J8" s="1423"/>
      <c r="K8" s="1423"/>
      <c r="L8" s="1423"/>
      <c r="M8" s="1423"/>
      <c r="N8" s="1423"/>
      <c r="O8" s="1423"/>
      <c r="Q8" s="701"/>
      <c r="R8" s="701"/>
      <c r="S8" s="701"/>
      <c r="T8" s="701"/>
      <c r="U8" s="701"/>
      <c r="V8" s="701"/>
    </row>
    <row r="9" spans="1:26" s="287" customFormat="1" ht="9" customHeight="1" x14ac:dyDescent="0.3">
      <c r="A9" s="135"/>
      <c r="B9" s="704"/>
      <c r="C9" s="701"/>
      <c r="D9" s="701"/>
      <c r="E9" s="701"/>
      <c r="F9" s="701"/>
      <c r="G9" s="701"/>
      <c r="H9" s="701"/>
      <c r="I9" s="701"/>
      <c r="J9" s="701"/>
      <c r="K9" s="701"/>
      <c r="L9" s="701"/>
      <c r="M9" s="701"/>
      <c r="N9" s="701"/>
      <c r="O9" s="701"/>
      <c r="P9" s="700"/>
      <c r="Q9" s="701"/>
      <c r="R9" s="701"/>
      <c r="S9" s="701"/>
      <c r="T9" s="701"/>
      <c r="U9" s="701"/>
      <c r="V9" s="701"/>
    </row>
    <row r="10" spans="1:26" ht="16.8" thickBot="1" x14ac:dyDescent="0.35">
      <c r="A10" s="288"/>
      <c r="B10" s="705" t="s">
        <v>906</v>
      </c>
      <c r="C10" s="701"/>
      <c r="D10" s="701"/>
      <c r="E10" s="701"/>
      <c r="F10" s="701"/>
      <c r="G10" s="701"/>
      <c r="H10" s="701"/>
      <c r="I10" s="701"/>
      <c r="J10" s="701"/>
      <c r="K10" s="701"/>
      <c r="L10" s="701"/>
      <c r="M10" s="701"/>
      <c r="N10" s="701"/>
      <c r="O10" s="701"/>
      <c r="Q10" s="701"/>
      <c r="R10" s="701"/>
      <c r="S10" s="701"/>
      <c r="T10" s="701"/>
      <c r="U10" s="701"/>
      <c r="V10" s="701"/>
    </row>
    <row r="11" spans="1:26" s="133" customFormat="1" ht="17.399999999999999" thickTop="1" thickBot="1" x14ac:dyDescent="0.35">
      <c r="B11" s="1424"/>
      <c r="C11" s="1426">
        <v>2022</v>
      </c>
      <c r="D11" s="1427"/>
      <c r="E11" s="1427"/>
      <c r="F11" s="1427"/>
      <c r="G11" s="1427"/>
      <c r="H11" s="1427"/>
      <c r="I11" s="1427"/>
      <c r="J11" s="1427"/>
      <c r="K11" s="1427"/>
      <c r="L11" s="1427"/>
      <c r="M11" s="1427"/>
      <c r="N11" s="1428"/>
      <c r="O11" s="1419" t="s">
        <v>287</v>
      </c>
      <c r="P11" s="700"/>
      <c r="Q11" s="701"/>
      <c r="R11" s="701"/>
      <c r="S11" s="701"/>
      <c r="T11" s="701"/>
      <c r="U11" s="701"/>
      <c r="V11" s="701"/>
    </row>
    <row r="12" spans="1:26" s="133" customFormat="1" ht="17.399999999999999" thickTop="1" thickBot="1" x14ac:dyDescent="0.35">
      <c r="B12" s="1425"/>
      <c r="C12" s="706" t="s">
        <v>555</v>
      </c>
      <c r="D12" s="706" t="s">
        <v>154</v>
      </c>
      <c r="E12" s="706" t="s">
        <v>132</v>
      </c>
      <c r="F12" s="706" t="s">
        <v>151</v>
      </c>
      <c r="G12" s="706" t="s">
        <v>155</v>
      </c>
      <c r="H12" s="706" t="s">
        <v>296</v>
      </c>
      <c r="I12" s="706" t="s">
        <v>473</v>
      </c>
      <c r="J12" s="706" t="s">
        <v>474</v>
      </c>
      <c r="K12" s="706" t="s">
        <v>475</v>
      </c>
      <c r="L12" s="706" t="s">
        <v>152</v>
      </c>
      <c r="M12" s="706" t="s">
        <v>153</v>
      </c>
      <c r="N12" s="706" t="s">
        <v>133</v>
      </c>
      <c r="O12" s="1420"/>
      <c r="P12" s="700"/>
      <c r="Q12" s="701"/>
      <c r="R12" s="701"/>
      <c r="S12" s="701"/>
      <c r="T12" s="701"/>
      <c r="U12" s="701"/>
      <c r="V12" s="701"/>
    </row>
    <row r="13" spans="1:26" ht="10.5" customHeight="1" thickTop="1" x14ac:dyDescent="0.3">
      <c r="B13" s="707"/>
      <c r="C13" s="708"/>
      <c r="D13" s="708"/>
      <c r="E13" s="708"/>
      <c r="F13" s="708"/>
      <c r="G13" s="708"/>
      <c r="H13" s="708"/>
      <c r="I13" s="708"/>
      <c r="J13" s="708"/>
      <c r="K13" s="708"/>
      <c r="L13" s="708"/>
      <c r="M13" s="708"/>
      <c r="N13" s="708"/>
      <c r="O13" s="709"/>
      <c r="Q13" s="701"/>
      <c r="R13" s="701"/>
      <c r="S13" s="701"/>
      <c r="T13" s="701"/>
      <c r="U13" s="701"/>
      <c r="V13" s="701"/>
    </row>
    <row r="14" spans="1:26" x14ac:dyDescent="0.3">
      <c r="A14" s="288"/>
      <c r="B14" s="710" t="s">
        <v>233</v>
      </c>
      <c r="C14" s="711">
        <f t="shared" ref="C14:H14" si="0">+C15+C16</f>
        <v>833577.28732310911</v>
      </c>
      <c r="D14" s="711">
        <f t="shared" si="0"/>
        <v>116944.43702913434</v>
      </c>
      <c r="E14" s="711">
        <f t="shared" ref="E14:G14" si="1">+E15+E16</f>
        <v>5090056.1331595834</v>
      </c>
      <c r="F14" s="711">
        <f t="shared" si="1"/>
        <v>8595798.442324236</v>
      </c>
      <c r="G14" s="711">
        <f t="shared" si="1"/>
        <v>4134470.3819967238</v>
      </c>
      <c r="H14" s="711">
        <f t="shared" si="0"/>
        <v>2340439.8850373551</v>
      </c>
      <c r="I14" s="711">
        <f t="shared" ref="I14:N14" si="2">+I15+I16</f>
        <v>754141.36991414754</v>
      </c>
      <c r="J14" s="711">
        <f t="shared" si="2"/>
        <v>116340.77661237643</v>
      </c>
      <c r="K14" s="711">
        <f t="shared" si="2"/>
        <v>6631299.76107659</v>
      </c>
      <c r="L14" s="711">
        <f t="shared" si="2"/>
        <v>219767.90686195088</v>
      </c>
      <c r="M14" s="711">
        <f t="shared" si="2"/>
        <v>2835843.5448378166</v>
      </c>
      <c r="N14" s="711">
        <f t="shared" si="2"/>
        <v>256697.394048324</v>
      </c>
      <c r="O14" s="712">
        <f t="shared" ref="O14" si="3">+O15+O16</f>
        <v>31925377.320221346</v>
      </c>
      <c r="Q14" s="713"/>
      <c r="R14" s="713"/>
      <c r="S14" s="713"/>
      <c r="T14" s="713"/>
      <c r="U14" s="713"/>
      <c r="V14" s="713"/>
      <c r="W14" s="713"/>
      <c r="X14" s="713"/>
      <c r="Y14" s="713"/>
      <c r="Z14" s="713"/>
    </row>
    <row r="15" spans="1:26" x14ac:dyDescent="0.3">
      <c r="A15" s="288"/>
      <c r="B15" s="714" t="s">
        <v>271</v>
      </c>
      <c r="C15" s="711">
        <v>47679.391587157872</v>
      </c>
      <c r="D15" s="711">
        <v>11216.184712912249</v>
      </c>
      <c r="E15" s="711">
        <v>4882425.7408198239</v>
      </c>
      <c r="F15" s="711">
        <v>8354309.3236419633</v>
      </c>
      <c r="G15" s="711">
        <v>3611398.7766485326</v>
      </c>
      <c r="H15" s="711">
        <v>2091938.2279999196</v>
      </c>
      <c r="I15" s="711">
        <v>33386.580719627578</v>
      </c>
      <c r="J15" s="711">
        <v>11199.659431744367</v>
      </c>
      <c r="K15" s="711">
        <v>6452338.1064140778</v>
      </c>
      <c r="L15" s="711">
        <v>54937.644727705439</v>
      </c>
      <c r="M15" s="711">
        <v>2706994.0341897719</v>
      </c>
      <c r="N15" s="711">
        <v>8401.6924969511783</v>
      </c>
      <c r="O15" s="712">
        <f>+SUM(C15:N15)</f>
        <v>28266225.363390185</v>
      </c>
      <c r="Q15" s="713"/>
      <c r="R15" s="713"/>
      <c r="S15" s="713"/>
      <c r="T15" s="713"/>
      <c r="U15" s="713"/>
      <c r="V15" s="713"/>
      <c r="W15" s="713"/>
      <c r="X15" s="713"/>
      <c r="Y15" s="713"/>
      <c r="Z15" s="713"/>
    </row>
    <row r="16" spans="1:26" x14ac:dyDescent="0.3">
      <c r="A16" s="288"/>
      <c r="B16" s="714" t="s">
        <v>301</v>
      </c>
      <c r="C16" s="711">
        <v>785897.89573595126</v>
      </c>
      <c r="D16" s="711">
        <v>105728.25231622209</v>
      </c>
      <c r="E16" s="711">
        <v>207630.39233975956</v>
      </c>
      <c r="F16" s="711">
        <v>241489.11868227247</v>
      </c>
      <c r="G16" s="711">
        <v>523071.6053481914</v>
      </c>
      <c r="H16" s="711">
        <v>248501.65703743565</v>
      </c>
      <c r="I16" s="711">
        <v>720754.78919451998</v>
      </c>
      <c r="J16" s="711">
        <v>105141.11718063206</v>
      </c>
      <c r="K16" s="711">
        <v>178961.65466251198</v>
      </c>
      <c r="L16" s="711">
        <v>164830.26213424542</v>
      </c>
      <c r="M16" s="711">
        <v>128849.5106480449</v>
      </c>
      <c r="N16" s="711">
        <v>248295.70155137283</v>
      </c>
      <c r="O16" s="712">
        <f>+SUM(C16:N16)</f>
        <v>3659151.9568311595</v>
      </c>
      <c r="Q16" s="713"/>
      <c r="R16" s="713"/>
      <c r="S16" s="713"/>
      <c r="T16" s="713"/>
      <c r="U16" s="713"/>
      <c r="V16" s="713"/>
      <c r="W16" s="713"/>
      <c r="X16" s="713"/>
      <c r="Y16" s="713"/>
      <c r="Z16" s="713"/>
    </row>
    <row r="17" spans="1:26" ht="10.5" customHeight="1" x14ac:dyDescent="0.3">
      <c r="A17" s="288"/>
      <c r="B17" s="715"/>
      <c r="C17" s="716"/>
      <c r="D17" s="716"/>
      <c r="E17" s="716"/>
      <c r="F17" s="716"/>
      <c r="G17" s="716"/>
      <c r="H17" s="716"/>
      <c r="I17" s="716"/>
      <c r="J17" s="716"/>
      <c r="K17" s="716"/>
      <c r="L17" s="716"/>
      <c r="M17" s="716"/>
      <c r="N17" s="716"/>
      <c r="O17" s="717"/>
      <c r="Q17" s="713"/>
      <c r="R17" s="713"/>
      <c r="S17" s="713"/>
      <c r="T17" s="713"/>
      <c r="U17" s="713"/>
      <c r="V17" s="713"/>
      <c r="W17" s="713"/>
      <c r="X17" s="713"/>
      <c r="Y17" s="713"/>
      <c r="Z17" s="713"/>
    </row>
    <row r="18" spans="1:26" ht="10.5" customHeight="1" x14ac:dyDescent="0.3">
      <c r="A18" s="387"/>
      <c r="B18" s="1288"/>
      <c r="C18" s="718"/>
      <c r="D18" s="718"/>
      <c r="E18" s="718"/>
      <c r="F18" s="718"/>
      <c r="G18" s="718"/>
      <c r="H18" s="718"/>
      <c r="I18" s="718"/>
      <c r="J18" s="718"/>
      <c r="K18" s="718"/>
      <c r="L18" s="718"/>
      <c r="M18" s="718"/>
      <c r="N18" s="718"/>
      <c r="O18" s="1289"/>
      <c r="Q18" s="713"/>
      <c r="R18" s="713"/>
      <c r="S18" s="713"/>
      <c r="T18" s="713"/>
      <c r="U18" s="713"/>
      <c r="V18" s="713"/>
      <c r="W18" s="713"/>
      <c r="X18" s="713"/>
      <c r="Y18" s="713"/>
      <c r="Z18" s="713"/>
    </row>
    <row r="19" spans="1:26" x14ac:dyDescent="0.3">
      <c r="A19" s="387"/>
      <c r="B19" s="710" t="s">
        <v>234</v>
      </c>
      <c r="C19" s="711">
        <f t="shared" ref="C19" si="4">+C20+C21</f>
        <v>5145329.0019074744</v>
      </c>
      <c r="D19" s="711">
        <f t="shared" ref="D19:G19" si="5">+D20+D21</f>
        <v>3956744.6476637125</v>
      </c>
      <c r="E19" s="711">
        <f t="shared" si="5"/>
        <v>3907782.6562443823</v>
      </c>
      <c r="F19" s="711">
        <f t="shared" si="5"/>
        <v>2658875.0611427468</v>
      </c>
      <c r="G19" s="711">
        <f t="shared" si="5"/>
        <v>2290399.0244728047</v>
      </c>
      <c r="H19" s="711">
        <f t="shared" ref="H19:N19" si="6">+H20+H21</f>
        <v>2578693.7907694438</v>
      </c>
      <c r="I19" s="711">
        <f t="shared" si="6"/>
        <v>1761872.9214665585</v>
      </c>
      <c r="J19" s="711">
        <f t="shared" si="6"/>
        <v>804173.26837751106</v>
      </c>
      <c r="K19" s="711">
        <f t="shared" si="6"/>
        <v>124646.08217000001</v>
      </c>
      <c r="L19" s="711">
        <f t="shared" si="6"/>
        <v>57594.19</v>
      </c>
      <c r="M19" s="711">
        <f t="shared" si="6"/>
        <v>0</v>
      </c>
      <c r="N19" s="711">
        <f t="shared" si="6"/>
        <v>345913.77500000002</v>
      </c>
      <c r="O19" s="712">
        <f t="shared" ref="O19" si="7">+O20+O21</f>
        <v>23632024.419214632</v>
      </c>
      <c r="Q19" s="713"/>
      <c r="R19" s="713"/>
      <c r="S19" s="713"/>
      <c r="T19" s="713"/>
      <c r="U19" s="713"/>
      <c r="V19" s="713"/>
      <c r="W19" s="713"/>
      <c r="X19" s="713"/>
      <c r="Y19" s="713"/>
      <c r="Z19" s="713"/>
    </row>
    <row r="20" spans="1:26" x14ac:dyDescent="0.3">
      <c r="A20" s="387"/>
      <c r="B20" s="714" t="s">
        <v>271</v>
      </c>
      <c r="C20" s="711">
        <v>5100709.6100708805</v>
      </c>
      <c r="D20" s="711">
        <v>3956744.6476637125</v>
      </c>
      <c r="E20" s="711">
        <v>3907782.6562443823</v>
      </c>
      <c r="F20" s="711">
        <v>2634172.0640214817</v>
      </c>
      <c r="G20" s="711">
        <v>2290399.0244728047</v>
      </c>
      <c r="H20" s="711">
        <v>2578693.7907694438</v>
      </c>
      <c r="I20" s="711">
        <v>1761872.9214665585</v>
      </c>
      <c r="J20" s="711">
        <v>804173.26837751106</v>
      </c>
      <c r="K20" s="711">
        <v>124646.08217000001</v>
      </c>
      <c r="L20" s="711">
        <v>57594.19</v>
      </c>
      <c r="M20" s="711">
        <v>0</v>
      </c>
      <c r="N20" s="711">
        <v>345913.77500000002</v>
      </c>
      <c r="O20" s="712">
        <f t="shared" ref="O20:O21" si="8">+SUM(C20:N20)</f>
        <v>23562702.030256774</v>
      </c>
      <c r="Q20" s="713"/>
      <c r="R20" s="713"/>
      <c r="S20" s="713"/>
      <c r="T20" s="713"/>
      <c r="U20" s="713"/>
      <c r="V20" s="713"/>
      <c r="W20" s="713"/>
      <c r="X20" s="713"/>
      <c r="Y20" s="713"/>
      <c r="Z20" s="713"/>
    </row>
    <row r="21" spans="1:26" x14ac:dyDescent="0.3">
      <c r="A21" s="387"/>
      <c r="B21" s="714" t="s">
        <v>301</v>
      </c>
      <c r="C21" s="711">
        <v>44619.39183659367</v>
      </c>
      <c r="D21" s="711">
        <v>0</v>
      </c>
      <c r="E21" s="711">
        <v>0</v>
      </c>
      <c r="F21" s="711">
        <v>24702.997121265205</v>
      </c>
      <c r="G21" s="711">
        <v>0</v>
      </c>
      <c r="H21" s="711">
        <v>0</v>
      </c>
      <c r="I21" s="711">
        <v>0</v>
      </c>
      <c r="J21" s="711">
        <v>0</v>
      </c>
      <c r="K21" s="711">
        <v>0</v>
      </c>
      <c r="L21" s="711">
        <v>0</v>
      </c>
      <c r="M21" s="711">
        <v>0</v>
      </c>
      <c r="N21" s="711">
        <v>0</v>
      </c>
      <c r="O21" s="712">
        <f t="shared" si="8"/>
        <v>69322.388957858871</v>
      </c>
      <c r="Q21" s="713"/>
      <c r="R21" s="713"/>
      <c r="S21" s="713"/>
      <c r="T21" s="713"/>
      <c r="U21" s="713"/>
      <c r="V21" s="713"/>
      <c r="W21" s="713"/>
      <c r="X21" s="713"/>
      <c r="Y21" s="713"/>
      <c r="Z21" s="713"/>
    </row>
    <row r="22" spans="1:26" ht="10.5" customHeight="1" x14ac:dyDescent="0.3">
      <c r="A22" s="387"/>
      <c r="B22" s="715"/>
      <c r="C22" s="716"/>
      <c r="D22" s="716"/>
      <c r="E22" s="716"/>
      <c r="F22" s="716"/>
      <c r="G22" s="716"/>
      <c r="H22" s="716"/>
      <c r="I22" s="716"/>
      <c r="J22" s="716"/>
      <c r="K22" s="716"/>
      <c r="L22" s="716"/>
      <c r="M22" s="716"/>
      <c r="N22" s="716"/>
      <c r="O22" s="717"/>
      <c r="Q22" s="713"/>
      <c r="R22" s="713"/>
      <c r="S22" s="713"/>
      <c r="T22" s="713"/>
      <c r="U22" s="713"/>
      <c r="V22" s="713"/>
      <c r="W22" s="713"/>
      <c r="X22" s="713"/>
      <c r="Y22" s="713"/>
      <c r="Z22" s="713"/>
    </row>
    <row r="23" spans="1:26" ht="10.5" customHeight="1" x14ac:dyDescent="0.3">
      <c r="A23" s="387"/>
      <c r="B23" s="710"/>
      <c r="C23" s="711"/>
      <c r="D23" s="711"/>
      <c r="E23" s="711"/>
      <c r="F23" s="711"/>
      <c r="G23" s="711"/>
      <c r="H23" s="711"/>
      <c r="I23" s="711"/>
      <c r="J23" s="711"/>
      <c r="K23" s="711"/>
      <c r="L23" s="711"/>
      <c r="M23" s="711"/>
      <c r="N23" s="711"/>
      <c r="O23" s="712"/>
      <c r="Q23" s="713"/>
      <c r="R23" s="713"/>
      <c r="S23" s="713"/>
      <c r="T23" s="713"/>
      <c r="U23" s="713"/>
      <c r="V23" s="713"/>
      <c r="W23" s="713"/>
      <c r="X23" s="713"/>
      <c r="Y23" s="713"/>
      <c r="Z23" s="713"/>
    </row>
    <row r="24" spans="1:26" x14ac:dyDescent="0.3">
      <c r="A24" s="387"/>
      <c r="B24" s="710" t="s">
        <v>158</v>
      </c>
      <c r="C24" s="711">
        <f t="shared" ref="C24" si="9">+C25+C26</f>
        <v>855069.85637563327</v>
      </c>
      <c r="D24" s="711">
        <f t="shared" ref="D24:G24" si="10">+D25+D26</f>
        <v>530620.06697596028</v>
      </c>
      <c r="E24" s="711">
        <f t="shared" si="10"/>
        <v>3146810.9769258182</v>
      </c>
      <c r="F24" s="711">
        <f t="shared" si="10"/>
        <v>859876.55345174251</v>
      </c>
      <c r="G24" s="711">
        <f t="shared" si="10"/>
        <v>524691.66232171876</v>
      </c>
      <c r="H24" s="711">
        <f t="shared" ref="H24:N24" si="11">+H25+H26</f>
        <v>3008574.8563510538</v>
      </c>
      <c r="I24" s="711">
        <f t="shared" si="11"/>
        <v>2206737.670650789</v>
      </c>
      <c r="J24" s="711">
        <f t="shared" si="11"/>
        <v>459733.70973005582</v>
      </c>
      <c r="K24" s="711">
        <f t="shared" si="11"/>
        <v>3147279.7922058185</v>
      </c>
      <c r="L24" s="711">
        <f t="shared" si="11"/>
        <v>2916078.4031682857</v>
      </c>
      <c r="M24" s="711">
        <f t="shared" si="11"/>
        <v>445882.56633223372</v>
      </c>
      <c r="N24" s="711">
        <f t="shared" si="11"/>
        <v>2986593.4158957787</v>
      </c>
      <c r="O24" s="712">
        <f t="shared" ref="O24" si="12">+O25+O26</f>
        <v>21087949.530384887</v>
      </c>
      <c r="Q24" s="713"/>
      <c r="R24" s="713"/>
      <c r="S24" s="713"/>
      <c r="T24" s="713"/>
      <c r="U24" s="713"/>
      <c r="V24" s="713"/>
      <c r="W24" s="713"/>
      <c r="X24" s="713"/>
      <c r="Y24" s="713"/>
      <c r="Z24" s="713"/>
    </row>
    <row r="25" spans="1:26" x14ac:dyDescent="0.3">
      <c r="A25" s="387"/>
      <c r="B25" s="714" t="s">
        <v>271</v>
      </c>
      <c r="C25" s="711">
        <v>826586.14920563332</v>
      </c>
      <c r="D25" s="711">
        <v>142398.56903199997</v>
      </c>
      <c r="E25" s="711">
        <v>3063219.4982858184</v>
      </c>
      <c r="F25" s="711">
        <v>821068.29931822256</v>
      </c>
      <c r="G25" s="711">
        <v>142806.38923</v>
      </c>
      <c r="H25" s="711">
        <v>2977492.4365739943</v>
      </c>
      <c r="I25" s="711">
        <v>2178282.3231307892</v>
      </c>
      <c r="J25" s="711">
        <v>141091.94933099998</v>
      </c>
      <c r="K25" s="711">
        <v>3062392.9072358184</v>
      </c>
      <c r="L25" s="711">
        <v>2875799.4820179567</v>
      </c>
      <c r="M25" s="711">
        <v>145612.53671799999</v>
      </c>
      <c r="N25" s="711">
        <v>2956838.4754516017</v>
      </c>
      <c r="O25" s="712">
        <f t="shared" ref="O25:O26" si="13">+SUM(C25:N25)</f>
        <v>19333589.015530832</v>
      </c>
      <c r="Q25" s="713"/>
      <c r="R25" s="713"/>
      <c r="S25" s="713"/>
      <c r="T25" s="713"/>
      <c r="U25" s="713"/>
      <c r="V25" s="713"/>
      <c r="W25" s="713"/>
      <c r="X25" s="713"/>
      <c r="Y25" s="713"/>
      <c r="Z25" s="713"/>
    </row>
    <row r="26" spans="1:26" x14ac:dyDescent="0.3">
      <c r="A26" s="387"/>
      <c r="B26" s="714" t="s">
        <v>301</v>
      </c>
      <c r="C26" s="711">
        <v>28483.707169999998</v>
      </c>
      <c r="D26" s="711">
        <v>388221.49794396025</v>
      </c>
      <c r="E26" s="711">
        <v>83591.47864000003</v>
      </c>
      <c r="F26" s="711">
        <v>38808.254133519942</v>
      </c>
      <c r="G26" s="711">
        <v>381885.27309171879</v>
      </c>
      <c r="H26" s="711">
        <v>31082.41977705924</v>
      </c>
      <c r="I26" s="711">
        <v>28455.347519999996</v>
      </c>
      <c r="J26" s="711">
        <v>318641.76039905584</v>
      </c>
      <c r="K26" s="711">
        <v>84886.884969999999</v>
      </c>
      <c r="L26" s="711">
        <v>40278.921150328897</v>
      </c>
      <c r="M26" s="711">
        <v>300270.0296142337</v>
      </c>
      <c r="N26" s="711">
        <v>29754.940444177228</v>
      </c>
      <c r="O26" s="712">
        <f t="shared" si="13"/>
        <v>1754360.5148540537</v>
      </c>
      <c r="Q26" s="713"/>
      <c r="R26" s="713"/>
      <c r="S26" s="713"/>
      <c r="T26" s="713"/>
      <c r="U26" s="713"/>
      <c r="V26" s="713"/>
      <c r="W26" s="713"/>
      <c r="X26" s="713"/>
      <c r="Y26" s="713"/>
      <c r="Z26" s="713"/>
    </row>
    <row r="27" spans="1:26" ht="10.5" customHeight="1" x14ac:dyDescent="0.3">
      <c r="A27" s="387"/>
      <c r="B27" s="715"/>
      <c r="C27" s="716"/>
      <c r="D27" s="716"/>
      <c r="E27" s="716"/>
      <c r="F27" s="716"/>
      <c r="G27" s="716"/>
      <c r="H27" s="716"/>
      <c r="I27" s="716"/>
      <c r="J27" s="716"/>
      <c r="K27" s="716"/>
      <c r="L27" s="716"/>
      <c r="M27" s="716"/>
      <c r="N27" s="716"/>
      <c r="O27" s="717"/>
      <c r="Q27" s="713"/>
      <c r="R27" s="713"/>
      <c r="S27" s="713"/>
      <c r="T27" s="713"/>
      <c r="U27" s="713"/>
      <c r="V27" s="713"/>
      <c r="W27" s="713"/>
      <c r="X27" s="713"/>
      <c r="Y27" s="713"/>
      <c r="Z27" s="713"/>
    </row>
    <row r="28" spans="1:26" ht="10.5" customHeight="1" x14ac:dyDescent="0.3">
      <c r="A28" s="387"/>
      <c r="B28" s="710"/>
      <c r="C28" s="711"/>
      <c r="D28" s="711"/>
      <c r="E28" s="711"/>
      <c r="F28" s="711"/>
      <c r="G28" s="711"/>
      <c r="H28" s="711"/>
      <c r="I28" s="711"/>
      <c r="J28" s="711"/>
      <c r="K28" s="711"/>
      <c r="L28" s="711"/>
      <c r="M28" s="711"/>
      <c r="N28" s="711"/>
      <c r="O28" s="712"/>
      <c r="Q28" s="713"/>
      <c r="R28" s="713"/>
      <c r="S28" s="713"/>
      <c r="T28" s="713"/>
      <c r="U28" s="713"/>
      <c r="V28" s="713"/>
      <c r="W28" s="713"/>
      <c r="X28" s="713"/>
      <c r="Y28" s="713"/>
      <c r="Z28" s="713"/>
    </row>
    <row r="29" spans="1:26" x14ac:dyDescent="0.3">
      <c r="A29" s="387"/>
      <c r="B29" s="710" t="s">
        <v>160</v>
      </c>
      <c r="C29" s="711">
        <f t="shared" ref="C29" si="14">+C30+C31</f>
        <v>198054.70611000003</v>
      </c>
      <c r="D29" s="711">
        <f t="shared" ref="D29:G29" si="15">+D30+D31</f>
        <v>189968.73427289139</v>
      </c>
      <c r="E29" s="711">
        <f t="shared" si="15"/>
        <v>207.72419551473024</v>
      </c>
      <c r="F29" s="711">
        <f t="shared" si="15"/>
        <v>6106.2279470613321</v>
      </c>
      <c r="G29" s="711">
        <f t="shared" si="15"/>
        <v>1858715.8756758156</v>
      </c>
      <c r="H29" s="711">
        <f t="shared" ref="H29:N29" si="16">+H30+H31</f>
        <v>22965.071489631693</v>
      </c>
      <c r="I29" s="711">
        <f t="shared" si="16"/>
        <v>196633.43109</v>
      </c>
      <c r="J29" s="711">
        <f t="shared" si="16"/>
        <v>294.65828525567719</v>
      </c>
      <c r="K29" s="711">
        <f t="shared" si="16"/>
        <v>253.99059154584575</v>
      </c>
      <c r="L29" s="711">
        <f t="shared" si="16"/>
        <v>6241.5508466965166</v>
      </c>
      <c r="M29" s="711">
        <f t="shared" si="16"/>
        <v>7724.4594279925377</v>
      </c>
      <c r="N29" s="711">
        <f t="shared" si="16"/>
        <v>22161.530891228827</v>
      </c>
      <c r="O29" s="712">
        <f t="shared" ref="O29" si="17">+O30+O31</f>
        <v>2509327.9608236342</v>
      </c>
      <c r="Q29" s="713"/>
      <c r="R29" s="713"/>
      <c r="S29" s="713"/>
      <c r="T29" s="713"/>
      <c r="U29" s="713"/>
      <c r="V29" s="713"/>
      <c r="W29" s="713"/>
      <c r="X29" s="713"/>
      <c r="Y29" s="713"/>
      <c r="Z29" s="713"/>
    </row>
    <row r="30" spans="1:26" x14ac:dyDescent="0.3">
      <c r="A30" s="387"/>
      <c r="B30" s="714" t="s">
        <v>271</v>
      </c>
      <c r="C30" s="711">
        <v>170027.45221000002</v>
      </c>
      <c r="D30" s="711">
        <v>189871.84674227386</v>
      </c>
      <c r="E30" s="711">
        <v>121.29997</v>
      </c>
      <c r="F30" s="711">
        <v>4510.1276435694017</v>
      </c>
      <c r="G30" s="711">
        <v>1531678.2639325035</v>
      </c>
      <c r="H30" s="711">
        <v>420.75657000000001</v>
      </c>
      <c r="I30" s="711">
        <v>170027.4529</v>
      </c>
      <c r="J30" s="711">
        <v>185.79546098132116</v>
      </c>
      <c r="K30" s="711">
        <v>121.29997</v>
      </c>
      <c r="L30" s="711">
        <v>4510.1276435694017</v>
      </c>
      <c r="M30" s="711">
        <v>7300.4243908898152</v>
      </c>
      <c r="N30" s="711">
        <v>1109.5980215971351</v>
      </c>
      <c r="O30" s="712">
        <f t="shared" ref="O30:O31" si="18">+SUM(C30:N30)</f>
        <v>2079884.4454553842</v>
      </c>
      <c r="Q30" s="713"/>
      <c r="R30" s="713"/>
      <c r="S30" s="713"/>
      <c r="T30" s="713"/>
      <c r="U30" s="713"/>
      <c r="V30" s="713"/>
      <c r="W30" s="713"/>
      <c r="X30" s="713"/>
      <c r="Y30" s="713"/>
      <c r="Z30" s="713"/>
    </row>
    <row r="31" spans="1:26" x14ac:dyDescent="0.3">
      <c r="A31" s="387"/>
      <c r="B31" s="714" t="s">
        <v>301</v>
      </c>
      <c r="C31" s="711">
        <v>28027.2539</v>
      </c>
      <c r="D31" s="711">
        <v>96.887530617546162</v>
      </c>
      <c r="E31" s="711">
        <v>86.424225514730225</v>
      </c>
      <c r="F31" s="711">
        <v>1596.1003034919302</v>
      </c>
      <c r="G31" s="711">
        <v>327037.61174331221</v>
      </c>
      <c r="H31" s="711">
        <v>22544.314919631692</v>
      </c>
      <c r="I31" s="711">
        <v>26605.978190000002</v>
      </c>
      <c r="J31" s="711">
        <v>108.86282427435603</v>
      </c>
      <c r="K31" s="711">
        <v>132.69062154584574</v>
      </c>
      <c r="L31" s="711">
        <v>1731.4232031271154</v>
      </c>
      <c r="M31" s="711">
        <v>424.03503710272264</v>
      </c>
      <c r="N31" s="711">
        <v>21051.932869631692</v>
      </c>
      <c r="O31" s="712">
        <f t="shared" si="18"/>
        <v>429443.51536824979</v>
      </c>
      <c r="Q31" s="713"/>
      <c r="R31" s="713"/>
      <c r="S31" s="713"/>
      <c r="T31" s="713"/>
      <c r="U31" s="713"/>
      <c r="V31" s="713"/>
      <c r="W31" s="713"/>
      <c r="X31" s="713"/>
      <c r="Y31" s="713"/>
      <c r="Z31" s="713"/>
    </row>
    <row r="32" spans="1:26" ht="10.5" customHeight="1" x14ac:dyDescent="0.3">
      <c r="A32" s="387"/>
      <c r="B32" s="715"/>
      <c r="C32" s="716"/>
      <c r="D32" s="716"/>
      <c r="E32" s="716"/>
      <c r="F32" s="716"/>
      <c r="G32" s="716"/>
      <c r="H32" s="716"/>
      <c r="I32" s="716"/>
      <c r="J32" s="716"/>
      <c r="K32" s="716"/>
      <c r="L32" s="716"/>
      <c r="M32" s="716"/>
      <c r="N32" s="716"/>
      <c r="O32" s="717"/>
      <c r="Q32" s="713"/>
      <c r="R32" s="713"/>
      <c r="S32" s="713"/>
      <c r="T32" s="713"/>
      <c r="U32" s="713"/>
      <c r="V32" s="713"/>
      <c r="W32" s="713"/>
      <c r="X32" s="713"/>
      <c r="Y32" s="713"/>
      <c r="Z32" s="713"/>
    </row>
    <row r="33" spans="1:26" ht="10.5" customHeight="1" x14ac:dyDescent="0.3">
      <c r="A33" s="387"/>
      <c r="B33" s="710"/>
      <c r="C33" s="711"/>
      <c r="D33" s="711"/>
      <c r="E33" s="711"/>
      <c r="F33" s="711"/>
      <c r="G33" s="711"/>
      <c r="H33" s="711"/>
      <c r="I33" s="711"/>
      <c r="J33" s="711"/>
      <c r="K33" s="711"/>
      <c r="L33" s="711"/>
      <c r="M33" s="711"/>
      <c r="N33" s="711"/>
      <c r="O33" s="712"/>
      <c r="Q33" s="713"/>
      <c r="R33" s="713"/>
      <c r="S33" s="713"/>
      <c r="T33" s="713"/>
      <c r="U33" s="713"/>
      <c r="V33" s="713"/>
      <c r="W33" s="713"/>
      <c r="X33" s="713"/>
      <c r="Y33" s="713"/>
      <c r="Z33" s="713"/>
    </row>
    <row r="34" spans="1:26" x14ac:dyDescent="0.3">
      <c r="A34" s="387"/>
      <c r="B34" s="710" t="s">
        <v>579</v>
      </c>
      <c r="C34" s="711">
        <f t="shared" ref="C34" si="19">+C35+C36</f>
        <v>3206.5200760575822</v>
      </c>
      <c r="D34" s="711">
        <f t="shared" ref="D34:G34" si="20">+D35+D36</f>
        <v>3206.5200760575822</v>
      </c>
      <c r="E34" s="711">
        <f t="shared" si="20"/>
        <v>2974.6257405873857</v>
      </c>
      <c r="F34" s="711">
        <f t="shared" si="20"/>
        <v>3206.5200760575822</v>
      </c>
      <c r="G34" s="711">
        <f t="shared" si="20"/>
        <v>3129.2219667413556</v>
      </c>
      <c r="H34" s="711">
        <f t="shared" ref="H34:N34" si="21">+H35+H36</f>
        <v>3206.5200760575822</v>
      </c>
      <c r="I34" s="711">
        <f t="shared" si="21"/>
        <v>3129.2219667413556</v>
      </c>
      <c r="J34" s="711">
        <f t="shared" si="21"/>
        <v>3206.5200760575822</v>
      </c>
      <c r="K34" s="711">
        <f t="shared" si="21"/>
        <v>3206.5200760575822</v>
      </c>
      <c r="L34" s="711">
        <f t="shared" si="21"/>
        <v>3129.2219667413556</v>
      </c>
      <c r="M34" s="711">
        <f t="shared" si="21"/>
        <v>3206.5200760575822</v>
      </c>
      <c r="N34" s="711">
        <f t="shared" si="21"/>
        <v>3129.2219667413556</v>
      </c>
      <c r="O34" s="712">
        <f t="shared" ref="O34" si="22">+O35+O36</f>
        <v>37937.154139955877</v>
      </c>
      <c r="Q34" s="713"/>
      <c r="R34" s="713"/>
      <c r="S34" s="713"/>
      <c r="T34" s="713"/>
      <c r="U34" s="713"/>
      <c r="V34" s="713"/>
      <c r="W34" s="713"/>
      <c r="X34" s="713"/>
      <c r="Y34" s="713"/>
      <c r="Z34" s="713"/>
    </row>
    <row r="35" spans="1:26" x14ac:dyDescent="0.3">
      <c r="A35" s="387"/>
      <c r="B35" s="714" t="s">
        <v>271</v>
      </c>
      <c r="C35" s="711">
        <v>0</v>
      </c>
      <c r="D35" s="711">
        <v>0</v>
      </c>
      <c r="E35" s="711">
        <v>0</v>
      </c>
      <c r="F35" s="711">
        <v>0</v>
      </c>
      <c r="G35" s="711">
        <v>0</v>
      </c>
      <c r="H35" s="711">
        <v>0</v>
      </c>
      <c r="I35" s="711">
        <v>0</v>
      </c>
      <c r="J35" s="711">
        <v>0</v>
      </c>
      <c r="K35" s="711">
        <v>0</v>
      </c>
      <c r="L35" s="711">
        <v>0</v>
      </c>
      <c r="M35" s="711">
        <v>0</v>
      </c>
      <c r="N35" s="711">
        <v>0</v>
      </c>
      <c r="O35" s="712">
        <f t="shared" ref="O35:O36" si="23">+SUM(C35:N35)</f>
        <v>0</v>
      </c>
      <c r="Q35" s="713"/>
      <c r="R35" s="713"/>
      <c r="S35" s="713"/>
      <c r="T35" s="713"/>
      <c r="U35" s="713"/>
      <c r="V35" s="713"/>
      <c r="W35" s="713"/>
      <c r="X35" s="713"/>
      <c r="Y35" s="713"/>
      <c r="Z35" s="713"/>
    </row>
    <row r="36" spans="1:26" x14ac:dyDescent="0.3">
      <c r="A36" s="387"/>
      <c r="B36" s="714" t="s">
        <v>301</v>
      </c>
      <c r="C36" s="711">
        <v>3206.5200760575822</v>
      </c>
      <c r="D36" s="711">
        <v>3206.5200760575822</v>
      </c>
      <c r="E36" s="711">
        <v>2974.6257405873857</v>
      </c>
      <c r="F36" s="711">
        <v>3206.5200760575822</v>
      </c>
      <c r="G36" s="711">
        <v>3129.2219667413556</v>
      </c>
      <c r="H36" s="711">
        <v>3206.5200760575822</v>
      </c>
      <c r="I36" s="711">
        <v>3129.2219667413556</v>
      </c>
      <c r="J36" s="711">
        <v>3206.5200760575822</v>
      </c>
      <c r="K36" s="711">
        <v>3206.5200760575822</v>
      </c>
      <c r="L36" s="711">
        <v>3129.2219667413556</v>
      </c>
      <c r="M36" s="711">
        <v>3206.5200760575822</v>
      </c>
      <c r="N36" s="711">
        <v>3129.2219667413556</v>
      </c>
      <c r="O36" s="712">
        <f t="shared" si="23"/>
        <v>37937.154139955877</v>
      </c>
      <c r="Q36" s="713"/>
      <c r="R36" s="713"/>
      <c r="S36" s="713"/>
      <c r="T36" s="713"/>
      <c r="U36" s="713"/>
      <c r="V36" s="713"/>
      <c r="W36" s="713"/>
      <c r="X36" s="713"/>
      <c r="Y36" s="713"/>
      <c r="Z36" s="713"/>
    </row>
    <row r="37" spans="1:26" ht="10.5" customHeight="1" x14ac:dyDescent="0.3">
      <c r="A37" s="387"/>
      <c r="B37" s="715"/>
      <c r="C37" s="716"/>
      <c r="D37" s="716"/>
      <c r="E37" s="716"/>
      <c r="F37" s="716"/>
      <c r="G37" s="716"/>
      <c r="H37" s="716"/>
      <c r="I37" s="716"/>
      <c r="J37" s="716"/>
      <c r="K37" s="716"/>
      <c r="L37" s="716"/>
      <c r="M37" s="716"/>
      <c r="N37" s="716"/>
      <c r="O37" s="717"/>
      <c r="Q37" s="713"/>
      <c r="R37" s="713"/>
      <c r="S37" s="713"/>
      <c r="T37" s="713"/>
      <c r="U37" s="713"/>
      <c r="V37" s="713"/>
      <c r="W37" s="713"/>
      <c r="X37" s="713"/>
      <c r="Y37" s="713"/>
      <c r="Z37" s="713"/>
    </row>
    <row r="38" spans="1:26" ht="10.5" customHeight="1" x14ac:dyDescent="0.3">
      <c r="A38" s="387"/>
      <c r="B38" s="714"/>
      <c r="C38" s="711"/>
      <c r="D38" s="711"/>
      <c r="E38" s="711"/>
      <c r="F38" s="711"/>
      <c r="G38" s="711"/>
      <c r="H38" s="711"/>
      <c r="I38" s="711"/>
      <c r="J38" s="711"/>
      <c r="K38" s="711"/>
      <c r="L38" s="711"/>
      <c r="M38" s="711"/>
      <c r="N38" s="711"/>
      <c r="O38" s="712"/>
      <c r="Q38" s="713"/>
      <c r="R38" s="713"/>
      <c r="S38" s="713"/>
      <c r="T38" s="713"/>
      <c r="U38" s="713"/>
      <c r="V38" s="713"/>
      <c r="W38" s="713"/>
      <c r="X38" s="713"/>
      <c r="Y38" s="713"/>
      <c r="Z38" s="713"/>
    </row>
    <row r="39" spans="1:26" x14ac:dyDescent="0.3">
      <c r="A39" s="387"/>
      <c r="B39" s="714" t="s">
        <v>161</v>
      </c>
      <c r="C39" s="711">
        <f t="shared" ref="C39" si="24">+C40+C41</f>
        <v>1010.7206002963873</v>
      </c>
      <c r="D39" s="711">
        <f t="shared" ref="D39:G39" si="25">+D40+D41</f>
        <v>2742.424522087907</v>
      </c>
      <c r="E39" s="711">
        <f t="shared" si="25"/>
        <v>15.251372150428343</v>
      </c>
      <c r="F39" s="711">
        <f t="shared" si="25"/>
        <v>6061.9595526513613</v>
      </c>
      <c r="G39" s="711">
        <f t="shared" si="25"/>
        <v>26466.642274033649</v>
      </c>
      <c r="H39" s="711">
        <f t="shared" ref="H39:N39" si="26">+H40+H41</f>
        <v>767.87226215042836</v>
      </c>
      <c r="I39" s="711">
        <f t="shared" si="26"/>
        <v>997.61617833435469</v>
      </c>
      <c r="J39" s="711">
        <f t="shared" si="26"/>
        <v>2734.4124497905327</v>
      </c>
      <c r="K39" s="711">
        <f t="shared" si="26"/>
        <v>15.251372150428343</v>
      </c>
      <c r="L39" s="711">
        <f t="shared" si="26"/>
        <v>6032.388430238414</v>
      </c>
      <c r="M39" s="711">
        <f t="shared" si="26"/>
        <v>26335.053850267966</v>
      </c>
      <c r="N39" s="711">
        <f t="shared" si="26"/>
        <v>2093214.9013567243</v>
      </c>
      <c r="O39" s="712">
        <f t="shared" ref="O39" si="27">+O40+O41</f>
        <v>2166394.4942208761</v>
      </c>
      <c r="Q39" s="713"/>
      <c r="R39" s="713"/>
      <c r="S39" s="713"/>
      <c r="T39" s="713"/>
      <c r="U39" s="713"/>
      <c r="V39" s="713"/>
      <c r="W39" s="713"/>
      <c r="X39" s="713"/>
      <c r="Y39" s="713"/>
      <c r="Z39" s="713"/>
    </row>
    <row r="40" spans="1:26" x14ac:dyDescent="0.3">
      <c r="A40" s="387"/>
      <c r="B40" s="714" t="s">
        <v>271</v>
      </c>
      <c r="C40" s="711">
        <v>925.86266040632404</v>
      </c>
      <c r="D40" s="711">
        <v>2572.7904237983321</v>
      </c>
      <c r="E40" s="711">
        <v>13.621401830985915</v>
      </c>
      <c r="F40" s="711">
        <v>5178.759781943947</v>
      </c>
      <c r="G40" s="711">
        <v>24682.977666655494</v>
      </c>
      <c r="H40" s="711">
        <v>662.46742394220996</v>
      </c>
      <c r="I40" s="711">
        <v>926.36180778689607</v>
      </c>
      <c r="J40" s="711">
        <v>2573.2690921227113</v>
      </c>
      <c r="K40" s="711">
        <v>14.007451099172354</v>
      </c>
      <c r="L40" s="711">
        <v>5179.2604521559415</v>
      </c>
      <c r="M40" s="711">
        <v>24683.436685071349</v>
      </c>
      <c r="N40" s="711">
        <v>2093120.3902723959</v>
      </c>
      <c r="O40" s="712">
        <f t="shared" ref="O40:O41" si="28">+SUM(C40:N40)</f>
        <v>2160533.2051192094</v>
      </c>
      <c r="Q40" s="713"/>
      <c r="R40" s="713"/>
      <c r="S40" s="713"/>
      <c r="T40" s="713"/>
      <c r="U40" s="713"/>
      <c r="V40" s="713"/>
      <c r="W40" s="713"/>
      <c r="X40" s="713"/>
      <c r="Y40" s="713"/>
      <c r="Z40" s="713"/>
    </row>
    <row r="41" spans="1:26" x14ac:dyDescent="0.3">
      <c r="A41" s="387"/>
      <c r="B41" s="714" t="s">
        <v>301</v>
      </c>
      <c r="C41" s="711">
        <v>84.857939890063264</v>
      </c>
      <c r="D41" s="711">
        <v>169.63409828957492</v>
      </c>
      <c r="E41" s="711">
        <v>1.629970319442428</v>
      </c>
      <c r="F41" s="711">
        <v>883.1997707074139</v>
      </c>
      <c r="G41" s="711">
        <v>1783.664607378156</v>
      </c>
      <c r="H41" s="711">
        <v>105.40483820821838</v>
      </c>
      <c r="I41" s="711">
        <v>71.254370547458663</v>
      </c>
      <c r="J41" s="711">
        <v>161.14335766782153</v>
      </c>
      <c r="K41" s="711">
        <v>1.2439210512559895</v>
      </c>
      <c r="L41" s="711">
        <v>853.12797808247205</v>
      </c>
      <c r="M41" s="711">
        <v>1651.6171651966179</v>
      </c>
      <c r="N41" s="711">
        <v>94.511084328444895</v>
      </c>
      <c r="O41" s="712">
        <f t="shared" si="28"/>
        <v>5861.2891016669391</v>
      </c>
      <c r="Q41" s="713"/>
      <c r="R41" s="713"/>
      <c r="S41" s="713"/>
      <c r="T41" s="713"/>
      <c r="U41" s="713"/>
      <c r="V41" s="713"/>
      <c r="W41" s="713"/>
      <c r="X41" s="713"/>
      <c r="Y41" s="713"/>
      <c r="Z41" s="713"/>
    </row>
    <row r="42" spans="1:26" ht="10.5" customHeight="1" x14ac:dyDescent="0.3">
      <c r="A42" s="387"/>
      <c r="B42" s="719"/>
      <c r="C42" s="716"/>
      <c r="D42" s="716"/>
      <c r="E42" s="716"/>
      <c r="F42" s="716"/>
      <c r="G42" s="716"/>
      <c r="H42" s="716"/>
      <c r="I42" s="716"/>
      <c r="J42" s="716"/>
      <c r="K42" s="716"/>
      <c r="L42" s="716"/>
      <c r="M42" s="716"/>
      <c r="N42" s="716"/>
      <c r="O42" s="717"/>
      <c r="Q42" s="713"/>
      <c r="R42" s="713"/>
      <c r="S42" s="713"/>
      <c r="T42" s="713"/>
      <c r="U42" s="713"/>
      <c r="V42" s="713"/>
      <c r="W42" s="713"/>
      <c r="X42" s="713"/>
      <c r="Y42" s="713"/>
      <c r="Z42" s="713"/>
    </row>
    <row r="43" spans="1:26" ht="10.5" customHeight="1" x14ac:dyDescent="0.3">
      <c r="A43" s="387"/>
      <c r="B43" s="714"/>
      <c r="C43" s="711"/>
      <c r="D43" s="711"/>
      <c r="E43" s="711"/>
      <c r="F43" s="711"/>
      <c r="G43" s="711"/>
      <c r="H43" s="711"/>
      <c r="I43" s="711"/>
      <c r="J43" s="711"/>
      <c r="K43" s="711"/>
      <c r="L43" s="711"/>
      <c r="M43" s="711"/>
      <c r="N43" s="711"/>
      <c r="O43" s="712"/>
      <c r="Q43" s="713"/>
      <c r="R43" s="713"/>
      <c r="S43" s="713"/>
      <c r="T43" s="713"/>
      <c r="U43" s="713"/>
      <c r="V43" s="713"/>
      <c r="W43" s="713"/>
      <c r="X43" s="713"/>
      <c r="Y43" s="713"/>
      <c r="Z43" s="713"/>
    </row>
    <row r="44" spans="1:26" x14ac:dyDescent="0.3">
      <c r="A44" s="387"/>
      <c r="B44" s="720" t="s">
        <v>676</v>
      </c>
      <c r="C44" s="711">
        <f t="shared" ref="C44" si="29">+C45+C46</f>
        <v>36254.77747817518</v>
      </c>
      <c r="D44" s="711">
        <f t="shared" ref="D44:G44" si="30">+D45+D46</f>
        <v>11708.057144014598</v>
      </c>
      <c r="E44" s="711">
        <f t="shared" si="30"/>
        <v>16824.012750827249</v>
      </c>
      <c r="F44" s="711">
        <f t="shared" si="30"/>
        <v>11618.361088199512</v>
      </c>
      <c r="G44" s="711">
        <f t="shared" si="30"/>
        <v>9329.2730649391742</v>
      </c>
      <c r="H44" s="711">
        <f t="shared" ref="H44:N44" si="31">+H45+H46</f>
        <v>20588.246443738815</v>
      </c>
      <c r="I44" s="711">
        <f t="shared" si="31"/>
        <v>13834.925521654501</v>
      </c>
      <c r="J44" s="711">
        <f t="shared" si="31"/>
        <v>14798.989278535282</v>
      </c>
      <c r="K44" s="711">
        <f t="shared" si="31"/>
        <v>150733.57933109489</v>
      </c>
      <c r="L44" s="711">
        <f t="shared" si="31"/>
        <v>13945.746395596107</v>
      </c>
      <c r="M44" s="711">
        <f t="shared" si="31"/>
        <v>14456.95999055961</v>
      </c>
      <c r="N44" s="711">
        <f t="shared" si="31"/>
        <v>27702.381364890512</v>
      </c>
      <c r="O44" s="712">
        <f t="shared" ref="O44" si="32">+O45+O46</f>
        <v>341795.30985222541</v>
      </c>
      <c r="Q44" s="713"/>
      <c r="R44" s="713"/>
      <c r="S44" s="713"/>
      <c r="T44" s="713"/>
      <c r="U44" s="713"/>
      <c r="V44" s="713"/>
      <c r="W44" s="713"/>
      <c r="X44" s="713"/>
      <c r="Y44" s="713"/>
      <c r="Z44" s="713"/>
    </row>
    <row r="45" spans="1:26" x14ac:dyDescent="0.3">
      <c r="A45" s="387"/>
      <c r="B45" s="714" t="s">
        <v>271</v>
      </c>
      <c r="C45" s="711">
        <v>33231.049514817518</v>
      </c>
      <c r="D45" s="711">
        <v>8266.8028731873474</v>
      </c>
      <c r="E45" s="711">
        <v>12447.513422092456</v>
      </c>
      <c r="F45" s="711">
        <v>8709.7924826763974</v>
      </c>
      <c r="G45" s="711">
        <v>6691.3431726520685</v>
      </c>
      <c r="H45" s="711">
        <v>17254.671458775312</v>
      </c>
      <c r="I45" s="711">
        <v>11094.814085571776</v>
      </c>
      <c r="J45" s="711">
        <v>11664.555324593675</v>
      </c>
      <c r="K45" s="711">
        <v>146762.90026287106</v>
      </c>
      <c r="L45" s="711">
        <v>11301.290859367396</v>
      </c>
      <c r="M45" s="711">
        <v>12033.152839148417</v>
      </c>
      <c r="N45" s="711">
        <v>24677.861660145987</v>
      </c>
      <c r="O45" s="712">
        <f t="shared" ref="O45:O46" si="33">+SUM(C45:N45)</f>
        <v>304135.74795589939</v>
      </c>
      <c r="Q45" s="713"/>
      <c r="R45" s="713"/>
      <c r="S45" s="713"/>
      <c r="T45" s="713"/>
      <c r="U45" s="713"/>
      <c r="V45" s="713"/>
      <c r="W45" s="713"/>
      <c r="X45" s="713"/>
      <c r="Y45" s="713"/>
      <c r="Z45" s="713"/>
    </row>
    <row r="46" spans="1:26" x14ac:dyDescent="0.3">
      <c r="A46" s="387"/>
      <c r="B46" s="714" t="s">
        <v>301</v>
      </c>
      <c r="C46" s="711">
        <v>3023.7279633576641</v>
      </c>
      <c r="D46" s="711">
        <v>3441.2542708272504</v>
      </c>
      <c r="E46" s="711">
        <v>4376.4993287347934</v>
      </c>
      <c r="F46" s="711">
        <v>2908.568605523114</v>
      </c>
      <c r="G46" s="711">
        <v>2637.9298922871048</v>
      </c>
      <c r="H46" s="711">
        <v>3333.5749849635035</v>
      </c>
      <c r="I46" s="711">
        <v>2740.111436082725</v>
      </c>
      <c r="J46" s="711">
        <v>3134.433953941606</v>
      </c>
      <c r="K46" s="711">
        <v>3970.6790682238448</v>
      </c>
      <c r="L46" s="711">
        <v>2644.4555362287106</v>
      </c>
      <c r="M46" s="711">
        <v>2423.8071514111921</v>
      </c>
      <c r="N46" s="711">
        <v>3024.5197047445254</v>
      </c>
      <c r="O46" s="712">
        <f t="shared" si="33"/>
        <v>37659.561896326035</v>
      </c>
      <c r="Q46" s="713"/>
      <c r="R46" s="713"/>
      <c r="S46" s="713"/>
      <c r="T46" s="713"/>
      <c r="U46" s="713"/>
      <c r="V46" s="713"/>
      <c r="W46" s="713"/>
      <c r="X46" s="713"/>
      <c r="Y46" s="713"/>
      <c r="Z46" s="713"/>
    </row>
    <row r="47" spans="1:26" ht="10.5" customHeight="1" x14ac:dyDescent="0.3">
      <c r="A47" s="387"/>
      <c r="B47" s="719"/>
      <c r="C47" s="716"/>
      <c r="D47" s="716"/>
      <c r="E47" s="716"/>
      <c r="F47" s="716"/>
      <c r="G47" s="716"/>
      <c r="H47" s="716"/>
      <c r="I47" s="716"/>
      <c r="J47" s="716"/>
      <c r="K47" s="716"/>
      <c r="L47" s="716"/>
      <c r="M47" s="716"/>
      <c r="N47" s="716"/>
      <c r="O47" s="717"/>
      <c r="Q47" s="713"/>
      <c r="R47" s="713"/>
      <c r="S47" s="713"/>
      <c r="T47" s="713"/>
      <c r="U47" s="713"/>
      <c r="V47" s="713"/>
      <c r="W47" s="713"/>
      <c r="X47" s="713"/>
      <c r="Y47" s="713"/>
      <c r="Z47" s="713"/>
    </row>
    <row r="48" spans="1:26" ht="10.5" customHeight="1" x14ac:dyDescent="0.3">
      <c r="A48" s="387"/>
      <c r="B48" s="714"/>
      <c r="C48" s="711"/>
      <c r="D48" s="711"/>
      <c r="E48" s="711"/>
      <c r="F48" s="711"/>
      <c r="G48" s="711"/>
      <c r="H48" s="711"/>
      <c r="I48" s="711"/>
      <c r="J48" s="711"/>
      <c r="K48" s="711"/>
      <c r="L48" s="711"/>
      <c r="M48" s="711"/>
      <c r="N48" s="711"/>
      <c r="O48" s="712"/>
      <c r="Q48" s="713"/>
      <c r="R48" s="713"/>
      <c r="S48" s="713"/>
      <c r="T48" s="713"/>
      <c r="U48" s="713"/>
      <c r="V48" s="713"/>
      <c r="W48" s="713"/>
      <c r="X48" s="713"/>
      <c r="Y48" s="713"/>
      <c r="Z48" s="713"/>
    </row>
    <row r="49" spans="1:26" x14ac:dyDescent="0.3">
      <c r="A49" s="387"/>
      <c r="B49" s="720" t="s">
        <v>364</v>
      </c>
      <c r="C49" s="711">
        <f t="shared" ref="C49" si="34">+C50+C51</f>
        <v>0</v>
      </c>
      <c r="D49" s="711">
        <f t="shared" ref="D49:G49" si="35">+D50+D51</f>
        <v>0</v>
      </c>
      <c r="E49" s="711">
        <f t="shared" si="35"/>
        <v>830601.21434131742</v>
      </c>
      <c r="F49" s="711">
        <f t="shared" si="35"/>
        <v>0</v>
      </c>
      <c r="G49" s="711">
        <f t="shared" si="35"/>
        <v>0</v>
      </c>
      <c r="H49" s="711">
        <f t="shared" ref="H49:N49" si="36">+H50+H51</f>
        <v>0</v>
      </c>
      <c r="I49" s="711">
        <f t="shared" si="36"/>
        <v>0</v>
      </c>
      <c r="J49" s="711">
        <f t="shared" si="36"/>
        <v>0</v>
      </c>
      <c r="K49" s="711">
        <f t="shared" si="36"/>
        <v>3350.6060688113521</v>
      </c>
      <c r="L49" s="711">
        <f t="shared" si="36"/>
        <v>0</v>
      </c>
      <c r="M49" s="711">
        <f t="shared" si="36"/>
        <v>0</v>
      </c>
      <c r="N49" s="711">
        <f t="shared" si="36"/>
        <v>0</v>
      </c>
      <c r="O49" s="712">
        <f t="shared" ref="O49" si="37">+O50+O51</f>
        <v>833951.8204101288</v>
      </c>
      <c r="Q49" s="713"/>
      <c r="R49" s="713"/>
      <c r="S49" s="713"/>
      <c r="T49" s="713"/>
      <c r="U49" s="713"/>
      <c r="V49" s="713"/>
      <c r="W49" s="713"/>
      <c r="X49" s="713"/>
      <c r="Y49" s="713"/>
      <c r="Z49" s="713"/>
    </row>
    <row r="50" spans="1:26" x14ac:dyDescent="0.3">
      <c r="A50" s="387"/>
      <c r="B50" s="714" t="s">
        <v>271</v>
      </c>
      <c r="C50" s="711">
        <v>0</v>
      </c>
      <c r="D50" s="711">
        <v>0</v>
      </c>
      <c r="E50" s="711">
        <v>827250.60827250604</v>
      </c>
      <c r="F50" s="711">
        <v>0</v>
      </c>
      <c r="G50" s="711">
        <v>0</v>
      </c>
      <c r="H50" s="711">
        <v>0</v>
      </c>
      <c r="I50" s="711">
        <v>0</v>
      </c>
      <c r="J50" s="711">
        <v>0</v>
      </c>
      <c r="K50" s="711">
        <v>0</v>
      </c>
      <c r="L50" s="711">
        <v>0</v>
      </c>
      <c r="M50" s="711">
        <v>0</v>
      </c>
      <c r="N50" s="711">
        <v>0</v>
      </c>
      <c r="O50" s="712">
        <f t="shared" ref="O50:O51" si="38">+SUM(C50:N50)</f>
        <v>827250.60827250604</v>
      </c>
      <c r="Q50" s="713"/>
      <c r="R50" s="713"/>
      <c r="S50" s="713"/>
      <c r="T50" s="713"/>
      <c r="U50" s="713"/>
      <c r="V50" s="713"/>
      <c r="W50" s="713"/>
      <c r="X50" s="713"/>
      <c r="Y50" s="713"/>
      <c r="Z50" s="713"/>
    </row>
    <row r="51" spans="1:26" x14ac:dyDescent="0.3">
      <c r="A51" s="387"/>
      <c r="B51" s="714" t="s">
        <v>301</v>
      </c>
      <c r="C51" s="711">
        <v>0</v>
      </c>
      <c r="D51" s="711">
        <v>0</v>
      </c>
      <c r="E51" s="711">
        <v>3350.6060688113521</v>
      </c>
      <c r="F51" s="711">
        <v>0</v>
      </c>
      <c r="G51" s="711">
        <v>0</v>
      </c>
      <c r="H51" s="711">
        <v>0</v>
      </c>
      <c r="I51" s="711">
        <v>0</v>
      </c>
      <c r="J51" s="711">
        <v>0</v>
      </c>
      <c r="K51" s="711">
        <v>3350.6060688113521</v>
      </c>
      <c r="L51" s="711">
        <v>0</v>
      </c>
      <c r="M51" s="711">
        <v>0</v>
      </c>
      <c r="N51" s="711">
        <v>0</v>
      </c>
      <c r="O51" s="712">
        <f t="shared" si="38"/>
        <v>6701.2121376227042</v>
      </c>
      <c r="Q51" s="713"/>
      <c r="R51" s="713"/>
      <c r="S51" s="713"/>
      <c r="T51" s="713"/>
      <c r="U51" s="713"/>
      <c r="V51" s="713"/>
      <c r="W51" s="713"/>
      <c r="X51" s="713"/>
      <c r="Y51" s="713"/>
      <c r="Z51" s="713"/>
    </row>
    <row r="52" spans="1:26" ht="10.5" customHeight="1" x14ac:dyDescent="0.3">
      <c r="A52" s="387"/>
      <c r="B52" s="719"/>
      <c r="C52" s="716"/>
      <c r="D52" s="716"/>
      <c r="E52" s="716"/>
      <c r="F52" s="716"/>
      <c r="G52" s="716"/>
      <c r="H52" s="716"/>
      <c r="I52" s="716"/>
      <c r="J52" s="716"/>
      <c r="K52" s="716"/>
      <c r="L52" s="716"/>
      <c r="M52" s="716"/>
      <c r="N52" s="716"/>
      <c r="O52" s="717"/>
      <c r="Q52" s="713"/>
      <c r="R52" s="713"/>
      <c r="S52" s="713"/>
      <c r="T52" s="713"/>
      <c r="U52" s="713"/>
      <c r="V52" s="713"/>
      <c r="W52" s="713"/>
      <c r="X52" s="713"/>
      <c r="Y52" s="713"/>
      <c r="Z52" s="713"/>
    </row>
    <row r="53" spans="1:26" ht="10.5" customHeight="1" x14ac:dyDescent="0.3">
      <c r="A53" s="387"/>
      <c r="B53" s="720"/>
      <c r="C53" s="711"/>
      <c r="D53" s="711"/>
      <c r="E53" s="711"/>
      <c r="F53" s="711"/>
      <c r="G53" s="711"/>
      <c r="H53" s="711"/>
      <c r="I53" s="711"/>
      <c r="J53" s="711"/>
      <c r="K53" s="711"/>
      <c r="L53" s="711"/>
      <c r="M53" s="711"/>
      <c r="N53" s="711"/>
      <c r="O53" s="712"/>
      <c r="Q53" s="713"/>
      <c r="R53" s="713"/>
      <c r="S53" s="713"/>
      <c r="T53" s="713"/>
      <c r="U53" s="713"/>
      <c r="V53" s="713"/>
      <c r="W53" s="713"/>
      <c r="X53" s="713"/>
      <c r="Y53" s="713"/>
      <c r="Z53" s="713"/>
    </row>
    <row r="54" spans="1:26" x14ac:dyDescent="0.3">
      <c r="A54" s="387"/>
      <c r="B54" s="710" t="s">
        <v>159</v>
      </c>
      <c r="C54" s="711">
        <f t="shared" ref="C54" si="39">+C55+C56</f>
        <v>0</v>
      </c>
      <c r="D54" s="711">
        <f t="shared" ref="D54:G54" si="40">+D55+D56</f>
        <v>389294.40389294404</v>
      </c>
      <c r="E54" s="711">
        <f t="shared" si="40"/>
        <v>1415273.418871046</v>
      </c>
      <c r="F54" s="711">
        <f t="shared" si="40"/>
        <v>1016058.394160584</v>
      </c>
      <c r="G54" s="711">
        <f t="shared" si="40"/>
        <v>220437.95620437956</v>
      </c>
      <c r="H54" s="711">
        <f t="shared" ref="H54:N54" si="41">+H55+H56</f>
        <v>396107.05596107058</v>
      </c>
      <c r="I54" s="711">
        <f t="shared" si="41"/>
        <v>1304136.2530413626</v>
      </c>
      <c r="J54" s="711">
        <f t="shared" si="41"/>
        <v>0</v>
      </c>
      <c r="K54" s="711">
        <f t="shared" si="41"/>
        <v>271338.19951338193</v>
      </c>
      <c r="L54" s="711">
        <f t="shared" si="41"/>
        <v>3990267.6399026765</v>
      </c>
      <c r="M54" s="711">
        <f t="shared" si="41"/>
        <v>1265206.8126520682</v>
      </c>
      <c r="N54" s="711">
        <f t="shared" si="41"/>
        <v>6180048.661800487</v>
      </c>
      <c r="O54" s="712">
        <f t="shared" ref="O54" si="42">+O55+O56</f>
        <v>16448168.796</v>
      </c>
      <c r="Q54" s="713"/>
      <c r="R54" s="713"/>
      <c r="S54" s="713"/>
      <c r="T54" s="713"/>
      <c r="U54" s="713"/>
      <c r="V54" s="713"/>
      <c r="W54" s="713"/>
      <c r="X54" s="713"/>
      <c r="Y54" s="713"/>
      <c r="Z54" s="713"/>
    </row>
    <row r="55" spans="1:26" x14ac:dyDescent="0.3">
      <c r="A55" s="387"/>
      <c r="B55" s="714" t="s">
        <v>271</v>
      </c>
      <c r="C55" s="711">
        <v>0</v>
      </c>
      <c r="D55" s="711">
        <v>389294.40389294404</v>
      </c>
      <c r="E55" s="711">
        <v>1415273.418871046</v>
      </c>
      <c r="F55" s="711">
        <v>1016058.394160584</v>
      </c>
      <c r="G55" s="711">
        <v>220437.95620437956</v>
      </c>
      <c r="H55" s="711">
        <v>396107.05596107058</v>
      </c>
      <c r="I55" s="711">
        <v>1304136.2530413626</v>
      </c>
      <c r="J55" s="711">
        <v>0</v>
      </c>
      <c r="K55" s="711">
        <v>271338.19951338193</v>
      </c>
      <c r="L55" s="711">
        <v>3990267.6399026765</v>
      </c>
      <c r="M55" s="711">
        <v>1265206.8126520682</v>
      </c>
      <c r="N55" s="711">
        <v>6180048.661800487</v>
      </c>
      <c r="O55" s="712">
        <f t="shared" ref="O55:O56" si="43">+SUM(C55:N55)</f>
        <v>16448168.796</v>
      </c>
      <c r="Q55" s="713"/>
      <c r="R55" s="713"/>
      <c r="S55" s="713"/>
      <c r="T55" s="713"/>
      <c r="U55" s="713"/>
      <c r="V55" s="713"/>
      <c r="W55" s="713"/>
      <c r="X55" s="713"/>
      <c r="Y55" s="713"/>
      <c r="Z55" s="713"/>
    </row>
    <row r="56" spans="1:26" x14ac:dyDescent="0.3">
      <c r="A56" s="387"/>
      <c r="B56" s="714" t="s">
        <v>301</v>
      </c>
      <c r="C56" s="711">
        <v>0</v>
      </c>
      <c r="D56" s="711">
        <v>0</v>
      </c>
      <c r="E56" s="711">
        <v>0</v>
      </c>
      <c r="F56" s="711">
        <v>0</v>
      </c>
      <c r="G56" s="711">
        <v>0</v>
      </c>
      <c r="H56" s="711">
        <v>0</v>
      </c>
      <c r="I56" s="711">
        <v>0</v>
      </c>
      <c r="J56" s="711">
        <v>0</v>
      </c>
      <c r="K56" s="711">
        <v>0</v>
      </c>
      <c r="L56" s="711">
        <v>0</v>
      </c>
      <c r="M56" s="711">
        <v>0</v>
      </c>
      <c r="N56" s="711">
        <v>0</v>
      </c>
      <c r="O56" s="712">
        <f t="shared" si="43"/>
        <v>0</v>
      </c>
      <c r="Q56" s="713"/>
      <c r="R56" s="713"/>
      <c r="S56" s="713"/>
      <c r="T56" s="713"/>
      <c r="U56" s="713"/>
      <c r="V56" s="713"/>
      <c r="W56" s="713"/>
      <c r="X56" s="713"/>
      <c r="Y56" s="713"/>
      <c r="Z56" s="713"/>
    </row>
    <row r="57" spans="1:26" ht="10.5" customHeight="1" thickBot="1" x14ac:dyDescent="0.35">
      <c r="A57" s="387"/>
      <c r="B57" s="721"/>
      <c r="C57" s="722"/>
      <c r="D57" s="722"/>
      <c r="E57" s="722"/>
      <c r="F57" s="722"/>
      <c r="G57" s="722"/>
      <c r="H57" s="722"/>
      <c r="I57" s="722"/>
      <c r="J57" s="722"/>
      <c r="K57" s="722"/>
      <c r="L57" s="722"/>
      <c r="M57" s="722"/>
      <c r="N57" s="722"/>
      <c r="O57" s="722"/>
      <c r="Q57" s="713"/>
      <c r="R57" s="713"/>
      <c r="S57" s="713"/>
      <c r="T57" s="713"/>
      <c r="U57" s="713"/>
      <c r="V57" s="713"/>
      <c r="W57" s="713"/>
      <c r="X57" s="713"/>
      <c r="Y57" s="713"/>
      <c r="Z57" s="713"/>
    </row>
    <row r="58" spans="1:26" ht="10.5" customHeight="1" thickTop="1" x14ac:dyDescent="0.3">
      <c r="A58" s="387"/>
      <c r="B58" s="723"/>
      <c r="C58" s="724"/>
      <c r="D58" s="724"/>
      <c r="E58" s="724"/>
      <c r="F58" s="724"/>
      <c r="G58" s="724"/>
      <c r="H58" s="724"/>
      <c r="I58" s="724"/>
      <c r="J58" s="724"/>
      <c r="K58" s="724"/>
      <c r="L58" s="724"/>
      <c r="M58" s="724"/>
      <c r="N58" s="724"/>
      <c r="O58" s="724"/>
      <c r="Q58" s="713"/>
      <c r="R58" s="713"/>
      <c r="S58" s="713"/>
      <c r="T58" s="713"/>
      <c r="U58" s="713"/>
      <c r="V58" s="713"/>
      <c r="W58" s="713"/>
      <c r="X58" s="713"/>
      <c r="Y58" s="713"/>
      <c r="Z58" s="713"/>
    </row>
    <row r="59" spans="1:26" x14ac:dyDescent="0.3">
      <c r="A59" s="387"/>
      <c r="B59" s="725" t="s">
        <v>622</v>
      </c>
      <c r="C59" s="726">
        <f t="shared" ref="C59:O59" si="44">+C60+C61</f>
        <v>7072502.8698707446</v>
      </c>
      <c r="D59" s="726">
        <f t="shared" si="44"/>
        <v>5201229.2915768027</v>
      </c>
      <c r="E59" s="726">
        <f t="shared" ref="E59:G59" si="45">+E60+E61</f>
        <v>14410546.013601227</v>
      </c>
      <c r="F59" s="726">
        <f t="shared" si="45"/>
        <v>13157601.519743279</v>
      </c>
      <c r="G59" s="726">
        <f t="shared" si="45"/>
        <v>9067640.0379771572</v>
      </c>
      <c r="H59" s="726">
        <f t="shared" si="44"/>
        <v>8371343.2983905012</v>
      </c>
      <c r="I59" s="726">
        <f t="shared" ref="I59:K59" si="46">+I60+I61</f>
        <v>6241483.4098295877</v>
      </c>
      <c r="J59" s="726">
        <f t="shared" si="46"/>
        <v>1401282.3348095824</v>
      </c>
      <c r="K59" s="726">
        <f t="shared" si="46"/>
        <v>10332123.782405449</v>
      </c>
      <c r="L59" s="726">
        <f t="shared" ref="L59:N59" si="47">+L60+L61</f>
        <v>7213057.0475721853</v>
      </c>
      <c r="M59" s="726">
        <f t="shared" si="47"/>
        <v>4598655.9171669967</v>
      </c>
      <c r="N59" s="726">
        <f t="shared" si="47"/>
        <v>11915461.282324174</v>
      </c>
      <c r="O59" s="726">
        <f t="shared" si="44"/>
        <v>98982926.805267677</v>
      </c>
      <c r="Q59" s="713"/>
      <c r="R59" s="713"/>
      <c r="S59" s="713"/>
      <c r="T59" s="713"/>
      <c r="U59" s="713"/>
      <c r="V59" s="713"/>
      <c r="W59" s="713"/>
      <c r="X59" s="713"/>
      <c r="Y59" s="713"/>
      <c r="Z59" s="713"/>
    </row>
    <row r="60" spans="1:26" x14ac:dyDescent="0.3">
      <c r="A60" s="387"/>
      <c r="B60" s="727" t="s">
        <v>271</v>
      </c>
      <c r="C60" s="728">
        <f t="shared" ref="C60:O61" si="48">+C15+C20+C25+C30+C35+C40+C45+C50+C55</f>
        <v>6179159.5152488947</v>
      </c>
      <c r="D60" s="728">
        <f t="shared" si="48"/>
        <v>4700365.2453408288</v>
      </c>
      <c r="E60" s="728">
        <f t="shared" ref="E60:G60" si="49">+E15+E20+E25+E30+E35+E40+E45+E50+E55</f>
        <v>14108534.3572875</v>
      </c>
      <c r="F60" s="728">
        <f t="shared" si="49"/>
        <v>12844006.76105044</v>
      </c>
      <c r="G60" s="728">
        <f t="shared" si="49"/>
        <v>7828094.7313275281</v>
      </c>
      <c r="H60" s="728">
        <f t="shared" si="48"/>
        <v>8062569.4067571452</v>
      </c>
      <c r="I60" s="728">
        <f t="shared" ref="I60:K60" si="50">+I15+I20+I25+I30+I35+I40+I45+I50+I55</f>
        <v>5459726.7071516961</v>
      </c>
      <c r="J60" s="728">
        <f t="shared" si="50"/>
        <v>970888.49701795308</v>
      </c>
      <c r="K60" s="728">
        <f t="shared" si="50"/>
        <v>10057613.503017247</v>
      </c>
      <c r="L60" s="728">
        <f t="shared" ref="L60:N60" si="51">+L15+L20+L25+L30+L35+L40+L45+L50+L55</f>
        <v>6999589.6356034316</v>
      </c>
      <c r="M60" s="728">
        <f t="shared" si="51"/>
        <v>4161830.3974749497</v>
      </c>
      <c r="N60" s="728">
        <f t="shared" si="51"/>
        <v>11610110.454703178</v>
      </c>
      <c r="O60" s="728">
        <f t="shared" si="48"/>
        <v>92982489.21198079</v>
      </c>
      <c r="Q60" s="713"/>
      <c r="R60" s="713"/>
      <c r="S60" s="713"/>
      <c r="T60" s="713"/>
      <c r="U60" s="713"/>
      <c r="V60" s="713"/>
      <c r="W60" s="713"/>
      <c r="X60" s="713"/>
      <c r="Y60" s="713"/>
      <c r="Z60" s="713"/>
    </row>
    <row r="61" spans="1:26" x14ac:dyDescent="0.3">
      <c r="A61" s="387"/>
      <c r="B61" s="727" t="s">
        <v>301</v>
      </c>
      <c r="C61" s="728">
        <f t="shared" si="48"/>
        <v>893343.35462185019</v>
      </c>
      <c r="D61" s="728">
        <f t="shared" si="48"/>
        <v>500864.04623597424</v>
      </c>
      <c r="E61" s="728">
        <f t="shared" ref="E61:G61" si="52">+E16+E21+E26+E31+E36+E41+E46+E51+E56</f>
        <v>302011.65631372738</v>
      </c>
      <c r="F61" s="728">
        <f t="shared" si="52"/>
        <v>313594.75869283761</v>
      </c>
      <c r="G61" s="728">
        <f t="shared" si="52"/>
        <v>1239545.3066496293</v>
      </c>
      <c r="H61" s="728">
        <f t="shared" si="48"/>
        <v>308773.89163335593</v>
      </c>
      <c r="I61" s="728">
        <f t="shared" ref="I61:K61" si="53">+I16+I21+I26+I31+I36+I41+I46+I51+I56</f>
        <v>781756.70267789159</v>
      </c>
      <c r="J61" s="728">
        <f t="shared" si="53"/>
        <v>430393.83779162931</v>
      </c>
      <c r="K61" s="728">
        <f t="shared" si="53"/>
        <v>274510.27938820189</v>
      </c>
      <c r="L61" s="728">
        <f t="shared" ref="L61:N61" si="54">+L16+L21+L26+L31+L36+L41+L46+L51+L56</f>
        <v>213467.41196875396</v>
      </c>
      <c r="M61" s="728">
        <f t="shared" si="54"/>
        <v>436825.51969204674</v>
      </c>
      <c r="N61" s="728">
        <f t="shared" si="54"/>
        <v>305350.8276209961</v>
      </c>
      <c r="O61" s="728">
        <f t="shared" si="48"/>
        <v>6000437.5932868933</v>
      </c>
      <c r="Q61" s="713"/>
      <c r="R61" s="713"/>
      <c r="S61" s="713"/>
      <c r="T61" s="713"/>
      <c r="U61" s="713"/>
      <c r="V61" s="713"/>
      <c r="W61" s="713"/>
      <c r="X61" s="713"/>
      <c r="Y61" s="713"/>
      <c r="Z61" s="713"/>
    </row>
    <row r="62" spans="1:26" ht="10.5" customHeight="1" thickBot="1" x14ac:dyDescent="0.35">
      <c r="A62" s="387"/>
      <c r="B62" s="729"/>
      <c r="C62" s="730"/>
      <c r="D62" s="730"/>
      <c r="E62" s="730"/>
      <c r="F62" s="730"/>
      <c r="G62" s="730"/>
      <c r="H62" s="730"/>
      <c r="I62" s="730"/>
      <c r="J62" s="730"/>
      <c r="K62" s="730"/>
      <c r="L62" s="730"/>
      <c r="M62" s="730"/>
      <c r="N62" s="730"/>
      <c r="O62" s="730"/>
      <c r="Q62" s="713"/>
      <c r="R62" s="713"/>
      <c r="S62" s="713"/>
      <c r="T62" s="713"/>
      <c r="U62" s="713"/>
      <c r="V62" s="713"/>
      <c r="W62" s="713"/>
      <c r="X62" s="713"/>
      <c r="Y62" s="713"/>
      <c r="Z62" s="713"/>
    </row>
    <row r="63" spans="1:26" ht="16.8" thickTop="1" x14ac:dyDescent="0.3">
      <c r="A63" s="387"/>
      <c r="B63" s="731"/>
      <c r="C63" s="701"/>
      <c r="D63" s="701"/>
      <c r="E63" s="701"/>
      <c r="F63" s="701"/>
      <c r="G63" s="701"/>
      <c r="H63" s="701"/>
      <c r="I63" s="701"/>
      <c r="J63" s="701"/>
      <c r="K63" s="701"/>
      <c r="L63" s="701"/>
      <c r="M63" s="701"/>
      <c r="N63" s="701"/>
      <c r="O63" s="732"/>
      <c r="Q63" s="701"/>
      <c r="R63" s="701"/>
      <c r="S63" s="701"/>
      <c r="T63" s="701"/>
      <c r="U63" s="701"/>
      <c r="V63" s="701"/>
    </row>
    <row r="64" spans="1:26" x14ac:dyDescent="0.3">
      <c r="A64" s="387"/>
      <c r="B64" s="733" t="s">
        <v>357</v>
      </c>
      <c r="C64" s="701"/>
      <c r="D64" s="701"/>
      <c r="E64" s="701"/>
      <c r="F64" s="701"/>
      <c r="G64" s="701"/>
      <c r="H64" s="701"/>
      <c r="I64" s="701"/>
      <c r="J64" s="701"/>
      <c r="K64" s="701"/>
      <c r="L64" s="701"/>
      <c r="M64" s="701"/>
      <c r="N64" s="701"/>
      <c r="O64" s="734"/>
      <c r="Q64" s="701"/>
      <c r="R64" s="701"/>
      <c r="S64" s="701"/>
      <c r="T64" s="701"/>
      <c r="U64" s="701"/>
      <c r="V64" s="701"/>
    </row>
    <row r="65" spans="1:22" x14ac:dyDescent="0.3">
      <c r="A65" s="387"/>
      <c r="B65" s="735"/>
      <c r="C65" s="701"/>
      <c r="D65" s="701"/>
      <c r="E65" s="701"/>
      <c r="F65" s="701"/>
      <c r="G65" s="701"/>
      <c r="H65" s="701"/>
      <c r="I65" s="701"/>
      <c r="J65" s="701"/>
      <c r="K65" s="701"/>
      <c r="L65" s="701"/>
      <c r="M65" s="701"/>
      <c r="N65" s="701"/>
      <c r="O65" s="701"/>
      <c r="Q65" s="701"/>
      <c r="R65" s="701"/>
      <c r="S65" s="701"/>
      <c r="T65" s="701"/>
      <c r="U65" s="701"/>
      <c r="V65" s="701"/>
    </row>
    <row r="66" spans="1:22" x14ac:dyDescent="0.3">
      <c r="A66" s="387"/>
      <c r="O66" s="701"/>
    </row>
    <row r="67" spans="1:22" x14ac:dyDescent="0.3">
      <c r="A67" s="387"/>
      <c r="O67" s="701"/>
    </row>
    <row r="68" spans="1:22" x14ac:dyDescent="0.3">
      <c r="A68" s="387"/>
      <c r="B68" s="15"/>
    </row>
    <row r="69" spans="1:22" x14ac:dyDescent="0.3">
      <c r="A69" s="387"/>
      <c r="B69" s="15"/>
    </row>
    <row r="70" spans="1:22" x14ac:dyDescent="0.3">
      <c r="A70" s="387"/>
      <c r="B70" s="15"/>
    </row>
    <row r="71" spans="1:22" x14ac:dyDescent="0.3">
      <c r="A71" s="387"/>
      <c r="B71" s="15"/>
    </row>
    <row r="72" spans="1:22" x14ac:dyDescent="0.3">
      <c r="A72" s="387"/>
      <c r="B72" s="15"/>
    </row>
    <row r="73" spans="1:22" x14ac:dyDescent="0.3">
      <c r="A73" s="387"/>
      <c r="B73" s="15"/>
    </row>
    <row r="74" spans="1:22" x14ac:dyDescent="0.3">
      <c r="A74" s="387"/>
      <c r="B74" s="15"/>
    </row>
    <row r="75" spans="1:22" x14ac:dyDescent="0.3">
      <c r="A75" s="387"/>
      <c r="B75" s="15"/>
    </row>
    <row r="76" spans="1:22" x14ac:dyDescent="0.3">
      <c r="A76" s="387"/>
      <c r="B76" s="15"/>
    </row>
    <row r="77" spans="1:22" x14ac:dyDescent="0.3">
      <c r="A77" s="387"/>
      <c r="B77" s="15"/>
    </row>
    <row r="78" spans="1:22" x14ac:dyDescent="0.3">
      <c r="B78" s="15"/>
    </row>
    <row r="79" spans="1:22" x14ac:dyDescent="0.3">
      <c r="B79" s="15"/>
    </row>
    <row r="80" spans="1:22"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6">
    <mergeCell ref="O11:O12"/>
    <mergeCell ref="B6:O6"/>
    <mergeCell ref="B7:O7"/>
    <mergeCell ref="B8:O8"/>
    <mergeCell ref="B11:B12"/>
    <mergeCell ref="C11:N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Z95"/>
  <sheetViews>
    <sheetView showGridLines="0" zoomScale="85" zoomScaleNormal="85" zoomScaleSheetLayoutView="85" workbookViewId="0"/>
  </sheetViews>
  <sheetFormatPr baseColWidth="10" defaultColWidth="11.44140625" defaultRowHeight="14.4" x14ac:dyDescent="0.25"/>
  <cols>
    <col min="1" max="1" width="13.44140625" style="290" customWidth="1"/>
    <col min="2" max="2" width="49.21875" style="737" customWidth="1"/>
    <col min="3" max="15" width="17.77734375" style="737" customWidth="1"/>
    <col min="16" max="16" width="18" style="737" bestFit="1" customWidth="1"/>
    <col min="17" max="17" width="13.21875" style="737" bestFit="1" customWidth="1"/>
    <col min="18" max="20" width="11.5546875" style="737" bestFit="1" customWidth="1"/>
    <col min="21" max="21" width="12.77734375" style="737" bestFit="1" customWidth="1"/>
    <col min="22" max="22" width="11.5546875" style="737" bestFit="1" customWidth="1"/>
    <col min="23" max="26" width="12.77734375" style="737" bestFit="1" customWidth="1"/>
    <col min="27" max="16384" width="11.44140625" style="737"/>
  </cols>
  <sheetData>
    <row r="1" spans="1:26" ht="15" x14ac:dyDescent="0.25">
      <c r="A1" s="54" t="s">
        <v>216</v>
      </c>
      <c r="B1" s="736"/>
      <c r="C1" s="747"/>
      <c r="D1" s="747"/>
      <c r="E1" s="747"/>
      <c r="F1" s="747"/>
      <c r="G1" s="747"/>
      <c r="H1" s="747"/>
      <c r="I1" s="747"/>
      <c r="J1" s="747"/>
      <c r="K1" s="747"/>
    </row>
    <row r="2" spans="1:26" ht="15" x14ac:dyDescent="0.25">
      <c r="A2" s="733"/>
      <c r="B2" s="4" t="s">
        <v>693</v>
      </c>
      <c r="C2" s="781"/>
      <c r="D2" s="781"/>
      <c r="E2" s="781"/>
      <c r="F2" s="1227"/>
      <c r="G2" s="1227"/>
      <c r="H2" s="1227"/>
      <c r="I2" s="1227"/>
      <c r="J2" s="1227"/>
      <c r="K2" s="1227"/>
      <c r="L2" s="1227"/>
      <c r="M2" s="1227"/>
      <c r="N2" s="1227"/>
      <c r="O2" s="1227"/>
    </row>
    <row r="3" spans="1:26" ht="15" x14ac:dyDescent="0.25">
      <c r="A3" s="733"/>
      <c r="B3" s="4" t="s">
        <v>299</v>
      </c>
      <c r="C3" s="781"/>
      <c r="D3" s="781"/>
      <c r="E3" s="781"/>
      <c r="F3" s="1227"/>
      <c r="G3" s="1227"/>
      <c r="H3" s="1227"/>
      <c r="I3" s="1227"/>
      <c r="J3" s="1227"/>
      <c r="K3" s="1227"/>
      <c r="L3" s="1227"/>
      <c r="M3" s="1227"/>
      <c r="N3" s="1227"/>
      <c r="O3" s="1227"/>
    </row>
    <row r="4" spans="1:26" s="740" customFormat="1" x14ac:dyDescent="0.25">
      <c r="A4" s="66"/>
      <c r="B4" s="739"/>
      <c r="C4" s="1226"/>
      <c r="D4" s="1226"/>
      <c r="E4" s="1226"/>
      <c r="F4" s="1226"/>
      <c r="G4" s="1226"/>
      <c r="H4" s="1226"/>
      <c r="I4" s="1226"/>
      <c r="J4" s="1226"/>
      <c r="K4" s="1226"/>
      <c r="L4" s="781"/>
      <c r="M4" s="781"/>
      <c r="N4" s="781"/>
      <c r="O4" s="781"/>
    </row>
    <row r="5" spans="1:26" s="740" customFormat="1" ht="12" thickBot="1" x14ac:dyDescent="0.3">
      <c r="A5" s="66"/>
      <c r="B5" s="739"/>
      <c r="C5" s="739"/>
      <c r="D5" s="739"/>
      <c r="E5" s="739"/>
      <c r="F5" s="739"/>
      <c r="G5" s="739"/>
      <c r="H5" s="739"/>
      <c r="I5" s="739"/>
      <c r="J5" s="739"/>
      <c r="K5" s="739"/>
      <c r="L5" s="741"/>
      <c r="M5" s="741"/>
      <c r="N5" s="741"/>
      <c r="O5" s="741"/>
    </row>
    <row r="6" spans="1:26" s="742" customFormat="1" ht="18.600000000000001" thickBot="1" x14ac:dyDescent="0.3">
      <c r="A6" s="59"/>
      <c r="B6" s="1432" t="s">
        <v>651</v>
      </c>
      <c r="C6" s="1433"/>
      <c r="D6" s="1433"/>
      <c r="E6" s="1433"/>
      <c r="F6" s="1433"/>
      <c r="G6" s="1433"/>
      <c r="H6" s="1433"/>
      <c r="I6" s="1433"/>
      <c r="J6" s="1433"/>
      <c r="K6" s="1433"/>
      <c r="L6" s="1433"/>
      <c r="M6" s="1433"/>
      <c r="N6" s="1433"/>
      <c r="O6" s="1434"/>
    </row>
    <row r="7" spans="1:26" s="740" customFormat="1" ht="11.4" x14ac:dyDescent="0.25">
      <c r="A7" s="66"/>
      <c r="B7" s="66"/>
      <c r="C7" s="66"/>
      <c r="D7" s="66"/>
      <c r="E7" s="66"/>
      <c r="F7" s="66"/>
      <c r="G7" s="66"/>
      <c r="H7" s="66"/>
      <c r="I7" s="66"/>
      <c r="J7" s="66"/>
      <c r="K7" s="66"/>
    </row>
    <row r="8" spans="1:26" s="742" customFormat="1" ht="15" thickBot="1" x14ac:dyDescent="0.3">
      <c r="A8" s="59"/>
      <c r="B8" s="290" t="s">
        <v>908</v>
      </c>
      <c r="C8" s="290"/>
      <c r="D8" s="290"/>
      <c r="E8" s="290"/>
      <c r="F8" s="290"/>
      <c r="G8" s="290"/>
      <c r="H8" s="290"/>
      <c r="I8" s="290"/>
      <c r="J8" s="290"/>
      <c r="K8" s="290"/>
    </row>
    <row r="9" spans="1:26" s="742" customFormat="1" ht="15.6" thickTop="1" thickBot="1" x14ac:dyDescent="0.3">
      <c r="A9" s="59"/>
      <c r="B9" s="743"/>
      <c r="C9" s="743">
        <v>44562</v>
      </c>
      <c r="D9" s="743">
        <v>44593</v>
      </c>
      <c r="E9" s="743">
        <v>44621</v>
      </c>
      <c r="F9" s="743">
        <v>44652</v>
      </c>
      <c r="G9" s="743">
        <v>44682</v>
      </c>
      <c r="H9" s="743">
        <v>44713</v>
      </c>
      <c r="I9" s="743">
        <v>44743</v>
      </c>
      <c r="J9" s="743">
        <v>44774</v>
      </c>
      <c r="K9" s="743">
        <v>44805</v>
      </c>
      <c r="L9" s="743">
        <v>44835</v>
      </c>
      <c r="M9" s="743">
        <v>44866</v>
      </c>
      <c r="N9" s="743">
        <v>44896</v>
      </c>
      <c r="O9" s="744">
        <v>2022</v>
      </c>
    </row>
    <row r="10" spans="1:26" s="742" customFormat="1" ht="15.6" thickTop="1" thickBot="1" x14ac:dyDescent="0.3">
      <c r="A10" s="59"/>
      <c r="B10" s="59"/>
      <c r="C10" s="59"/>
      <c r="D10" s="59"/>
      <c r="E10" s="59"/>
      <c r="F10" s="59"/>
      <c r="G10" s="59"/>
      <c r="H10" s="59"/>
      <c r="I10" s="59"/>
      <c r="J10" s="59"/>
      <c r="K10" s="59"/>
    </row>
    <row r="11" spans="1:26" s="742" customFormat="1" ht="15" thickBot="1" x14ac:dyDescent="0.3">
      <c r="A11" s="59"/>
      <c r="B11" s="1429" t="s">
        <v>621</v>
      </c>
      <c r="C11" s="1430"/>
      <c r="D11" s="1430"/>
      <c r="E11" s="1430"/>
      <c r="F11" s="1430"/>
      <c r="G11" s="1430"/>
      <c r="H11" s="1430"/>
      <c r="I11" s="1430"/>
      <c r="J11" s="1430"/>
      <c r="K11" s="1430"/>
      <c r="L11" s="1430"/>
      <c r="M11" s="1430"/>
      <c r="N11" s="1430"/>
      <c r="O11" s="1431"/>
    </row>
    <row r="12" spans="1:26" s="747" customFormat="1" ht="15" thickBot="1" x14ac:dyDescent="0.3">
      <c r="A12" s="745"/>
      <c r="B12" s="746"/>
      <c r="C12" s="746"/>
      <c r="D12" s="746"/>
      <c r="E12" s="746"/>
      <c r="F12" s="746"/>
      <c r="G12" s="746"/>
      <c r="H12" s="746"/>
      <c r="I12" s="746"/>
      <c r="J12" s="746"/>
      <c r="K12" s="746"/>
    </row>
    <row r="13" spans="1:26" ht="15.6" thickBot="1" x14ac:dyDescent="0.3">
      <c r="B13" s="748" t="s">
        <v>59</v>
      </c>
      <c r="C13" s="749">
        <f t="shared" ref="C13:M13" si="0">+C14+C15</f>
        <v>6179.1595152488953</v>
      </c>
      <c r="D13" s="749">
        <f t="shared" si="0"/>
        <v>4700.3652453408286</v>
      </c>
      <c r="E13" s="749">
        <f t="shared" si="0"/>
        <v>14108.534357287499</v>
      </c>
      <c r="F13" s="749">
        <f t="shared" si="0"/>
        <v>12844.006761050441</v>
      </c>
      <c r="G13" s="749">
        <f t="shared" si="0"/>
        <v>7828.0947313275292</v>
      </c>
      <c r="H13" s="749">
        <f t="shared" si="0"/>
        <v>8062.5694067571403</v>
      </c>
      <c r="I13" s="749">
        <f t="shared" si="0"/>
        <v>5459.7267071517017</v>
      </c>
      <c r="J13" s="749">
        <f t="shared" si="0"/>
        <v>970.88849701795311</v>
      </c>
      <c r="K13" s="749">
        <f t="shared" si="0"/>
        <v>10057.613503017254</v>
      </c>
      <c r="L13" s="749">
        <f t="shared" si="0"/>
        <v>6999.5896356034364</v>
      </c>
      <c r="M13" s="749">
        <f t="shared" si="0"/>
        <v>4161.8303974749579</v>
      </c>
      <c r="N13" s="749">
        <f t="shared" ref="N13:O13" si="1">+N14+N15</f>
        <v>11610.110454703192</v>
      </c>
      <c r="O13" s="750">
        <f t="shared" si="1"/>
        <v>92982.489211980836</v>
      </c>
      <c r="P13" s="738"/>
      <c r="Q13" s="738"/>
      <c r="R13" s="738"/>
      <c r="S13" s="738"/>
      <c r="T13" s="738"/>
      <c r="U13" s="738"/>
      <c r="V13" s="738"/>
      <c r="W13" s="738"/>
      <c r="X13" s="738"/>
      <c r="Y13" s="738"/>
      <c r="Z13" s="738"/>
    </row>
    <row r="14" spans="1:26" x14ac:dyDescent="0.25">
      <c r="A14" s="59"/>
      <c r="B14" s="751" t="s">
        <v>60</v>
      </c>
      <c r="C14" s="752">
        <v>5047.9505640708803</v>
      </c>
      <c r="D14" s="752">
        <v>3956.7446476637124</v>
      </c>
      <c r="E14" s="752">
        <v>5712.3504790083725</v>
      </c>
      <c r="F14" s="752">
        <v>3592.5987017320658</v>
      </c>
      <c r="G14" s="752">
        <v>324.29659894890511</v>
      </c>
      <c r="H14" s="752">
        <v>2979.81267717522</v>
      </c>
      <c r="I14" s="752">
        <v>3015.926711507921</v>
      </c>
      <c r="J14" s="752">
        <v>804.17326837751102</v>
      </c>
      <c r="K14" s="752">
        <v>387.42144857338201</v>
      </c>
      <c r="L14" s="752">
        <v>3990.2676399026764</v>
      </c>
      <c r="M14" s="752">
        <v>1265.206812652068</v>
      </c>
      <c r="N14" s="752">
        <v>3844.2822384428223</v>
      </c>
      <c r="O14" s="752">
        <f>+SUM(C14:N14)</f>
        <v>34921.031788055538</v>
      </c>
      <c r="P14" s="738"/>
      <c r="Q14" s="738"/>
      <c r="R14" s="738"/>
      <c r="S14" s="738"/>
      <c r="T14" s="738"/>
      <c r="U14" s="738"/>
      <c r="V14" s="738"/>
      <c r="W14" s="738"/>
    </row>
    <row r="15" spans="1:26" x14ac:dyDescent="0.25">
      <c r="A15" s="59"/>
      <c r="B15" s="751" t="s">
        <v>61</v>
      </c>
      <c r="C15" s="752">
        <v>1131.208951178015</v>
      </c>
      <c r="D15" s="752">
        <v>743.62059767711594</v>
      </c>
      <c r="E15" s="752">
        <v>8396.1838782791274</v>
      </c>
      <c r="F15" s="752">
        <v>9251.4080593183753</v>
      </c>
      <c r="G15" s="752">
        <v>7503.7981323786244</v>
      </c>
      <c r="H15" s="752">
        <v>5082.7567295819208</v>
      </c>
      <c r="I15" s="752">
        <v>2443.7999956437802</v>
      </c>
      <c r="J15" s="752">
        <v>166.71522864044209</v>
      </c>
      <c r="K15" s="752">
        <v>9670.1920544438708</v>
      </c>
      <c r="L15" s="752">
        <v>3009.32199570076</v>
      </c>
      <c r="M15" s="752">
        <v>2896.6235848228898</v>
      </c>
      <c r="N15" s="752">
        <v>7765.82821626037</v>
      </c>
      <c r="O15" s="752">
        <f>+SUM(C15:N15)</f>
        <v>58061.457423925298</v>
      </c>
      <c r="P15" s="738"/>
      <c r="Q15" s="738"/>
      <c r="R15" s="738"/>
      <c r="S15" s="738"/>
      <c r="T15" s="738"/>
      <c r="U15" s="738"/>
      <c r="V15" s="738"/>
      <c r="W15" s="738"/>
    </row>
    <row r="16" spans="1:26" s="747" customFormat="1" ht="15" thickBot="1" x14ac:dyDescent="0.3">
      <c r="A16" s="59"/>
      <c r="B16" s="59"/>
      <c r="C16" s="753"/>
      <c r="D16" s="753"/>
      <c r="E16" s="753"/>
      <c r="F16" s="753"/>
      <c r="G16" s="753"/>
      <c r="H16" s="753"/>
      <c r="I16" s="753"/>
      <c r="J16" s="753"/>
      <c r="K16" s="753"/>
      <c r="L16" s="753"/>
      <c r="M16" s="753"/>
      <c r="N16" s="753"/>
      <c r="O16" s="753"/>
      <c r="P16" s="738"/>
      <c r="Q16" s="738"/>
      <c r="R16" s="738"/>
      <c r="S16" s="738"/>
      <c r="T16" s="738"/>
      <c r="U16" s="738"/>
      <c r="V16" s="738"/>
      <c r="W16" s="738"/>
    </row>
    <row r="17" spans="1:23" s="747" customFormat="1" ht="15" thickBot="1" x14ac:dyDescent="0.3">
      <c r="A17" s="59"/>
      <c r="B17" s="754" t="s">
        <v>52</v>
      </c>
      <c r="C17" s="755">
        <f>+C18+C23+C31+C32+C28</f>
        <v>1030.770513590857</v>
      </c>
      <c r="D17" s="755">
        <f t="shared" ref="D17:N17" si="2">+D18+D23+D31+D32+D28</f>
        <v>343.11000907125953</v>
      </c>
      <c r="E17" s="755">
        <f t="shared" si="2"/>
        <v>3903.0525413522482</v>
      </c>
      <c r="F17" s="755">
        <f t="shared" si="2"/>
        <v>839.46697667120247</v>
      </c>
      <c r="G17" s="755">
        <f t="shared" si="2"/>
        <v>1705.8589740018112</v>
      </c>
      <c r="H17" s="755">
        <f t="shared" si="2"/>
        <v>2995.8303320267119</v>
      </c>
      <c r="I17" s="755">
        <f t="shared" si="2"/>
        <v>2360.3309519241479</v>
      </c>
      <c r="J17" s="755">
        <f t="shared" si="2"/>
        <v>155.51556920869768</v>
      </c>
      <c r="K17" s="755">
        <f t="shared" si="2"/>
        <v>3209.2911149197885</v>
      </c>
      <c r="L17" s="755">
        <f t="shared" si="2"/>
        <v>2896.7901609730493</v>
      </c>
      <c r="M17" s="755">
        <f t="shared" si="2"/>
        <v>189.62955063310955</v>
      </c>
      <c r="N17" s="755">
        <f t="shared" si="2"/>
        <v>5075.7463254057411</v>
      </c>
      <c r="O17" s="780">
        <f t="shared" ref="O17:O34" si="3">+SUM(C17:N17)</f>
        <v>24705.393019778625</v>
      </c>
      <c r="P17" s="738"/>
      <c r="R17" s="738"/>
      <c r="S17" s="738"/>
      <c r="T17" s="738"/>
      <c r="U17" s="738"/>
      <c r="V17" s="738"/>
      <c r="W17" s="738"/>
    </row>
    <row r="18" spans="1:23" s="747" customFormat="1" x14ac:dyDescent="0.25">
      <c r="A18" s="59"/>
      <c r="B18" s="756" t="s">
        <v>62</v>
      </c>
      <c r="C18" s="757">
        <f t="shared" ref="C18:M18" si="4">SUM(C19:C22)</f>
        <v>826.58614920563332</v>
      </c>
      <c r="D18" s="757">
        <f t="shared" si="4"/>
        <v>142.39856903200001</v>
      </c>
      <c r="E18" s="757">
        <f t="shared" si="4"/>
        <v>3063.2194982858182</v>
      </c>
      <c r="F18" s="757">
        <f t="shared" si="4"/>
        <v>821.06829676301265</v>
      </c>
      <c r="G18" s="757">
        <f t="shared" si="4"/>
        <v>142.80638922999998</v>
      </c>
      <c r="H18" s="757">
        <f t="shared" si="4"/>
        <v>2977.4924365739944</v>
      </c>
      <c r="I18" s="757">
        <f t="shared" si="4"/>
        <v>2178.2823231307893</v>
      </c>
      <c r="J18" s="757">
        <f t="shared" si="4"/>
        <v>141.091949331</v>
      </c>
      <c r="K18" s="757">
        <f t="shared" si="4"/>
        <v>3062.3929072358183</v>
      </c>
      <c r="L18" s="757">
        <f t="shared" si="4"/>
        <v>2875.7994820179565</v>
      </c>
      <c r="M18" s="757">
        <f t="shared" si="4"/>
        <v>145.61253671799997</v>
      </c>
      <c r="N18" s="757">
        <f t="shared" ref="N18" si="5">SUM(N19:N22)</f>
        <v>2956.8384754516019</v>
      </c>
      <c r="O18" s="757">
        <f t="shared" si="3"/>
        <v>19333.589012975623</v>
      </c>
      <c r="P18" s="1229"/>
      <c r="R18" s="738"/>
      <c r="S18" s="738"/>
      <c r="T18" s="738"/>
      <c r="U18" s="738"/>
      <c r="V18" s="738"/>
      <c r="W18" s="738"/>
    </row>
    <row r="19" spans="1:23" s="747" customFormat="1" x14ac:dyDescent="0.25">
      <c r="A19" s="59"/>
      <c r="B19" s="758" t="s">
        <v>63</v>
      </c>
      <c r="C19" s="759">
        <v>15.201048929999999</v>
      </c>
      <c r="D19" s="759">
        <v>2.82987872</v>
      </c>
      <c r="E19" s="759">
        <v>61.943313106000019</v>
      </c>
      <c r="F19" s="759">
        <v>27.20999597070001</v>
      </c>
      <c r="G19" s="759">
        <v>13.493341739999998</v>
      </c>
      <c r="H19" s="759">
        <v>48.395583856000002</v>
      </c>
      <c r="I19" s="759">
        <v>2.2383818600000001</v>
      </c>
      <c r="J19" s="759">
        <v>3.2351617510000001</v>
      </c>
      <c r="K19" s="759">
        <v>57.255740586000016</v>
      </c>
      <c r="L19" s="759">
        <v>33.031531639999997</v>
      </c>
      <c r="M19" s="759">
        <v>13.51060287</v>
      </c>
      <c r="N19" s="759">
        <v>27.958371816000003</v>
      </c>
      <c r="O19" s="759">
        <f t="shared" si="3"/>
        <v>306.30295284570002</v>
      </c>
      <c r="P19" s="1229"/>
      <c r="R19" s="738"/>
      <c r="S19" s="738"/>
      <c r="T19" s="738"/>
      <c r="U19" s="738"/>
      <c r="V19" s="738"/>
      <c r="W19" s="738"/>
    </row>
    <row r="20" spans="1:23" s="747" customFormat="1" x14ac:dyDescent="0.25">
      <c r="A20" s="59"/>
      <c r="B20" s="760" t="s">
        <v>64</v>
      </c>
      <c r="C20" s="761">
        <v>48.714192820000008</v>
      </c>
      <c r="D20" s="761">
        <v>39.92362030200001</v>
      </c>
      <c r="E20" s="761">
        <v>136.96169792000001</v>
      </c>
      <c r="F20" s="761">
        <v>57.45938315899997</v>
      </c>
      <c r="G20" s="761">
        <v>108.68356102999998</v>
      </c>
      <c r="H20" s="761">
        <v>26.737114550000005</v>
      </c>
      <c r="I20" s="761">
        <v>48.714192820000008</v>
      </c>
      <c r="J20" s="761">
        <v>38.164353930000004</v>
      </c>
      <c r="K20" s="761">
        <v>137.88969792</v>
      </c>
      <c r="L20" s="761">
        <v>59.416431009999997</v>
      </c>
      <c r="M20" s="761">
        <v>110.46886563999998</v>
      </c>
      <c r="N20" s="761">
        <v>26.737114550000005</v>
      </c>
      <c r="O20" s="761">
        <f t="shared" si="3"/>
        <v>839.87022565099994</v>
      </c>
      <c r="P20" s="1229"/>
      <c r="R20" s="738"/>
      <c r="S20" s="738"/>
      <c r="T20" s="738"/>
      <c r="U20" s="738"/>
      <c r="V20" s="738"/>
      <c r="W20" s="738"/>
    </row>
    <row r="21" spans="1:23" s="747" customFormat="1" x14ac:dyDescent="0.25">
      <c r="A21" s="59"/>
      <c r="B21" s="760" t="s">
        <v>578</v>
      </c>
      <c r="C21" s="762">
        <v>717.28481455563326</v>
      </c>
      <c r="D21" s="762">
        <v>0</v>
      </c>
      <c r="E21" s="762">
        <v>2819.053533939818</v>
      </c>
      <c r="F21" s="762">
        <v>717.28481455563326</v>
      </c>
      <c r="G21" s="762">
        <v>0</v>
      </c>
      <c r="H21" s="762">
        <v>2819.053533939818</v>
      </c>
      <c r="I21" s="762">
        <v>2081.8754373687893</v>
      </c>
      <c r="J21" s="762">
        <v>0</v>
      </c>
      <c r="K21" s="762">
        <v>2819.053533939818</v>
      </c>
      <c r="L21" s="762">
        <v>2764.170748775367</v>
      </c>
      <c r="M21" s="762">
        <v>0</v>
      </c>
      <c r="N21" s="762">
        <v>2819.053533939818</v>
      </c>
      <c r="O21" s="761">
        <f t="shared" si="3"/>
        <v>17556.829951014694</v>
      </c>
      <c r="P21" s="1229"/>
      <c r="R21" s="738"/>
      <c r="S21" s="738"/>
      <c r="T21" s="738"/>
      <c r="U21" s="738"/>
      <c r="V21" s="738"/>
      <c r="W21" s="738"/>
    </row>
    <row r="22" spans="1:23" s="747" customFormat="1" x14ac:dyDescent="0.25">
      <c r="A22" s="59"/>
      <c r="B22" s="763" t="s">
        <v>65</v>
      </c>
      <c r="C22" s="762">
        <v>45.386092899999994</v>
      </c>
      <c r="D22" s="762">
        <v>99.645070010000012</v>
      </c>
      <c r="E22" s="762">
        <v>45.260953319999999</v>
      </c>
      <c r="F22" s="762">
        <v>19.114103077679328</v>
      </c>
      <c r="G22" s="762">
        <v>20.629486459999999</v>
      </c>
      <c r="H22" s="762">
        <v>83.306204228176497</v>
      </c>
      <c r="I22" s="762">
        <v>45.45431108199999</v>
      </c>
      <c r="J22" s="762">
        <v>99.692433649999998</v>
      </c>
      <c r="K22" s="762">
        <v>48.19393479</v>
      </c>
      <c r="L22" s="762">
        <v>19.180770592589219</v>
      </c>
      <c r="M22" s="762">
        <v>21.633068208000001</v>
      </c>
      <c r="N22" s="762">
        <v>83.089455145783916</v>
      </c>
      <c r="O22" s="762">
        <f t="shared" si="3"/>
        <v>630.58588346422903</v>
      </c>
      <c r="P22" s="1229"/>
      <c r="R22" s="738"/>
      <c r="S22" s="738"/>
      <c r="T22" s="738"/>
      <c r="U22" s="738"/>
      <c r="V22" s="738"/>
      <c r="W22" s="738"/>
    </row>
    <row r="23" spans="1:23" s="747" customFormat="1" x14ac:dyDescent="0.25">
      <c r="A23" s="59"/>
      <c r="B23" s="764" t="s">
        <v>68</v>
      </c>
      <c r="C23" s="765">
        <f t="shared" ref="C23:M23" si="6">+C24+C26</f>
        <v>0.92586266040632403</v>
      </c>
      <c r="D23" s="765">
        <f t="shared" si="6"/>
        <v>2.5727904237983319</v>
      </c>
      <c r="E23" s="765">
        <f t="shared" si="6"/>
        <v>1.3621401830985915E-2</v>
      </c>
      <c r="F23" s="765">
        <f t="shared" si="6"/>
        <v>5.1787597819439473</v>
      </c>
      <c r="G23" s="765">
        <f t="shared" si="6"/>
        <v>24.682977666655493</v>
      </c>
      <c r="H23" s="765">
        <f t="shared" si="6"/>
        <v>0.66246742394221003</v>
      </c>
      <c r="I23" s="765">
        <f t="shared" si="6"/>
        <v>0.92636180778689614</v>
      </c>
      <c r="J23" s="765">
        <f t="shared" si="6"/>
        <v>2.573269092122711</v>
      </c>
      <c r="K23" s="765">
        <f t="shared" si="6"/>
        <v>1.4007451099172353E-2</v>
      </c>
      <c r="L23" s="765">
        <f t="shared" si="6"/>
        <v>5.1792604521559413</v>
      </c>
      <c r="M23" s="765">
        <f t="shared" si="6"/>
        <v>24.683436685071349</v>
      </c>
      <c r="N23" s="765">
        <f t="shared" ref="N23" si="7">+N24+N26</f>
        <v>2093.120390272396</v>
      </c>
      <c r="O23" s="765">
        <f t="shared" si="3"/>
        <v>2160.5332051192095</v>
      </c>
      <c r="P23" s="738"/>
      <c r="Q23" s="738"/>
      <c r="R23" s="738"/>
      <c r="S23" s="738"/>
      <c r="T23" s="738"/>
      <c r="U23" s="738"/>
      <c r="V23" s="738"/>
      <c r="W23" s="738"/>
    </row>
    <row r="24" spans="1:23" s="767" customFormat="1" x14ac:dyDescent="0.25">
      <c r="A24" s="59"/>
      <c r="B24" s="758" t="s">
        <v>71</v>
      </c>
      <c r="C24" s="766">
        <f t="shared" ref="C24:M24" si="8">+C25</f>
        <v>0</v>
      </c>
      <c r="D24" s="766">
        <f t="shared" si="8"/>
        <v>0</v>
      </c>
      <c r="E24" s="766">
        <f t="shared" si="8"/>
        <v>0</v>
      </c>
      <c r="F24" s="766">
        <f t="shared" si="8"/>
        <v>0</v>
      </c>
      <c r="G24" s="766">
        <f t="shared" si="8"/>
        <v>0</v>
      </c>
      <c r="H24" s="766">
        <f t="shared" si="8"/>
        <v>0</v>
      </c>
      <c r="I24" s="766">
        <f t="shared" si="8"/>
        <v>0</v>
      </c>
      <c r="J24" s="766">
        <f t="shared" si="8"/>
        <v>0</v>
      </c>
      <c r="K24" s="766">
        <f t="shared" si="8"/>
        <v>0</v>
      </c>
      <c r="L24" s="766">
        <f t="shared" si="8"/>
        <v>0</v>
      </c>
      <c r="M24" s="766">
        <f t="shared" si="8"/>
        <v>0</v>
      </c>
      <c r="N24" s="766">
        <f t="shared" ref="N24" si="9">+N25</f>
        <v>2092.4574209245739</v>
      </c>
      <c r="O24" s="766">
        <f t="shared" si="3"/>
        <v>2092.4574209245739</v>
      </c>
      <c r="P24" s="738"/>
      <c r="Q24" s="738"/>
      <c r="R24" s="738"/>
      <c r="S24" s="738"/>
      <c r="T24" s="738"/>
      <c r="U24" s="738"/>
      <c r="V24" s="738"/>
      <c r="W24" s="738"/>
    </row>
    <row r="25" spans="1:23" s="767" customFormat="1" x14ac:dyDescent="0.25">
      <c r="A25" s="59"/>
      <c r="B25" s="768" t="s">
        <v>599</v>
      </c>
      <c r="C25" s="762">
        <v>0</v>
      </c>
      <c r="D25" s="762">
        <v>0</v>
      </c>
      <c r="E25" s="762">
        <v>0</v>
      </c>
      <c r="F25" s="762">
        <v>0</v>
      </c>
      <c r="G25" s="762">
        <v>0</v>
      </c>
      <c r="H25" s="762">
        <v>0</v>
      </c>
      <c r="I25" s="762">
        <v>0</v>
      </c>
      <c r="J25" s="762">
        <v>0</v>
      </c>
      <c r="K25" s="762">
        <v>0</v>
      </c>
      <c r="L25" s="762">
        <v>0</v>
      </c>
      <c r="M25" s="762">
        <v>0</v>
      </c>
      <c r="N25" s="762">
        <v>2092.4574209245739</v>
      </c>
      <c r="O25" s="762">
        <f t="shared" si="3"/>
        <v>2092.4574209245739</v>
      </c>
      <c r="P25" s="738"/>
      <c r="Q25" s="738"/>
      <c r="R25" s="738"/>
      <c r="S25" s="738"/>
      <c r="T25" s="738"/>
      <c r="U25" s="738"/>
      <c r="V25" s="738"/>
      <c r="W25" s="738"/>
    </row>
    <row r="26" spans="1:23" s="747" customFormat="1" x14ac:dyDescent="0.25">
      <c r="A26" s="59"/>
      <c r="B26" s="758" t="s">
        <v>69</v>
      </c>
      <c r="C26" s="766">
        <f t="shared" ref="C26:M26" si="10">+C27</f>
        <v>0.92586266040632403</v>
      </c>
      <c r="D26" s="766">
        <f t="shared" si="10"/>
        <v>2.5727904237983319</v>
      </c>
      <c r="E26" s="766">
        <f t="shared" si="10"/>
        <v>1.3621401830985915E-2</v>
      </c>
      <c r="F26" s="766">
        <f t="shared" si="10"/>
        <v>5.1787597819439473</v>
      </c>
      <c r="G26" s="766">
        <f t="shared" si="10"/>
        <v>24.682977666655493</v>
      </c>
      <c r="H26" s="766">
        <f t="shared" si="10"/>
        <v>0.66246742394221003</v>
      </c>
      <c r="I26" s="766">
        <f t="shared" si="10"/>
        <v>0.92636180778689614</v>
      </c>
      <c r="J26" s="766">
        <f t="shared" si="10"/>
        <v>2.573269092122711</v>
      </c>
      <c r="K26" s="766">
        <f t="shared" si="10"/>
        <v>1.4007451099172353E-2</v>
      </c>
      <c r="L26" s="766">
        <f t="shared" si="10"/>
        <v>5.1792604521559413</v>
      </c>
      <c r="M26" s="766">
        <f t="shared" si="10"/>
        <v>24.683436685071349</v>
      </c>
      <c r="N26" s="766">
        <f t="shared" ref="N26" si="11">+N27</f>
        <v>0.66296934782198347</v>
      </c>
      <c r="O26" s="766">
        <f t="shared" si="3"/>
        <v>68.075784194635361</v>
      </c>
      <c r="P26" s="738"/>
      <c r="Q26" s="738"/>
      <c r="R26" s="738"/>
      <c r="S26" s="738"/>
      <c r="T26" s="738"/>
      <c r="U26" s="738"/>
      <c r="V26" s="738"/>
      <c r="W26" s="738"/>
    </row>
    <row r="27" spans="1:23" s="747" customFormat="1" x14ac:dyDescent="0.25">
      <c r="A27" s="59"/>
      <c r="B27" s="768" t="s">
        <v>98</v>
      </c>
      <c r="C27" s="762">
        <v>0.92586266040632403</v>
      </c>
      <c r="D27" s="762">
        <v>2.5727904237983319</v>
      </c>
      <c r="E27" s="762">
        <v>1.3621401830985915E-2</v>
      </c>
      <c r="F27" s="762">
        <v>5.1787597819439473</v>
      </c>
      <c r="G27" s="762">
        <v>24.682977666655493</v>
      </c>
      <c r="H27" s="762">
        <v>0.66246742394221003</v>
      </c>
      <c r="I27" s="762">
        <v>0.92636180778689614</v>
      </c>
      <c r="J27" s="762">
        <v>2.573269092122711</v>
      </c>
      <c r="K27" s="762">
        <v>1.4007451099172353E-2</v>
      </c>
      <c r="L27" s="762">
        <v>5.1792604521559413</v>
      </c>
      <c r="M27" s="762">
        <v>24.683436685071349</v>
      </c>
      <c r="N27" s="762">
        <v>0.66296934782198347</v>
      </c>
      <c r="O27" s="762">
        <f t="shared" si="3"/>
        <v>68.075784194635361</v>
      </c>
      <c r="P27" s="738"/>
      <c r="Q27" s="738"/>
      <c r="R27" s="738"/>
      <c r="S27" s="738"/>
      <c r="T27" s="738"/>
      <c r="U27" s="738"/>
      <c r="V27" s="738"/>
      <c r="W27" s="738"/>
    </row>
    <row r="28" spans="1:23" s="747" customFormat="1" x14ac:dyDescent="0.25">
      <c r="A28" s="59"/>
      <c r="B28" s="764" t="s">
        <v>909</v>
      </c>
      <c r="C28" s="765">
        <f>+C29</f>
        <v>0</v>
      </c>
      <c r="D28" s="765">
        <f t="shared" ref="D28:N29" si="12">+D29</f>
        <v>0</v>
      </c>
      <c r="E28" s="765">
        <f t="shared" si="12"/>
        <v>827.25060827250604</v>
      </c>
      <c r="F28" s="765">
        <f t="shared" si="12"/>
        <v>0</v>
      </c>
      <c r="G28" s="765">
        <f t="shared" si="12"/>
        <v>0</v>
      </c>
      <c r="H28" s="765">
        <f t="shared" si="12"/>
        <v>0</v>
      </c>
      <c r="I28" s="765">
        <f t="shared" si="12"/>
        <v>0</v>
      </c>
      <c r="J28" s="765">
        <f t="shared" si="12"/>
        <v>0</v>
      </c>
      <c r="K28" s="765">
        <f t="shared" si="12"/>
        <v>0</v>
      </c>
      <c r="L28" s="765">
        <f t="shared" si="12"/>
        <v>0</v>
      </c>
      <c r="M28" s="765">
        <f t="shared" si="12"/>
        <v>0</v>
      </c>
      <c r="N28" s="765">
        <f t="shared" si="12"/>
        <v>0</v>
      </c>
      <c r="O28" s="765">
        <f t="shared" si="3"/>
        <v>827.25060827250604</v>
      </c>
      <c r="P28" s="738"/>
      <c r="Q28" s="738"/>
      <c r="R28" s="738"/>
      <c r="S28" s="738"/>
      <c r="T28" s="738"/>
      <c r="U28" s="738"/>
      <c r="V28" s="738"/>
      <c r="W28" s="738"/>
    </row>
    <row r="29" spans="1:23" s="747" customFormat="1" x14ac:dyDescent="0.25">
      <c r="A29" s="59"/>
      <c r="B29" s="758" t="s">
        <v>910</v>
      </c>
      <c r="C29" s="766">
        <f>+C30</f>
        <v>0</v>
      </c>
      <c r="D29" s="766">
        <f t="shared" si="12"/>
        <v>0</v>
      </c>
      <c r="E29" s="766">
        <f t="shared" si="12"/>
        <v>827.25060827250604</v>
      </c>
      <c r="F29" s="766">
        <f t="shared" si="12"/>
        <v>0</v>
      </c>
      <c r="G29" s="766">
        <f t="shared" si="12"/>
        <v>0</v>
      </c>
      <c r="H29" s="766">
        <f t="shared" si="12"/>
        <v>0</v>
      </c>
      <c r="I29" s="766">
        <f t="shared" si="12"/>
        <v>0</v>
      </c>
      <c r="J29" s="766">
        <f t="shared" si="12"/>
        <v>0</v>
      </c>
      <c r="K29" s="766">
        <f t="shared" si="12"/>
        <v>0</v>
      </c>
      <c r="L29" s="766">
        <f t="shared" si="12"/>
        <v>0</v>
      </c>
      <c r="M29" s="766">
        <f t="shared" si="12"/>
        <v>0</v>
      </c>
      <c r="N29" s="766">
        <f t="shared" si="12"/>
        <v>0</v>
      </c>
      <c r="O29" s="766">
        <f t="shared" si="3"/>
        <v>827.25060827250604</v>
      </c>
      <c r="P29" s="738"/>
      <c r="Q29" s="738"/>
      <c r="R29" s="738"/>
      <c r="S29" s="738"/>
      <c r="T29" s="738"/>
      <c r="U29" s="738"/>
      <c r="V29" s="738"/>
      <c r="W29" s="738"/>
    </row>
    <row r="30" spans="1:23" s="747" customFormat="1" x14ac:dyDescent="0.25">
      <c r="A30" s="59"/>
      <c r="B30" s="768" t="s">
        <v>911</v>
      </c>
      <c r="C30" s="762">
        <v>0</v>
      </c>
      <c r="D30" s="762">
        <v>0</v>
      </c>
      <c r="E30" s="762">
        <v>827.25060827250604</v>
      </c>
      <c r="F30" s="762">
        <v>0</v>
      </c>
      <c r="G30" s="762">
        <v>0</v>
      </c>
      <c r="H30" s="762">
        <v>0</v>
      </c>
      <c r="I30" s="762">
        <v>0</v>
      </c>
      <c r="J30" s="762">
        <v>0</v>
      </c>
      <c r="K30" s="762">
        <v>0</v>
      </c>
      <c r="L30" s="762">
        <v>0</v>
      </c>
      <c r="M30" s="762">
        <v>0</v>
      </c>
      <c r="N30" s="762">
        <v>0</v>
      </c>
      <c r="O30" s="762">
        <f t="shared" si="3"/>
        <v>827.25060827250604</v>
      </c>
      <c r="P30" s="738"/>
      <c r="Q30" s="738"/>
      <c r="R30" s="738"/>
      <c r="S30" s="738"/>
      <c r="T30" s="738"/>
      <c r="U30" s="738"/>
      <c r="V30" s="738"/>
      <c r="W30" s="738"/>
    </row>
    <row r="31" spans="1:23" s="59" customFormat="1" x14ac:dyDescent="0.25">
      <c r="B31" s="764" t="s">
        <v>70</v>
      </c>
      <c r="C31" s="772">
        <v>170.02745220999998</v>
      </c>
      <c r="D31" s="772">
        <v>189.87184674227382</v>
      </c>
      <c r="E31" s="772">
        <v>0.12129997000000001</v>
      </c>
      <c r="F31" s="772">
        <v>4.5101276435694011</v>
      </c>
      <c r="G31" s="772">
        <v>1531.6782639325038</v>
      </c>
      <c r="H31" s="772">
        <v>0.42075657</v>
      </c>
      <c r="I31" s="772">
        <v>170.02745289999999</v>
      </c>
      <c r="J31" s="772">
        <v>0.18579546098132113</v>
      </c>
      <c r="K31" s="772">
        <v>0.12129997000000001</v>
      </c>
      <c r="L31" s="772">
        <v>4.5101276435694011</v>
      </c>
      <c r="M31" s="772">
        <v>7.3004243908898161</v>
      </c>
      <c r="N31" s="772">
        <v>1.1095980215971353</v>
      </c>
      <c r="O31" s="773">
        <f t="shared" si="3"/>
        <v>2079.884445455385</v>
      </c>
      <c r="P31" s="738"/>
      <c r="Q31" s="738"/>
      <c r="R31" s="738"/>
      <c r="S31" s="738"/>
      <c r="T31" s="738"/>
      <c r="U31" s="738"/>
      <c r="V31" s="738"/>
      <c r="W31" s="738"/>
    </row>
    <row r="32" spans="1:23" s="767" customFormat="1" x14ac:dyDescent="0.25">
      <c r="A32" s="59"/>
      <c r="B32" s="774" t="s">
        <v>677</v>
      </c>
      <c r="C32" s="766">
        <f t="shared" ref="C32:M32" si="13">+C33+C34</f>
        <v>33.231049514817514</v>
      </c>
      <c r="D32" s="766">
        <f t="shared" si="13"/>
        <v>8.2668028731873466</v>
      </c>
      <c r="E32" s="766">
        <f t="shared" si="13"/>
        <v>12.447513422092458</v>
      </c>
      <c r="F32" s="766">
        <f t="shared" si="13"/>
        <v>8.7097924826763986</v>
      </c>
      <c r="G32" s="766">
        <f t="shared" si="13"/>
        <v>6.6913431726520685</v>
      </c>
      <c r="H32" s="766">
        <f t="shared" si="13"/>
        <v>17.254671458775316</v>
      </c>
      <c r="I32" s="766">
        <f t="shared" si="13"/>
        <v>11.094814085571777</v>
      </c>
      <c r="J32" s="766">
        <f t="shared" si="13"/>
        <v>11.664555324593675</v>
      </c>
      <c r="K32" s="766">
        <f t="shared" si="13"/>
        <v>146.76290026287106</v>
      </c>
      <c r="L32" s="766">
        <f t="shared" si="13"/>
        <v>11.301290859367397</v>
      </c>
      <c r="M32" s="766">
        <f t="shared" si="13"/>
        <v>12.033152839148418</v>
      </c>
      <c r="N32" s="766">
        <f t="shared" ref="N32" si="14">+N33+N34</f>
        <v>24.677861660145989</v>
      </c>
      <c r="O32" s="766">
        <f t="shared" si="3"/>
        <v>304.13574795589943</v>
      </c>
      <c r="P32" s="738"/>
      <c r="Q32" s="738"/>
      <c r="R32" s="738"/>
      <c r="S32" s="738"/>
      <c r="T32" s="738"/>
      <c r="U32" s="738"/>
      <c r="V32" s="738"/>
      <c r="W32" s="738"/>
    </row>
    <row r="33" spans="1:23" s="747" customFormat="1" x14ac:dyDescent="0.25">
      <c r="A33" s="59"/>
      <c r="B33" s="774" t="s">
        <v>71</v>
      </c>
      <c r="C33" s="759">
        <v>0.82147182481751824</v>
      </c>
      <c r="D33" s="759">
        <v>0.82969079318734795</v>
      </c>
      <c r="E33" s="759">
        <v>0.83735374209245739</v>
      </c>
      <c r="F33" s="759">
        <v>0.84705990267639908</v>
      </c>
      <c r="G33" s="759">
        <v>0.85694681265206818</v>
      </c>
      <c r="H33" s="759">
        <v>0.86920257907542586</v>
      </c>
      <c r="I33" s="759">
        <v>0.88148561557177618</v>
      </c>
      <c r="J33" s="759">
        <v>0.89431767396593675</v>
      </c>
      <c r="K33" s="759">
        <v>0.9015446228710462</v>
      </c>
      <c r="L33" s="759">
        <v>0.86368365936739655</v>
      </c>
      <c r="M33" s="759">
        <v>0.81482584914841849</v>
      </c>
      <c r="N33" s="759">
        <v>0.8034665401459854</v>
      </c>
      <c r="O33" s="759">
        <f t="shared" si="3"/>
        <v>10.221049615571776</v>
      </c>
      <c r="P33" s="738"/>
      <c r="Q33" s="738"/>
      <c r="R33" s="738"/>
      <c r="S33" s="738"/>
      <c r="T33" s="738"/>
      <c r="U33" s="738"/>
      <c r="V33" s="738"/>
      <c r="W33" s="738"/>
    </row>
    <row r="34" spans="1:23" s="747" customFormat="1" x14ac:dyDescent="0.25">
      <c r="A34" s="59"/>
      <c r="B34" s="775" t="s">
        <v>69</v>
      </c>
      <c r="C34" s="776">
        <v>32.409577689999992</v>
      </c>
      <c r="D34" s="776">
        <v>7.4371120799999995</v>
      </c>
      <c r="E34" s="776">
        <v>11.610159680000001</v>
      </c>
      <c r="F34" s="776">
        <v>7.8627325800000003</v>
      </c>
      <c r="G34" s="776">
        <v>5.8343963600000004</v>
      </c>
      <c r="H34" s="776">
        <v>16.385468879699889</v>
      </c>
      <c r="I34" s="776">
        <v>10.21332847</v>
      </c>
      <c r="J34" s="776">
        <v>10.770237650627738</v>
      </c>
      <c r="K34" s="776">
        <v>145.86135564</v>
      </c>
      <c r="L34" s="776">
        <v>10.4376072</v>
      </c>
      <c r="M34" s="776">
        <v>11.21832699</v>
      </c>
      <c r="N34" s="776">
        <v>23.874395120000003</v>
      </c>
      <c r="O34" s="776">
        <f t="shared" si="3"/>
        <v>293.91469834032762</v>
      </c>
      <c r="P34" s="738"/>
      <c r="Q34" s="738"/>
      <c r="R34" s="738"/>
      <c r="S34" s="738"/>
      <c r="T34" s="738"/>
      <c r="U34" s="738"/>
      <c r="V34" s="738"/>
      <c r="W34" s="738"/>
    </row>
    <row r="35" spans="1:23" ht="15" thickBot="1" x14ac:dyDescent="0.3">
      <c r="B35" s="777"/>
      <c r="C35" s="778"/>
      <c r="D35" s="778"/>
      <c r="E35" s="778"/>
      <c r="F35" s="778"/>
      <c r="G35" s="778"/>
      <c r="H35" s="778"/>
      <c r="I35" s="778"/>
      <c r="J35" s="778"/>
      <c r="K35" s="778"/>
      <c r="L35" s="778"/>
      <c r="M35" s="778"/>
      <c r="N35" s="778"/>
      <c r="O35" s="778"/>
      <c r="P35" s="738"/>
      <c r="Q35" s="738"/>
      <c r="R35" s="738"/>
      <c r="S35" s="738"/>
      <c r="T35" s="738"/>
      <c r="U35" s="738"/>
      <c r="V35" s="738"/>
      <c r="W35" s="738"/>
    </row>
    <row r="36" spans="1:23" s="747" customFormat="1" ht="15" thickBot="1" x14ac:dyDescent="0.3">
      <c r="A36" s="59"/>
      <c r="B36" s="779" t="s">
        <v>235</v>
      </c>
      <c r="C36" s="755">
        <v>0</v>
      </c>
      <c r="D36" s="755">
        <v>389.29440389294405</v>
      </c>
      <c r="E36" s="755">
        <v>1415.273418871046</v>
      </c>
      <c r="F36" s="755">
        <v>1016.0583941605839</v>
      </c>
      <c r="G36" s="755">
        <v>220.43795620437956</v>
      </c>
      <c r="H36" s="755">
        <v>396.10705596107056</v>
      </c>
      <c r="I36" s="755">
        <v>1304.1362530413626</v>
      </c>
      <c r="J36" s="755">
        <v>0</v>
      </c>
      <c r="K36" s="755">
        <v>271.33819951338194</v>
      </c>
      <c r="L36" s="755">
        <v>3990.2676399026764</v>
      </c>
      <c r="M36" s="755">
        <v>1265.206812652068</v>
      </c>
      <c r="N36" s="755">
        <v>6180.048661800487</v>
      </c>
      <c r="O36" s="780">
        <f>+SUM(C36:N36)</f>
        <v>16448.168795999998</v>
      </c>
      <c r="P36" s="738"/>
      <c r="Q36" s="738"/>
      <c r="R36" s="738"/>
      <c r="S36" s="738"/>
      <c r="T36" s="738"/>
      <c r="U36" s="738"/>
      <c r="V36" s="738"/>
      <c r="W36" s="738"/>
    </row>
    <row r="37" spans="1:23" ht="15" thickBot="1" x14ac:dyDescent="0.3">
      <c r="B37" s="290"/>
      <c r="C37" s="781"/>
      <c r="D37" s="781"/>
      <c r="E37" s="781"/>
      <c r="F37" s="781"/>
      <c r="G37" s="781"/>
      <c r="H37" s="781"/>
      <c r="I37" s="781"/>
      <c r="J37" s="781"/>
      <c r="K37" s="781"/>
      <c r="L37" s="781"/>
      <c r="M37" s="781"/>
      <c r="N37" s="781"/>
      <c r="O37" s="781"/>
      <c r="P37" s="738"/>
      <c r="Q37" s="738"/>
      <c r="R37" s="738"/>
      <c r="S37" s="738"/>
      <c r="T37" s="738"/>
      <c r="U37" s="738"/>
      <c r="V37" s="738"/>
      <c r="W37" s="738"/>
    </row>
    <row r="38" spans="1:23" s="747" customFormat="1" ht="15" thickBot="1" x14ac:dyDescent="0.3">
      <c r="A38" s="59"/>
      <c r="B38" s="754" t="s">
        <v>302</v>
      </c>
      <c r="C38" s="755">
        <f t="shared" ref="C38:N38" si="15">SUM(C39:C62)+C65</f>
        <v>5148.3890016580381</v>
      </c>
      <c r="D38" s="755">
        <f t="shared" si="15"/>
        <v>3967.9608323766247</v>
      </c>
      <c r="E38" s="755">
        <f t="shared" si="15"/>
        <v>8790.208397064207</v>
      </c>
      <c r="F38" s="755">
        <f t="shared" si="15"/>
        <v>10988.481390218656</v>
      </c>
      <c r="G38" s="755">
        <f t="shared" si="15"/>
        <v>5901.7978011213381</v>
      </c>
      <c r="H38" s="755">
        <f t="shared" si="15"/>
        <v>4670.6320187693636</v>
      </c>
      <c r="I38" s="755">
        <f t="shared" si="15"/>
        <v>1795.259502186186</v>
      </c>
      <c r="J38" s="755">
        <f t="shared" si="15"/>
        <v>815.37292780925543</v>
      </c>
      <c r="K38" s="755">
        <f t="shared" si="15"/>
        <v>6576.9841885840779</v>
      </c>
      <c r="L38" s="755">
        <f t="shared" si="15"/>
        <v>112.53183472770544</v>
      </c>
      <c r="M38" s="755">
        <f t="shared" si="15"/>
        <v>2706.9940341897723</v>
      </c>
      <c r="N38" s="755">
        <f t="shared" si="15"/>
        <v>354.3154674969511</v>
      </c>
      <c r="O38" s="780">
        <f t="shared" ref="O38:O75" si="16">+SUM(C38:N38)</f>
        <v>51828.927396202183</v>
      </c>
      <c r="P38" s="978">
        <f>+O38-A.3.7!C42</f>
        <v>0</v>
      </c>
      <c r="Q38" s="738"/>
      <c r="R38" s="738"/>
      <c r="S38" s="738"/>
      <c r="T38" s="738"/>
      <c r="U38" s="738"/>
      <c r="V38" s="738"/>
      <c r="W38" s="738"/>
    </row>
    <row r="39" spans="1:23" s="747" customFormat="1" x14ac:dyDescent="0.25">
      <c r="A39" s="59"/>
      <c r="B39" s="782" t="s">
        <v>592</v>
      </c>
      <c r="C39" s="783">
        <v>3.177801816836983</v>
      </c>
      <c r="D39" s="783">
        <v>3.3215243128953769</v>
      </c>
      <c r="E39" s="783">
        <v>3.1519068543065689</v>
      </c>
      <c r="F39" s="783">
        <v>3.2319101632116785</v>
      </c>
      <c r="G39" s="783">
        <v>3.2500294351338201</v>
      </c>
      <c r="H39" s="783">
        <v>3.2682502903163013</v>
      </c>
      <c r="I39" s="783">
        <v>3.2865732982968368</v>
      </c>
      <c r="J39" s="783">
        <v>3.3049990317274935</v>
      </c>
      <c r="K39" s="783">
        <v>3.323528066569343</v>
      </c>
      <c r="L39" s="783">
        <v>3.3421609819951339</v>
      </c>
      <c r="M39" s="783">
        <v>3.3608983603892941</v>
      </c>
      <c r="N39" s="783">
        <v>3.3797407873479313</v>
      </c>
      <c r="O39" s="783">
        <f t="shared" si="16"/>
        <v>39.399323399026763</v>
      </c>
      <c r="P39" s="738"/>
      <c r="Q39" s="738"/>
      <c r="R39" s="738"/>
      <c r="S39" s="738"/>
      <c r="T39" s="738"/>
      <c r="U39" s="738"/>
      <c r="V39" s="738"/>
      <c r="W39" s="738"/>
    </row>
    <row r="40" spans="1:23" s="747" customFormat="1" x14ac:dyDescent="0.25">
      <c r="A40" s="59"/>
      <c r="B40" s="784" t="s">
        <v>557</v>
      </c>
      <c r="C40" s="783">
        <v>0</v>
      </c>
      <c r="D40" s="783">
        <v>0</v>
      </c>
      <c r="E40" s="783">
        <v>0</v>
      </c>
      <c r="F40" s="783">
        <v>675.52479645742096</v>
      </c>
      <c r="G40" s="783">
        <v>0</v>
      </c>
      <c r="H40" s="783">
        <v>0</v>
      </c>
      <c r="I40" s="783">
        <v>0</v>
      </c>
      <c r="J40" s="783">
        <v>0</v>
      </c>
      <c r="K40" s="783">
        <v>0</v>
      </c>
      <c r="L40" s="783">
        <v>0</v>
      </c>
      <c r="M40" s="783">
        <v>0</v>
      </c>
      <c r="N40" s="783">
        <v>0</v>
      </c>
      <c r="O40" s="783">
        <f t="shared" si="16"/>
        <v>675.52479645742096</v>
      </c>
      <c r="P40" s="738"/>
      <c r="Q40" s="738"/>
      <c r="R40" s="738"/>
      <c r="S40" s="738"/>
      <c r="T40" s="738"/>
      <c r="U40" s="738"/>
      <c r="V40" s="738"/>
      <c r="W40" s="738"/>
    </row>
    <row r="41" spans="1:23" s="747" customFormat="1" x14ac:dyDescent="0.25">
      <c r="A41" s="59"/>
      <c r="B41" s="784" t="s">
        <v>802</v>
      </c>
      <c r="C41" s="783">
        <v>0</v>
      </c>
      <c r="D41" s="783">
        <v>0</v>
      </c>
      <c r="E41" s="783">
        <v>0</v>
      </c>
      <c r="F41" s="783">
        <v>0.73906899999999998</v>
      </c>
      <c r="G41" s="783">
        <v>0</v>
      </c>
      <c r="H41" s="783">
        <v>0</v>
      </c>
      <c r="I41" s="783">
        <v>0</v>
      </c>
      <c r="J41" s="783">
        <v>0</v>
      </c>
      <c r="K41" s="783">
        <v>0</v>
      </c>
      <c r="L41" s="783">
        <v>0</v>
      </c>
      <c r="M41" s="783">
        <v>0</v>
      </c>
      <c r="N41" s="783">
        <v>0</v>
      </c>
      <c r="O41" s="783">
        <f t="shared" si="16"/>
        <v>0.73906899999999998</v>
      </c>
      <c r="P41" s="738"/>
      <c r="Q41" s="738"/>
      <c r="R41" s="738"/>
      <c r="S41" s="738"/>
      <c r="T41" s="738"/>
      <c r="U41" s="738"/>
      <c r="V41" s="738"/>
      <c r="W41" s="738"/>
    </row>
    <row r="42" spans="1:23" s="747" customFormat="1" x14ac:dyDescent="0.25">
      <c r="A42" s="59"/>
      <c r="B42" s="784" t="s">
        <v>743</v>
      </c>
      <c r="C42" s="783">
        <v>0</v>
      </c>
      <c r="D42" s="783">
        <v>0</v>
      </c>
      <c r="E42" s="783">
        <v>0</v>
      </c>
      <c r="F42" s="783">
        <v>0</v>
      </c>
      <c r="G42" s="783">
        <v>0</v>
      </c>
      <c r="H42" s="783">
        <v>0</v>
      </c>
      <c r="I42" s="783">
        <v>0</v>
      </c>
      <c r="J42" s="783">
        <v>0</v>
      </c>
      <c r="K42" s="783">
        <v>0</v>
      </c>
      <c r="L42" s="783">
        <v>0</v>
      </c>
      <c r="M42" s="783">
        <v>0</v>
      </c>
      <c r="N42" s="783">
        <v>0</v>
      </c>
      <c r="O42" s="783">
        <f t="shared" si="16"/>
        <v>0</v>
      </c>
      <c r="P42" s="738"/>
      <c r="Q42" s="738"/>
      <c r="R42" s="738"/>
      <c r="S42" s="738"/>
      <c r="T42" s="738"/>
      <c r="U42" s="738"/>
      <c r="V42" s="738"/>
      <c r="W42" s="738"/>
    </row>
    <row r="43" spans="1:23" s="747" customFormat="1" x14ac:dyDescent="0.25">
      <c r="A43" s="59"/>
      <c r="B43" s="784" t="s">
        <v>497</v>
      </c>
      <c r="C43" s="783">
        <v>0</v>
      </c>
      <c r="D43" s="783">
        <v>0</v>
      </c>
      <c r="E43" s="783">
        <v>0</v>
      </c>
      <c r="F43" s="783">
        <v>0</v>
      </c>
      <c r="G43" s="783">
        <v>0</v>
      </c>
      <c r="H43" s="783">
        <v>0</v>
      </c>
      <c r="I43" s="783">
        <v>0</v>
      </c>
      <c r="J43" s="783">
        <v>0</v>
      </c>
      <c r="K43" s="783">
        <v>0</v>
      </c>
      <c r="L43" s="783">
        <v>0</v>
      </c>
      <c r="M43" s="783">
        <v>0</v>
      </c>
      <c r="N43" s="783">
        <v>0</v>
      </c>
      <c r="O43" s="783">
        <f t="shared" si="16"/>
        <v>0</v>
      </c>
      <c r="P43" s="738"/>
      <c r="Q43" s="738"/>
      <c r="R43" s="738"/>
      <c r="S43" s="738"/>
      <c r="T43" s="738"/>
      <c r="U43" s="738"/>
      <c r="V43" s="738"/>
      <c r="W43" s="738"/>
    </row>
    <row r="44" spans="1:23" s="747" customFormat="1" x14ac:dyDescent="0.25">
      <c r="A44" s="59"/>
      <c r="B44" s="784" t="s">
        <v>742</v>
      </c>
      <c r="C44" s="783">
        <v>0</v>
      </c>
      <c r="D44" s="783">
        <v>0</v>
      </c>
      <c r="E44" s="783">
        <v>0</v>
      </c>
      <c r="F44" s="783">
        <v>7.9244300000000001</v>
      </c>
      <c r="G44" s="783">
        <v>0</v>
      </c>
      <c r="H44" s="783">
        <v>0</v>
      </c>
      <c r="I44" s="783">
        <v>0</v>
      </c>
      <c r="J44" s="783">
        <v>0</v>
      </c>
      <c r="K44" s="783">
        <v>0</v>
      </c>
      <c r="L44" s="783">
        <v>0</v>
      </c>
      <c r="M44" s="783">
        <v>0</v>
      </c>
      <c r="N44" s="783">
        <v>0</v>
      </c>
      <c r="O44" s="783">
        <f t="shared" si="16"/>
        <v>7.9244300000000001</v>
      </c>
      <c r="P44" s="738"/>
      <c r="Q44" s="738"/>
      <c r="R44" s="738"/>
      <c r="S44" s="738"/>
      <c r="T44" s="738"/>
      <c r="U44" s="738"/>
      <c r="V44" s="738"/>
      <c r="W44" s="738"/>
    </row>
    <row r="45" spans="1:23" s="747" customFormat="1" x14ac:dyDescent="0.25">
      <c r="A45" s="59"/>
      <c r="B45" s="784" t="s">
        <v>559</v>
      </c>
      <c r="C45" s="783">
        <v>0</v>
      </c>
      <c r="D45" s="783">
        <v>0</v>
      </c>
      <c r="E45" s="783">
        <v>0</v>
      </c>
      <c r="F45" s="783">
        <v>10.409318599999999</v>
      </c>
      <c r="G45" s="783">
        <v>5.2046592999999994</v>
      </c>
      <c r="H45" s="783">
        <v>0</v>
      </c>
      <c r="I45" s="783">
        <v>0</v>
      </c>
      <c r="J45" s="783">
        <v>0</v>
      </c>
      <c r="K45" s="783">
        <v>0</v>
      </c>
      <c r="L45" s="783">
        <v>0</v>
      </c>
      <c r="M45" s="783">
        <v>0</v>
      </c>
      <c r="N45" s="783">
        <v>0</v>
      </c>
      <c r="O45" s="783">
        <f t="shared" si="16"/>
        <v>15.613977899999998</v>
      </c>
      <c r="P45" s="738"/>
      <c r="Q45" s="738"/>
      <c r="R45" s="738"/>
      <c r="S45" s="738"/>
      <c r="T45" s="738"/>
      <c r="U45" s="738"/>
      <c r="V45" s="738"/>
      <c r="W45" s="738"/>
    </row>
    <row r="46" spans="1:23" s="747" customFormat="1" x14ac:dyDescent="0.25">
      <c r="A46" s="59"/>
      <c r="B46" s="784" t="s">
        <v>697</v>
      </c>
      <c r="C46" s="783">
        <v>0</v>
      </c>
      <c r="D46" s="783">
        <v>0</v>
      </c>
      <c r="E46" s="783">
        <v>4874.2518822559141</v>
      </c>
      <c r="F46" s="783">
        <v>0</v>
      </c>
      <c r="G46" s="783">
        <v>0</v>
      </c>
      <c r="H46" s="783">
        <v>0</v>
      </c>
      <c r="I46" s="783">
        <v>0</v>
      </c>
      <c r="J46" s="783">
        <v>0</v>
      </c>
      <c r="K46" s="783">
        <v>0</v>
      </c>
      <c r="L46" s="783">
        <v>0</v>
      </c>
      <c r="M46" s="783">
        <v>0</v>
      </c>
      <c r="N46" s="783">
        <v>0</v>
      </c>
      <c r="O46" s="783">
        <f t="shared" si="16"/>
        <v>4874.2518822559141</v>
      </c>
      <c r="P46" s="738"/>
      <c r="Q46" s="738"/>
      <c r="R46" s="738"/>
      <c r="S46" s="738"/>
      <c r="T46" s="738"/>
      <c r="U46" s="738"/>
      <c r="V46" s="738"/>
      <c r="W46" s="738"/>
    </row>
    <row r="47" spans="1:23" s="747" customFormat="1" x14ac:dyDescent="0.25">
      <c r="A47" s="59"/>
      <c r="B47" s="784" t="s">
        <v>795</v>
      </c>
      <c r="C47" s="783">
        <v>0</v>
      </c>
      <c r="D47" s="783">
        <v>0</v>
      </c>
      <c r="E47" s="783">
        <v>0</v>
      </c>
      <c r="F47" s="783">
        <v>0</v>
      </c>
      <c r="G47" s="783">
        <v>0</v>
      </c>
      <c r="H47" s="783">
        <v>0</v>
      </c>
      <c r="I47" s="783">
        <v>0</v>
      </c>
      <c r="J47" s="783">
        <v>0</v>
      </c>
      <c r="K47" s="783">
        <v>0</v>
      </c>
      <c r="L47" s="783">
        <v>0</v>
      </c>
      <c r="M47" s="783">
        <v>0</v>
      </c>
      <c r="N47" s="783">
        <v>0</v>
      </c>
      <c r="O47" s="783">
        <f t="shared" si="16"/>
        <v>0</v>
      </c>
      <c r="P47" s="738"/>
      <c r="Q47" s="738"/>
      <c r="R47" s="738"/>
      <c r="S47" s="738"/>
      <c r="T47" s="738"/>
      <c r="U47" s="738"/>
      <c r="V47" s="738"/>
      <c r="W47" s="738"/>
    </row>
    <row r="48" spans="1:23" s="747" customFormat="1" x14ac:dyDescent="0.25">
      <c r="A48" s="59"/>
      <c r="B48" s="784" t="s">
        <v>794</v>
      </c>
      <c r="C48" s="783">
        <v>0</v>
      </c>
      <c r="D48" s="783">
        <v>0</v>
      </c>
      <c r="E48" s="783">
        <v>0</v>
      </c>
      <c r="F48" s="783">
        <v>0</v>
      </c>
      <c r="G48" s="783">
        <v>0</v>
      </c>
      <c r="H48" s="783">
        <v>0</v>
      </c>
      <c r="I48" s="783">
        <v>0</v>
      </c>
      <c r="J48" s="783">
        <v>0</v>
      </c>
      <c r="K48" s="783">
        <v>6443.9926266379052</v>
      </c>
      <c r="L48" s="783">
        <v>0</v>
      </c>
      <c r="M48" s="783">
        <v>0</v>
      </c>
      <c r="N48" s="783">
        <v>0</v>
      </c>
      <c r="O48" s="783">
        <f t="shared" si="16"/>
        <v>6443.9926266379052</v>
      </c>
      <c r="P48" s="738"/>
      <c r="Q48" s="738"/>
      <c r="R48" s="738"/>
      <c r="S48" s="738"/>
      <c r="T48" s="738"/>
      <c r="U48" s="738"/>
      <c r="V48" s="738"/>
      <c r="W48" s="738"/>
    </row>
    <row r="49" spans="1:23" s="747" customFormat="1" x14ac:dyDescent="0.25">
      <c r="A49" s="59"/>
      <c r="B49" s="784" t="s">
        <v>792</v>
      </c>
      <c r="C49" s="783">
        <v>0</v>
      </c>
      <c r="D49" s="783">
        <v>0</v>
      </c>
      <c r="E49" s="783">
        <v>0</v>
      </c>
      <c r="F49" s="783">
        <v>0</v>
      </c>
      <c r="G49" s="783">
        <v>0</v>
      </c>
      <c r="H49" s="783">
        <v>0</v>
      </c>
      <c r="I49" s="783">
        <v>0</v>
      </c>
      <c r="J49" s="783">
        <v>0</v>
      </c>
      <c r="K49" s="783">
        <v>0</v>
      </c>
      <c r="L49" s="783">
        <v>0</v>
      </c>
      <c r="M49" s="783">
        <v>0</v>
      </c>
      <c r="N49" s="783">
        <v>0</v>
      </c>
      <c r="O49" s="783">
        <f t="shared" si="16"/>
        <v>0</v>
      </c>
      <c r="P49" s="738"/>
      <c r="Q49" s="738"/>
      <c r="R49" s="738"/>
      <c r="S49" s="738"/>
      <c r="T49" s="738"/>
      <c r="U49" s="738"/>
      <c r="V49" s="738"/>
      <c r="W49" s="738"/>
    </row>
    <row r="50" spans="1:23" s="747" customFormat="1" x14ac:dyDescent="0.25">
      <c r="A50" s="59"/>
      <c r="B50" s="784" t="s">
        <v>585</v>
      </c>
      <c r="C50" s="783">
        <v>0</v>
      </c>
      <c r="D50" s="783">
        <v>0</v>
      </c>
      <c r="E50" s="783">
        <v>0</v>
      </c>
      <c r="F50" s="783">
        <v>0</v>
      </c>
      <c r="G50" s="783">
        <v>0</v>
      </c>
      <c r="H50" s="783">
        <v>0</v>
      </c>
      <c r="I50" s="783">
        <v>0</v>
      </c>
      <c r="J50" s="783">
        <v>0</v>
      </c>
      <c r="K50" s="783">
        <v>0</v>
      </c>
      <c r="L50" s="783">
        <v>0</v>
      </c>
      <c r="M50" s="783">
        <v>0</v>
      </c>
      <c r="N50" s="783">
        <v>0</v>
      </c>
      <c r="O50" s="783">
        <f t="shared" si="16"/>
        <v>0</v>
      </c>
      <c r="P50" s="738"/>
      <c r="Q50" s="738"/>
      <c r="R50" s="738"/>
      <c r="S50" s="738"/>
      <c r="T50" s="738"/>
      <c r="U50" s="738"/>
      <c r="V50" s="738"/>
      <c r="W50" s="738"/>
    </row>
    <row r="51" spans="1:23" s="747" customFormat="1" x14ac:dyDescent="0.25">
      <c r="A51" s="59"/>
      <c r="B51" s="784" t="s">
        <v>597</v>
      </c>
      <c r="C51" s="783">
        <v>0</v>
      </c>
      <c r="D51" s="783">
        <v>0</v>
      </c>
      <c r="E51" s="783">
        <v>0</v>
      </c>
      <c r="F51" s="783">
        <v>0</v>
      </c>
      <c r="G51" s="783">
        <v>0</v>
      </c>
      <c r="H51" s="783">
        <v>0</v>
      </c>
      <c r="I51" s="783">
        <v>0</v>
      </c>
      <c r="J51" s="783">
        <v>0</v>
      </c>
      <c r="K51" s="783">
        <v>0</v>
      </c>
      <c r="L51" s="783">
        <v>0</v>
      </c>
      <c r="M51" s="783">
        <v>1082.1028504293658</v>
      </c>
      <c r="N51" s="783">
        <v>0</v>
      </c>
      <c r="O51" s="783">
        <f t="shared" si="16"/>
        <v>1082.1028504293658</v>
      </c>
      <c r="P51" s="738"/>
      <c r="Q51" s="738"/>
      <c r="R51" s="738"/>
      <c r="S51" s="738"/>
      <c r="T51" s="738"/>
      <c r="U51" s="738"/>
      <c r="V51" s="738"/>
      <c r="W51" s="738"/>
    </row>
    <row r="52" spans="1:23" s="747" customFormat="1" x14ac:dyDescent="0.25">
      <c r="A52" s="59"/>
      <c r="B52" s="784" t="s">
        <v>889</v>
      </c>
      <c r="C52" s="783">
        <v>0</v>
      </c>
      <c r="D52" s="783">
        <v>0</v>
      </c>
      <c r="E52" s="783">
        <v>0</v>
      </c>
      <c r="F52" s="783">
        <v>0</v>
      </c>
      <c r="G52" s="783">
        <v>0</v>
      </c>
      <c r="H52" s="783">
        <v>0</v>
      </c>
      <c r="I52" s="783">
        <v>0</v>
      </c>
      <c r="J52" s="783">
        <v>0</v>
      </c>
      <c r="K52" s="783">
        <v>0</v>
      </c>
      <c r="L52" s="783">
        <v>0</v>
      </c>
      <c r="M52" s="783">
        <v>0</v>
      </c>
      <c r="N52" s="783">
        <v>0</v>
      </c>
      <c r="O52" s="783">
        <f t="shared" si="16"/>
        <v>0</v>
      </c>
      <c r="P52" s="738"/>
      <c r="Q52" s="738"/>
      <c r="R52" s="738"/>
      <c r="S52" s="738"/>
      <c r="T52" s="738"/>
      <c r="U52" s="738"/>
      <c r="V52" s="738"/>
      <c r="W52" s="738"/>
    </row>
    <row r="53" spans="1:23" s="747" customFormat="1" x14ac:dyDescent="0.25">
      <c r="A53" s="59"/>
      <c r="B53" s="784" t="s">
        <v>741</v>
      </c>
      <c r="C53" s="783">
        <v>0</v>
      </c>
      <c r="D53" s="783">
        <v>0</v>
      </c>
      <c r="E53" s="783">
        <v>0</v>
      </c>
      <c r="F53" s="783">
        <v>0</v>
      </c>
      <c r="G53" s="783">
        <v>3595.0494275133819</v>
      </c>
      <c r="H53" s="783">
        <v>0</v>
      </c>
      <c r="I53" s="783">
        <v>0</v>
      </c>
      <c r="J53" s="783">
        <v>0</v>
      </c>
      <c r="K53" s="783">
        <v>0</v>
      </c>
      <c r="L53" s="783">
        <v>0</v>
      </c>
      <c r="M53" s="783">
        <v>0</v>
      </c>
      <c r="N53" s="783">
        <v>0</v>
      </c>
      <c r="O53" s="783">
        <f t="shared" si="16"/>
        <v>3595.0494275133819</v>
      </c>
      <c r="P53" s="738"/>
      <c r="Q53" s="738"/>
      <c r="R53" s="738"/>
      <c r="S53" s="738"/>
      <c r="T53" s="738"/>
      <c r="U53" s="738"/>
      <c r="V53" s="738"/>
      <c r="W53" s="738"/>
    </row>
    <row r="54" spans="1:23" s="747" customFormat="1" x14ac:dyDescent="0.25">
      <c r="A54" s="59"/>
      <c r="B54" s="784" t="s">
        <v>804</v>
      </c>
      <c r="C54" s="783">
        <v>0</v>
      </c>
      <c r="D54" s="783">
        <v>0</v>
      </c>
      <c r="E54" s="783">
        <v>0</v>
      </c>
      <c r="F54" s="783">
        <v>1952.3749519999999</v>
      </c>
      <c r="G54" s="783">
        <v>0</v>
      </c>
      <c r="H54" s="783">
        <v>0</v>
      </c>
      <c r="I54" s="783">
        <v>0</v>
      </c>
      <c r="J54" s="783">
        <v>0</v>
      </c>
      <c r="K54" s="783">
        <v>0</v>
      </c>
      <c r="L54" s="783">
        <v>0</v>
      </c>
      <c r="M54" s="783">
        <v>0</v>
      </c>
      <c r="N54" s="783">
        <v>0</v>
      </c>
      <c r="O54" s="783">
        <f t="shared" si="16"/>
        <v>1952.3749519999999</v>
      </c>
      <c r="P54" s="738"/>
      <c r="Q54" s="738"/>
      <c r="R54" s="738"/>
      <c r="S54" s="738"/>
      <c r="T54" s="738"/>
      <c r="U54" s="738"/>
      <c r="V54" s="738"/>
      <c r="W54" s="738"/>
    </row>
    <row r="55" spans="1:23" s="747" customFormat="1" x14ac:dyDescent="0.25">
      <c r="A55" s="59"/>
      <c r="B55" s="784" t="s">
        <v>841</v>
      </c>
      <c r="C55" s="783">
        <v>0</v>
      </c>
      <c r="D55" s="783">
        <v>2.8727086904136256</v>
      </c>
      <c r="E55" s="783">
        <v>0</v>
      </c>
      <c r="F55" s="783">
        <v>0</v>
      </c>
      <c r="G55" s="783">
        <v>2.8727086904136256</v>
      </c>
      <c r="H55" s="783">
        <v>0</v>
      </c>
      <c r="I55" s="783">
        <v>0</v>
      </c>
      <c r="J55" s="783">
        <v>2.8727086904136256</v>
      </c>
      <c r="K55" s="783">
        <v>0</v>
      </c>
      <c r="L55" s="783">
        <v>0</v>
      </c>
      <c r="M55" s="783">
        <v>2.8727086904136256</v>
      </c>
      <c r="N55" s="783">
        <v>0</v>
      </c>
      <c r="O55" s="783">
        <f t="shared" si="16"/>
        <v>11.490834761654503</v>
      </c>
      <c r="P55" s="738"/>
      <c r="Q55" s="738"/>
      <c r="R55" s="738"/>
      <c r="S55" s="738"/>
      <c r="T55" s="738"/>
      <c r="U55" s="738"/>
      <c r="V55" s="738"/>
      <c r="W55" s="738"/>
    </row>
    <row r="56" spans="1:23" s="747" customFormat="1" x14ac:dyDescent="0.25">
      <c r="A56" s="59"/>
      <c r="B56" s="784" t="s">
        <v>813</v>
      </c>
      <c r="C56" s="783">
        <v>0</v>
      </c>
      <c r="D56" s="783">
        <v>0</v>
      </c>
      <c r="E56" s="783">
        <v>0</v>
      </c>
      <c r="F56" s="783">
        <v>0</v>
      </c>
      <c r="G56" s="783">
        <v>0</v>
      </c>
      <c r="H56" s="783">
        <v>0</v>
      </c>
      <c r="I56" s="783">
        <v>0</v>
      </c>
      <c r="J56" s="783">
        <v>0</v>
      </c>
      <c r="K56" s="783">
        <v>0</v>
      </c>
      <c r="L56" s="783">
        <v>0</v>
      </c>
      <c r="M56" s="783">
        <v>0</v>
      </c>
      <c r="N56" s="783">
        <v>0</v>
      </c>
      <c r="O56" s="783">
        <f t="shared" si="16"/>
        <v>0</v>
      </c>
      <c r="P56" s="738"/>
      <c r="Q56" s="738"/>
      <c r="R56" s="738"/>
      <c r="S56" s="738"/>
      <c r="T56" s="738"/>
      <c r="U56" s="738"/>
      <c r="V56" s="738"/>
      <c r="W56" s="738"/>
    </row>
    <row r="57" spans="1:23" s="747" customFormat="1" x14ac:dyDescent="0.25">
      <c r="A57" s="59"/>
      <c r="B57" s="784" t="s">
        <v>838</v>
      </c>
      <c r="C57" s="783">
        <v>0</v>
      </c>
      <c r="D57" s="783">
        <v>0</v>
      </c>
      <c r="E57" s="783">
        <v>0</v>
      </c>
      <c r="F57" s="783">
        <v>0</v>
      </c>
      <c r="G57" s="783">
        <v>0</v>
      </c>
      <c r="H57" s="783">
        <v>0</v>
      </c>
      <c r="I57" s="783">
        <v>0</v>
      </c>
      <c r="J57" s="783">
        <v>0</v>
      </c>
      <c r="K57" s="783">
        <v>0</v>
      </c>
      <c r="L57" s="783">
        <v>0</v>
      </c>
      <c r="M57" s="783">
        <v>1613.6356249999999</v>
      </c>
      <c r="N57" s="783">
        <v>0</v>
      </c>
      <c r="O57" s="783">
        <f t="shared" si="16"/>
        <v>1613.6356249999999</v>
      </c>
      <c r="P57" s="738"/>
      <c r="Q57" s="738"/>
      <c r="R57" s="738"/>
      <c r="S57" s="738"/>
      <c r="T57" s="738"/>
      <c r="U57" s="738"/>
      <c r="V57" s="738"/>
      <c r="W57" s="738"/>
    </row>
    <row r="58" spans="1:23" s="747" customFormat="1" x14ac:dyDescent="0.25">
      <c r="A58" s="59"/>
      <c r="B58" s="784" t="s">
        <v>850</v>
      </c>
      <c r="C58" s="783">
        <v>0</v>
      </c>
      <c r="D58" s="783">
        <v>0</v>
      </c>
      <c r="E58" s="783">
        <v>0</v>
      </c>
      <c r="F58" s="783">
        <v>0</v>
      </c>
      <c r="G58" s="783">
        <v>0</v>
      </c>
      <c r="H58" s="783">
        <v>0</v>
      </c>
      <c r="I58" s="783">
        <v>0</v>
      </c>
      <c r="J58" s="783">
        <v>0</v>
      </c>
      <c r="K58" s="783">
        <v>0</v>
      </c>
      <c r="L58" s="783">
        <v>0</v>
      </c>
      <c r="M58" s="783">
        <v>0</v>
      </c>
      <c r="N58" s="783">
        <v>0</v>
      </c>
      <c r="O58" s="783">
        <f t="shared" si="16"/>
        <v>0</v>
      </c>
      <c r="P58" s="738"/>
      <c r="Q58" s="738"/>
      <c r="R58" s="738"/>
      <c r="S58" s="738"/>
      <c r="T58" s="738"/>
      <c r="U58" s="738"/>
      <c r="V58" s="738"/>
      <c r="W58" s="738"/>
    </row>
    <row r="59" spans="1:23" s="747" customFormat="1" x14ac:dyDescent="0.25">
      <c r="A59" s="59"/>
      <c r="B59" s="784" t="s">
        <v>478</v>
      </c>
      <c r="C59" s="783">
        <v>0</v>
      </c>
      <c r="D59" s="783">
        <v>0</v>
      </c>
      <c r="E59" s="783">
        <v>0</v>
      </c>
      <c r="F59" s="783">
        <v>0</v>
      </c>
      <c r="G59" s="783">
        <v>0</v>
      </c>
      <c r="H59" s="783">
        <v>0</v>
      </c>
      <c r="I59" s="783">
        <v>0</v>
      </c>
      <c r="J59" s="783">
        <v>0</v>
      </c>
      <c r="K59" s="783">
        <v>0</v>
      </c>
      <c r="L59" s="783">
        <v>0</v>
      </c>
      <c r="M59" s="783">
        <v>0</v>
      </c>
      <c r="N59" s="783">
        <v>0</v>
      </c>
      <c r="O59" s="783">
        <f t="shared" si="16"/>
        <v>0</v>
      </c>
      <c r="P59" s="738"/>
      <c r="Q59" s="738"/>
      <c r="R59" s="738"/>
      <c r="S59" s="738"/>
      <c r="T59" s="738"/>
      <c r="U59" s="738"/>
      <c r="V59" s="738"/>
      <c r="W59" s="738"/>
    </row>
    <row r="60" spans="1:23" s="747" customFormat="1" x14ac:dyDescent="0.25">
      <c r="A60" s="59"/>
      <c r="B60" s="784" t="s">
        <v>78</v>
      </c>
      <c r="C60" s="783">
        <v>0</v>
      </c>
      <c r="D60" s="783">
        <v>0</v>
      </c>
      <c r="E60" s="783">
        <v>0</v>
      </c>
      <c r="F60" s="783">
        <v>5674</v>
      </c>
      <c r="G60" s="783">
        <v>0</v>
      </c>
      <c r="H60" s="783">
        <v>2083.6480259999998</v>
      </c>
      <c r="I60" s="783">
        <v>0</v>
      </c>
      <c r="J60" s="783">
        <v>0</v>
      </c>
      <c r="K60" s="783">
        <v>0</v>
      </c>
      <c r="L60" s="783">
        <v>0</v>
      </c>
      <c r="M60" s="783">
        <v>0</v>
      </c>
      <c r="N60" s="783">
        <v>0</v>
      </c>
      <c r="O60" s="783">
        <f t="shared" si="16"/>
        <v>7757.6480259999998</v>
      </c>
      <c r="P60" s="738"/>
      <c r="Q60" s="738"/>
      <c r="R60" s="738"/>
      <c r="S60" s="738"/>
      <c r="T60" s="738"/>
      <c r="U60" s="738"/>
      <c r="V60" s="738"/>
      <c r="W60" s="738"/>
    </row>
    <row r="61" spans="1:23" x14ac:dyDescent="0.25">
      <c r="B61" s="784" t="s">
        <v>521</v>
      </c>
      <c r="C61" s="783">
        <v>0</v>
      </c>
      <c r="D61" s="783">
        <v>0</v>
      </c>
      <c r="E61" s="783">
        <v>0</v>
      </c>
      <c r="F61" s="783">
        <v>0</v>
      </c>
      <c r="G61" s="783">
        <v>0</v>
      </c>
      <c r="H61" s="783">
        <v>0</v>
      </c>
      <c r="I61" s="783">
        <v>0</v>
      </c>
      <c r="J61" s="783">
        <v>0</v>
      </c>
      <c r="K61" s="783">
        <v>0</v>
      </c>
      <c r="L61" s="783">
        <v>0</v>
      </c>
      <c r="M61" s="783">
        <v>0</v>
      </c>
      <c r="N61" s="783">
        <v>345.91377499999993</v>
      </c>
      <c r="O61" s="783">
        <f t="shared" si="16"/>
        <v>345.91377499999993</v>
      </c>
      <c r="P61" s="738"/>
      <c r="Q61" s="738"/>
      <c r="R61" s="738"/>
      <c r="S61" s="738"/>
      <c r="T61" s="738"/>
      <c r="U61" s="738"/>
      <c r="V61" s="738"/>
      <c r="W61" s="738"/>
    </row>
    <row r="62" spans="1:23" s="747" customFormat="1" x14ac:dyDescent="0.25">
      <c r="A62" s="59"/>
      <c r="B62" s="784" t="s">
        <v>217</v>
      </c>
      <c r="C62" s="783">
        <f t="shared" ref="C62:M62" si="17">+C63+C64</f>
        <v>5100.7096100708804</v>
      </c>
      <c r="D62" s="783">
        <f t="shared" si="17"/>
        <v>3956.7446476637124</v>
      </c>
      <c r="E62" s="783">
        <f t="shared" si="17"/>
        <v>3907.7826562443825</v>
      </c>
      <c r="F62" s="783">
        <f t="shared" si="17"/>
        <v>2634.1769065766939</v>
      </c>
      <c r="G62" s="783">
        <f t="shared" si="17"/>
        <v>2290.3990244728052</v>
      </c>
      <c r="H62" s="783">
        <f t="shared" si="17"/>
        <v>2578.6937907694441</v>
      </c>
      <c r="I62" s="783">
        <f t="shared" si="17"/>
        <v>1761.8729214665584</v>
      </c>
      <c r="J62" s="783">
        <f t="shared" si="17"/>
        <v>804.17326837751102</v>
      </c>
      <c r="K62" s="783">
        <f t="shared" si="17"/>
        <v>124.64608217</v>
      </c>
      <c r="L62" s="783">
        <f t="shared" si="17"/>
        <v>57.594189999999998</v>
      </c>
      <c r="M62" s="783">
        <f t="shared" si="17"/>
        <v>0</v>
      </c>
      <c r="N62" s="783">
        <f t="shared" ref="N62" si="18">+N63+N64</f>
        <v>0</v>
      </c>
      <c r="O62" s="783">
        <f t="shared" si="16"/>
        <v>23216.793097811988</v>
      </c>
      <c r="P62" s="978"/>
      <c r="Q62" s="738"/>
      <c r="R62" s="738"/>
      <c r="S62" s="738"/>
      <c r="T62" s="738"/>
      <c r="U62" s="738"/>
      <c r="V62" s="738"/>
      <c r="W62" s="738"/>
    </row>
    <row r="63" spans="1:23" s="747" customFormat="1" x14ac:dyDescent="0.25">
      <c r="A63" s="59"/>
      <c r="B63" s="784" t="s">
        <v>71</v>
      </c>
      <c r="C63" s="783">
        <v>5047.9505640708803</v>
      </c>
      <c r="D63" s="783">
        <v>3956.7446476637124</v>
      </c>
      <c r="E63" s="783">
        <v>2811.5679964543824</v>
      </c>
      <c r="F63" s="783">
        <v>2576.5480643266937</v>
      </c>
      <c r="G63" s="783">
        <v>2290.3990244728052</v>
      </c>
      <c r="H63" s="783">
        <v>2578.6937907694441</v>
      </c>
      <c r="I63" s="783">
        <v>1711.7904584665584</v>
      </c>
      <c r="J63" s="783">
        <v>804.17326837751102</v>
      </c>
      <c r="K63" s="783">
        <v>124.64608217</v>
      </c>
      <c r="L63" s="783">
        <v>0</v>
      </c>
      <c r="M63" s="783">
        <v>0</v>
      </c>
      <c r="N63" s="783">
        <v>0</v>
      </c>
      <c r="O63" s="783">
        <f t="shared" si="16"/>
        <v>21902.513896771987</v>
      </c>
      <c r="P63" s="978"/>
      <c r="Q63" s="738"/>
      <c r="R63" s="738"/>
      <c r="S63" s="738"/>
      <c r="T63" s="738"/>
      <c r="U63" s="738"/>
      <c r="V63" s="738"/>
      <c r="W63" s="738"/>
    </row>
    <row r="64" spans="1:23" s="747" customFormat="1" x14ac:dyDescent="0.25">
      <c r="A64" s="59"/>
      <c r="B64" s="777" t="s">
        <v>69</v>
      </c>
      <c r="C64" s="778">
        <v>52.759045999999998</v>
      </c>
      <c r="D64" s="778">
        <v>0</v>
      </c>
      <c r="E64" s="778">
        <v>1096.21465979</v>
      </c>
      <c r="F64" s="778">
        <v>57.628842249999998</v>
      </c>
      <c r="G64" s="778">
        <v>0</v>
      </c>
      <c r="H64" s="778">
        <v>0</v>
      </c>
      <c r="I64" s="778">
        <v>50.082462999999997</v>
      </c>
      <c r="J64" s="778">
        <v>0</v>
      </c>
      <c r="K64" s="778">
        <v>0</v>
      </c>
      <c r="L64" s="778">
        <v>57.594189999999998</v>
      </c>
      <c r="M64" s="778">
        <v>0</v>
      </c>
      <c r="N64" s="778">
        <v>0</v>
      </c>
      <c r="O64" s="783">
        <f t="shared" si="16"/>
        <v>1314.2792010399999</v>
      </c>
      <c r="P64" s="738"/>
      <c r="Q64" s="738"/>
      <c r="R64" s="738"/>
      <c r="S64" s="738"/>
      <c r="T64" s="738"/>
      <c r="U64" s="738"/>
      <c r="V64" s="738"/>
      <c r="W64" s="738"/>
    </row>
    <row r="65" spans="1:23" s="747" customFormat="1" x14ac:dyDescent="0.25">
      <c r="A65" s="59"/>
      <c r="B65" s="784" t="s">
        <v>335</v>
      </c>
      <c r="C65" s="783">
        <f t="shared" ref="C65:M65" si="19">+C66+C73</f>
        <v>44.501589770320891</v>
      </c>
      <c r="D65" s="783">
        <f t="shared" si="19"/>
        <v>5.0219517096032478</v>
      </c>
      <c r="E65" s="783">
        <f t="shared" si="19"/>
        <v>5.0219517096032478</v>
      </c>
      <c r="F65" s="783">
        <f t="shared" si="19"/>
        <v>30.100007421330744</v>
      </c>
      <c r="G65" s="783">
        <f t="shared" si="19"/>
        <v>5.0219517096032478</v>
      </c>
      <c r="H65" s="783">
        <f t="shared" si="19"/>
        <v>5.0219517096032478</v>
      </c>
      <c r="I65" s="783">
        <f t="shared" si="19"/>
        <v>30.100007421330744</v>
      </c>
      <c r="J65" s="783">
        <f t="shared" si="19"/>
        <v>5.0219517096032478</v>
      </c>
      <c r="K65" s="783">
        <f t="shared" si="19"/>
        <v>5.0219517096032478</v>
      </c>
      <c r="L65" s="783">
        <f t="shared" si="19"/>
        <v>51.595483745710304</v>
      </c>
      <c r="M65" s="783">
        <f t="shared" si="19"/>
        <v>5.0219517096032478</v>
      </c>
      <c r="N65" s="783">
        <f t="shared" ref="N65" si="20">+N66+N73</f>
        <v>5.0219517096032478</v>
      </c>
      <c r="O65" s="783">
        <f t="shared" si="16"/>
        <v>196.47270203551869</v>
      </c>
      <c r="P65" s="738"/>
      <c r="Q65" s="738"/>
      <c r="R65" s="738"/>
      <c r="S65" s="738"/>
      <c r="T65" s="738"/>
      <c r="U65" s="738"/>
      <c r="V65" s="738"/>
      <c r="W65" s="738"/>
    </row>
    <row r="66" spans="1:23" s="747" customFormat="1" x14ac:dyDescent="0.25">
      <c r="A66" s="59"/>
      <c r="B66" s="785" t="s">
        <v>79</v>
      </c>
      <c r="C66" s="786">
        <f t="shared" ref="C66:M66" si="21">+C67+C70</f>
        <v>31.373201850320889</v>
      </c>
      <c r="D66" s="786">
        <f t="shared" si="21"/>
        <v>5.0219517096032478</v>
      </c>
      <c r="E66" s="786">
        <f t="shared" si="21"/>
        <v>5.0219517096032478</v>
      </c>
      <c r="F66" s="786">
        <f t="shared" si="21"/>
        <v>30.100007421330744</v>
      </c>
      <c r="G66" s="786">
        <f t="shared" si="21"/>
        <v>5.0219517096032478</v>
      </c>
      <c r="H66" s="786">
        <f t="shared" si="21"/>
        <v>5.0219517096032478</v>
      </c>
      <c r="I66" s="786">
        <f t="shared" si="21"/>
        <v>30.100007421330744</v>
      </c>
      <c r="J66" s="786">
        <f t="shared" si="21"/>
        <v>5.0219517096032478</v>
      </c>
      <c r="K66" s="786">
        <f t="shared" si="21"/>
        <v>5.0219517096032478</v>
      </c>
      <c r="L66" s="786">
        <f t="shared" si="21"/>
        <v>51.595483745710304</v>
      </c>
      <c r="M66" s="786">
        <f t="shared" si="21"/>
        <v>5.0219517096032478</v>
      </c>
      <c r="N66" s="786">
        <f t="shared" ref="N66" si="22">+N67+N70</f>
        <v>5.0219517096032478</v>
      </c>
      <c r="O66" s="786">
        <f t="shared" si="16"/>
        <v>183.34431411551867</v>
      </c>
      <c r="P66" s="738"/>
      <c r="Q66" s="738"/>
      <c r="R66" s="738"/>
      <c r="S66" s="738"/>
      <c r="T66" s="738"/>
      <c r="U66" s="738"/>
      <c r="V66" s="738"/>
      <c r="W66" s="738"/>
    </row>
    <row r="67" spans="1:23" s="747" customFormat="1" x14ac:dyDescent="0.25">
      <c r="A67" s="59"/>
      <c r="B67" s="777" t="s">
        <v>81</v>
      </c>
      <c r="C67" s="787">
        <f t="shared" ref="C67:M67" si="23">+C68+C69</f>
        <v>6.2078924972113976</v>
      </c>
      <c r="D67" s="787">
        <f t="shared" si="23"/>
        <v>5.0219517096032478</v>
      </c>
      <c r="E67" s="787">
        <f t="shared" si="23"/>
        <v>5.0219517096032478</v>
      </c>
      <c r="F67" s="787">
        <f t="shared" si="23"/>
        <v>5.0219517096032478</v>
      </c>
      <c r="G67" s="787">
        <f t="shared" si="23"/>
        <v>5.0219517096032478</v>
      </c>
      <c r="H67" s="787">
        <f t="shared" si="23"/>
        <v>5.0219517096032478</v>
      </c>
      <c r="I67" s="787">
        <f t="shared" si="23"/>
        <v>5.0219517096032478</v>
      </c>
      <c r="J67" s="787">
        <f t="shared" si="23"/>
        <v>5.0219517096032478</v>
      </c>
      <c r="K67" s="787">
        <f t="shared" si="23"/>
        <v>5.0219517096032478</v>
      </c>
      <c r="L67" s="787">
        <f t="shared" si="23"/>
        <v>5.0219517096032478</v>
      </c>
      <c r="M67" s="787">
        <f t="shared" si="23"/>
        <v>5.0219517096032478</v>
      </c>
      <c r="N67" s="787">
        <f t="shared" ref="N67" si="24">+N68+N69</f>
        <v>5.0219517096032478</v>
      </c>
      <c r="O67" s="788">
        <f t="shared" si="16"/>
        <v>61.449361302847137</v>
      </c>
      <c r="P67" s="738"/>
      <c r="Q67" s="738"/>
      <c r="R67" s="738"/>
      <c r="S67" s="738"/>
      <c r="T67" s="738"/>
      <c r="U67" s="738"/>
      <c r="V67" s="738"/>
      <c r="W67" s="738"/>
    </row>
    <row r="68" spans="1:23" x14ac:dyDescent="0.25">
      <c r="A68" s="59"/>
      <c r="B68" s="777" t="s">
        <v>667</v>
      </c>
      <c r="C68" s="789">
        <v>6.0519140117591403</v>
      </c>
      <c r="D68" s="789">
        <v>5.0219517096032478</v>
      </c>
      <c r="E68" s="789">
        <v>5.0219517096032478</v>
      </c>
      <c r="F68" s="789">
        <v>5.0219517096032478</v>
      </c>
      <c r="G68" s="789">
        <v>5.0219517096032478</v>
      </c>
      <c r="H68" s="789">
        <v>5.0219517096032478</v>
      </c>
      <c r="I68" s="789">
        <v>5.0219517096032478</v>
      </c>
      <c r="J68" s="789">
        <v>5.0219517096032478</v>
      </c>
      <c r="K68" s="789">
        <v>5.0219517096032478</v>
      </c>
      <c r="L68" s="789">
        <v>5.0219517096032478</v>
      </c>
      <c r="M68" s="789">
        <v>5.0219517096032478</v>
      </c>
      <c r="N68" s="789">
        <v>5.0219517096032478</v>
      </c>
      <c r="O68" s="788">
        <f t="shared" si="16"/>
        <v>61.293382817394878</v>
      </c>
      <c r="P68" s="738"/>
      <c r="Q68" s="738"/>
      <c r="R68" s="738"/>
      <c r="S68" s="738"/>
      <c r="T68" s="738"/>
      <c r="U68" s="738"/>
      <c r="V68" s="738"/>
      <c r="W68" s="738"/>
    </row>
    <row r="69" spans="1:23" x14ac:dyDescent="0.25">
      <c r="A69" s="59"/>
      <c r="B69" s="777" t="s">
        <v>84</v>
      </c>
      <c r="C69" s="789">
        <v>0.15597848545225756</v>
      </c>
      <c r="D69" s="789">
        <v>0</v>
      </c>
      <c r="E69" s="789">
        <v>0</v>
      </c>
      <c r="F69" s="789">
        <v>0</v>
      </c>
      <c r="G69" s="789">
        <v>0</v>
      </c>
      <c r="H69" s="789">
        <v>0</v>
      </c>
      <c r="I69" s="789">
        <v>0</v>
      </c>
      <c r="J69" s="789">
        <v>0</v>
      </c>
      <c r="K69" s="789">
        <v>0</v>
      </c>
      <c r="L69" s="789">
        <v>0</v>
      </c>
      <c r="M69" s="789">
        <v>0</v>
      </c>
      <c r="N69" s="789">
        <v>0</v>
      </c>
      <c r="O69" s="788">
        <f t="shared" si="16"/>
        <v>0.15597848545225756</v>
      </c>
      <c r="P69" s="738"/>
      <c r="Q69" s="738"/>
      <c r="R69" s="738"/>
      <c r="S69" s="738"/>
      <c r="T69" s="738"/>
      <c r="U69" s="738"/>
      <c r="V69" s="738"/>
      <c r="W69" s="738"/>
    </row>
    <row r="70" spans="1:23" s="747" customFormat="1" x14ac:dyDescent="0.25">
      <c r="A70" s="59"/>
      <c r="B70" s="790" t="s">
        <v>85</v>
      </c>
      <c r="C70" s="787">
        <f t="shared" ref="C70:M70" si="25">+C71+C72</f>
        <v>25.165309353109492</v>
      </c>
      <c r="D70" s="787">
        <f t="shared" si="25"/>
        <v>0</v>
      </c>
      <c r="E70" s="787">
        <f t="shared" si="25"/>
        <v>0</v>
      </c>
      <c r="F70" s="787">
        <f t="shared" si="25"/>
        <v>25.078055711727497</v>
      </c>
      <c r="G70" s="787">
        <f t="shared" si="25"/>
        <v>0</v>
      </c>
      <c r="H70" s="787">
        <f t="shared" si="25"/>
        <v>0</v>
      </c>
      <c r="I70" s="787">
        <f t="shared" si="25"/>
        <v>25.078055711727497</v>
      </c>
      <c r="J70" s="787">
        <f t="shared" si="25"/>
        <v>0</v>
      </c>
      <c r="K70" s="787">
        <f t="shared" si="25"/>
        <v>0</v>
      </c>
      <c r="L70" s="787">
        <f t="shared" si="25"/>
        <v>46.573532036107054</v>
      </c>
      <c r="M70" s="787">
        <f t="shared" si="25"/>
        <v>0</v>
      </c>
      <c r="N70" s="787">
        <f t="shared" ref="N70" si="26">+N71+N72</f>
        <v>0</v>
      </c>
      <c r="O70" s="788">
        <f t="shared" si="16"/>
        <v>121.89495281267155</v>
      </c>
      <c r="P70" s="738"/>
      <c r="Q70" s="738"/>
      <c r="R70" s="738"/>
      <c r="S70" s="738"/>
      <c r="T70" s="738"/>
      <c r="U70" s="738"/>
      <c r="V70" s="738"/>
      <c r="W70" s="738"/>
    </row>
    <row r="71" spans="1:23" s="747" customFormat="1" x14ac:dyDescent="0.25">
      <c r="A71" s="59"/>
      <c r="B71" s="777" t="s">
        <v>667</v>
      </c>
      <c r="C71" s="789">
        <v>25.079522133158154</v>
      </c>
      <c r="D71" s="789">
        <v>0</v>
      </c>
      <c r="E71" s="789">
        <v>0</v>
      </c>
      <c r="F71" s="789">
        <v>25.078055711727497</v>
      </c>
      <c r="G71" s="789">
        <v>0</v>
      </c>
      <c r="H71" s="789">
        <v>0</v>
      </c>
      <c r="I71" s="789">
        <v>25.078055711727497</v>
      </c>
      <c r="J71" s="789">
        <v>0</v>
      </c>
      <c r="K71" s="789">
        <v>0</v>
      </c>
      <c r="L71" s="789">
        <v>46.573532036107054</v>
      </c>
      <c r="M71" s="789">
        <v>0</v>
      </c>
      <c r="N71" s="789">
        <v>0</v>
      </c>
      <c r="O71" s="788">
        <f t="shared" si="16"/>
        <v>121.80916559272021</v>
      </c>
      <c r="P71" s="738"/>
      <c r="Q71" s="738"/>
      <c r="R71" s="738"/>
      <c r="S71" s="738"/>
      <c r="T71" s="738"/>
      <c r="U71" s="738"/>
      <c r="V71" s="738"/>
      <c r="W71" s="738"/>
    </row>
    <row r="72" spans="1:23" s="747" customFormat="1" x14ac:dyDescent="0.25">
      <c r="A72" s="59"/>
      <c r="B72" s="777" t="s">
        <v>84</v>
      </c>
      <c r="C72" s="789">
        <v>8.5787219951338187E-2</v>
      </c>
      <c r="D72" s="789">
        <v>0</v>
      </c>
      <c r="E72" s="789">
        <v>0</v>
      </c>
      <c r="F72" s="789">
        <v>0</v>
      </c>
      <c r="G72" s="789">
        <v>0</v>
      </c>
      <c r="H72" s="789">
        <v>0</v>
      </c>
      <c r="I72" s="789">
        <v>0</v>
      </c>
      <c r="J72" s="789">
        <v>0</v>
      </c>
      <c r="K72" s="789">
        <v>0</v>
      </c>
      <c r="L72" s="789">
        <v>0</v>
      </c>
      <c r="M72" s="789">
        <v>0</v>
      </c>
      <c r="N72" s="789">
        <v>0</v>
      </c>
      <c r="O72" s="788">
        <f t="shared" si="16"/>
        <v>8.5787219951338187E-2</v>
      </c>
      <c r="P72" s="738"/>
      <c r="Q72" s="738"/>
      <c r="R72" s="738"/>
      <c r="S72" s="738"/>
      <c r="T72" s="738"/>
      <c r="U72" s="738"/>
      <c r="V72" s="738"/>
      <c r="W72" s="738"/>
    </row>
    <row r="73" spans="1:23" s="747" customFormat="1" x14ac:dyDescent="0.25">
      <c r="A73" s="59"/>
      <c r="B73" s="791" t="s">
        <v>103</v>
      </c>
      <c r="C73" s="786">
        <f t="shared" ref="C73:M73" si="27">+C74+C75</f>
        <v>13.12838792</v>
      </c>
      <c r="D73" s="786">
        <f t="shared" si="27"/>
        <v>0</v>
      </c>
      <c r="E73" s="786">
        <f t="shared" si="27"/>
        <v>0</v>
      </c>
      <c r="F73" s="786">
        <f t="shared" si="27"/>
        <v>0</v>
      </c>
      <c r="G73" s="786">
        <f t="shared" si="27"/>
        <v>0</v>
      </c>
      <c r="H73" s="786">
        <f t="shared" si="27"/>
        <v>0</v>
      </c>
      <c r="I73" s="786">
        <f t="shared" si="27"/>
        <v>0</v>
      </c>
      <c r="J73" s="786">
        <f t="shared" si="27"/>
        <v>0</v>
      </c>
      <c r="K73" s="786">
        <f t="shared" si="27"/>
        <v>0</v>
      </c>
      <c r="L73" s="786">
        <f t="shared" si="27"/>
        <v>0</v>
      </c>
      <c r="M73" s="786">
        <f t="shared" si="27"/>
        <v>0</v>
      </c>
      <c r="N73" s="786">
        <f t="shared" ref="N73" si="28">+N74+N75</f>
        <v>0</v>
      </c>
      <c r="O73" s="786">
        <f t="shared" si="16"/>
        <v>13.12838792</v>
      </c>
      <c r="P73" s="738"/>
      <c r="Q73" s="738"/>
      <c r="R73" s="738"/>
      <c r="S73" s="738"/>
      <c r="T73" s="738"/>
      <c r="U73" s="738"/>
      <c r="V73" s="738"/>
      <c r="W73" s="738"/>
    </row>
    <row r="74" spans="1:23" s="747" customFormat="1" x14ac:dyDescent="0.25">
      <c r="A74" s="59"/>
      <c r="B74" s="777" t="s">
        <v>667</v>
      </c>
      <c r="C74" s="789">
        <v>2.9442001599999998</v>
      </c>
      <c r="D74" s="789">
        <v>0</v>
      </c>
      <c r="E74" s="789">
        <v>0</v>
      </c>
      <c r="F74" s="789">
        <v>0</v>
      </c>
      <c r="G74" s="789">
        <v>0</v>
      </c>
      <c r="H74" s="789">
        <v>0</v>
      </c>
      <c r="I74" s="789">
        <v>0</v>
      </c>
      <c r="J74" s="789">
        <v>0</v>
      </c>
      <c r="K74" s="789">
        <v>0</v>
      </c>
      <c r="L74" s="789">
        <v>0</v>
      </c>
      <c r="M74" s="789">
        <v>0</v>
      </c>
      <c r="N74" s="789">
        <v>0</v>
      </c>
      <c r="O74" s="789">
        <f t="shared" si="16"/>
        <v>2.9442001599999998</v>
      </c>
      <c r="P74" s="738"/>
      <c r="Q74" s="738"/>
      <c r="R74" s="738"/>
      <c r="S74" s="738"/>
      <c r="T74" s="738"/>
      <c r="U74" s="738"/>
      <c r="V74" s="738"/>
      <c r="W74" s="738"/>
    </row>
    <row r="75" spans="1:23" s="747" customFormat="1" x14ac:dyDescent="0.25">
      <c r="A75" s="59"/>
      <c r="B75" s="792" t="s">
        <v>84</v>
      </c>
      <c r="C75" s="793">
        <v>10.18418776</v>
      </c>
      <c r="D75" s="793">
        <v>0</v>
      </c>
      <c r="E75" s="793">
        <v>0</v>
      </c>
      <c r="F75" s="793">
        <v>0</v>
      </c>
      <c r="G75" s="793">
        <v>0</v>
      </c>
      <c r="H75" s="793">
        <v>0</v>
      </c>
      <c r="I75" s="793">
        <v>0</v>
      </c>
      <c r="J75" s="793">
        <v>0</v>
      </c>
      <c r="K75" s="793">
        <v>0</v>
      </c>
      <c r="L75" s="793">
        <v>0</v>
      </c>
      <c r="M75" s="793">
        <v>0</v>
      </c>
      <c r="N75" s="793">
        <v>0</v>
      </c>
      <c r="O75" s="793">
        <f t="shared" si="16"/>
        <v>10.18418776</v>
      </c>
      <c r="P75" s="738"/>
      <c r="Q75" s="738"/>
      <c r="R75" s="738"/>
      <c r="S75" s="738"/>
      <c r="T75" s="738"/>
      <c r="U75" s="738"/>
      <c r="V75" s="738"/>
      <c r="W75" s="738"/>
    </row>
    <row r="76" spans="1:23" s="747" customFormat="1" x14ac:dyDescent="0.25">
      <c r="A76" s="59"/>
      <c r="B76" s="794"/>
      <c r="C76" s="795"/>
      <c r="D76" s="795"/>
      <c r="E76" s="795"/>
      <c r="F76" s="795"/>
      <c r="G76" s="795"/>
      <c r="H76" s="795"/>
      <c r="I76" s="795"/>
      <c r="J76" s="795"/>
      <c r="K76" s="795"/>
      <c r="L76" s="795"/>
      <c r="M76" s="795"/>
      <c r="N76" s="795"/>
      <c r="O76" s="795"/>
      <c r="P76" s="738"/>
      <c r="Q76" s="738"/>
      <c r="R76" s="738"/>
      <c r="S76" s="738"/>
      <c r="T76" s="738"/>
      <c r="U76" s="738"/>
      <c r="V76" s="738"/>
      <c r="W76" s="738"/>
    </row>
    <row r="77" spans="1:23" x14ac:dyDescent="0.25">
      <c r="A77" s="59"/>
      <c r="B77" s="796" t="s">
        <v>104</v>
      </c>
      <c r="C77" s="797">
        <f t="shared" ref="C77:M77" si="29">+C78+C79</f>
        <v>5083.3230395628561</v>
      </c>
      <c r="D77" s="797">
        <f t="shared" si="29"/>
        <v>4358.0849270627559</v>
      </c>
      <c r="E77" s="797">
        <f t="shared" si="29"/>
        <v>9937.3551181598505</v>
      </c>
      <c r="F77" s="797">
        <f t="shared" si="29"/>
        <v>6255.4242508767056</v>
      </c>
      <c r="G77" s="797">
        <f t="shared" si="29"/>
        <v>6117.8880448383698</v>
      </c>
      <c r="H77" s="797">
        <f t="shared" si="29"/>
        <v>2983.9602513095097</v>
      </c>
      <c r="I77" s="797">
        <f t="shared" si="29"/>
        <v>3050.1947778431204</v>
      </c>
      <c r="J77" s="797">
        <f t="shared" si="29"/>
        <v>816.26724548322136</v>
      </c>
      <c r="K77" s="797">
        <f t="shared" si="29"/>
        <v>6849.2239327203306</v>
      </c>
      <c r="L77" s="797">
        <f t="shared" si="29"/>
        <v>4046.0689682897491</v>
      </c>
      <c r="M77" s="797">
        <f t="shared" si="29"/>
        <v>3973.0156726909881</v>
      </c>
      <c r="N77" s="797">
        <f t="shared" ref="N77" si="30">+N78+N79</f>
        <v>8281.7112417621574</v>
      </c>
      <c r="O77" s="797">
        <f t="shared" ref="O77:O80" si="31">+SUM(C77:N77)</f>
        <v>61752.517470599603</v>
      </c>
      <c r="P77" s="738"/>
      <c r="Q77" s="738"/>
      <c r="R77" s="738"/>
      <c r="S77" s="738"/>
      <c r="T77" s="738"/>
      <c r="U77" s="738"/>
      <c r="V77" s="738"/>
      <c r="W77" s="738"/>
    </row>
    <row r="78" spans="1:23" x14ac:dyDescent="0.25">
      <c r="A78" s="59"/>
      <c r="B78" s="784" t="s">
        <v>105</v>
      </c>
      <c r="C78" s="773">
        <v>446.344029502399</v>
      </c>
      <c r="D78" s="773">
        <v>2654.5214365120019</v>
      </c>
      <c r="E78" s="773">
        <v>6371.3115712374174</v>
      </c>
      <c r="F78" s="773">
        <v>1777.9115294027392</v>
      </c>
      <c r="G78" s="773">
        <v>2191.5623334378829</v>
      </c>
      <c r="H78" s="773">
        <v>2583.7157424790475</v>
      </c>
      <c r="I78" s="773">
        <v>1716.8124101761616</v>
      </c>
      <c r="J78" s="773">
        <v>809.19522008711431</v>
      </c>
      <c r="K78" s="773">
        <v>6449.0145783475082</v>
      </c>
      <c r="L78" s="773">
        <v>5.0219517096032478</v>
      </c>
      <c r="M78" s="773">
        <v>1087.124802138969</v>
      </c>
      <c r="N78" s="773">
        <v>5.0219517096032478</v>
      </c>
      <c r="O78" s="773">
        <f t="shared" si="31"/>
        <v>26097.557556740452</v>
      </c>
      <c r="P78" s="738"/>
      <c r="Q78" s="738"/>
      <c r="R78" s="738"/>
      <c r="S78" s="738"/>
      <c r="T78" s="738"/>
      <c r="U78" s="738"/>
      <c r="V78" s="738"/>
      <c r="W78" s="738"/>
    </row>
    <row r="79" spans="1:23" x14ac:dyDescent="0.25">
      <c r="A79" s="59"/>
      <c r="B79" s="784" t="s">
        <v>499</v>
      </c>
      <c r="C79" s="773">
        <v>4636.9790100604569</v>
      </c>
      <c r="D79" s="773">
        <v>1703.5634905507543</v>
      </c>
      <c r="E79" s="773">
        <v>3566.0435469224331</v>
      </c>
      <c r="F79" s="773">
        <v>4477.5127214739659</v>
      </c>
      <c r="G79" s="773">
        <v>3926.3257114004869</v>
      </c>
      <c r="H79" s="773">
        <v>400.24450883046228</v>
      </c>
      <c r="I79" s="773">
        <v>1333.3823676669588</v>
      </c>
      <c r="J79" s="773">
        <v>7.0720253961070565</v>
      </c>
      <c r="K79" s="773">
        <v>400.2093543728223</v>
      </c>
      <c r="L79" s="773">
        <v>4041.0470165801457</v>
      </c>
      <c r="M79" s="773">
        <v>2885.8908705520194</v>
      </c>
      <c r="N79" s="773">
        <v>8276.6892900525545</v>
      </c>
      <c r="O79" s="773">
        <f t="shared" si="31"/>
        <v>35654.959913859173</v>
      </c>
      <c r="P79" s="738"/>
      <c r="Q79" s="738"/>
      <c r="R79" s="738"/>
      <c r="S79" s="738"/>
      <c r="T79" s="738"/>
      <c r="U79" s="738"/>
      <c r="V79" s="738"/>
      <c r="W79" s="738"/>
    </row>
    <row r="80" spans="1:23" x14ac:dyDescent="0.25">
      <c r="A80" s="59"/>
      <c r="B80" s="796" t="s">
        <v>106</v>
      </c>
      <c r="C80" s="798">
        <v>1095.8364756860394</v>
      </c>
      <c r="D80" s="798">
        <v>342.28031827807223</v>
      </c>
      <c r="E80" s="798">
        <v>4171.1792391276495</v>
      </c>
      <c r="F80" s="798">
        <v>6588.5825101737355</v>
      </c>
      <c r="G80" s="798">
        <v>1710.206686489159</v>
      </c>
      <c r="H80" s="798">
        <v>5078.6091554476361</v>
      </c>
      <c r="I80" s="798">
        <v>2409.5319293085763</v>
      </c>
      <c r="J80" s="798">
        <v>154.62125153473178</v>
      </c>
      <c r="K80" s="798">
        <v>3208.3895702969171</v>
      </c>
      <c r="L80" s="798">
        <v>2953.5206673136818</v>
      </c>
      <c r="M80" s="798">
        <v>188.81472478396114</v>
      </c>
      <c r="N80" s="798">
        <v>3328.3992129410212</v>
      </c>
      <c r="O80" s="798">
        <f t="shared" si="31"/>
        <v>31229.971741381185</v>
      </c>
      <c r="P80" s="738"/>
      <c r="Q80" s="738"/>
      <c r="R80" s="738"/>
      <c r="S80" s="738"/>
      <c r="T80" s="738"/>
      <c r="U80" s="738"/>
      <c r="V80" s="738"/>
      <c r="W80" s="738"/>
    </row>
    <row r="81" spans="1:15" x14ac:dyDescent="0.25">
      <c r="A81" s="59"/>
      <c r="L81" s="738"/>
      <c r="M81" s="738"/>
      <c r="N81" s="738"/>
      <c r="O81" s="738"/>
    </row>
    <row r="82" spans="1:15" x14ac:dyDescent="0.25">
      <c r="A82" s="59"/>
      <c r="B82" s="799" t="s">
        <v>336</v>
      </c>
      <c r="C82" s="799"/>
      <c r="D82" s="799"/>
      <c r="E82" s="799"/>
      <c r="F82" s="799"/>
      <c r="G82" s="799"/>
      <c r="H82" s="799"/>
      <c r="I82" s="799"/>
      <c r="J82" s="799"/>
      <c r="K82" s="799"/>
      <c r="L82" s="781"/>
      <c r="M82" s="781"/>
      <c r="N82" s="781"/>
      <c r="O82" s="781"/>
    </row>
    <row r="83" spans="1:15" x14ac:dyDescent="0.25">
      <c r="L83" s="738"/>
      <c r="M83" s="738"/>
      <c r="N83" s="738"/>
      <c r="O83" s="738"/>
    </row>
    <row r="84" spans="1:15" x14ac:dyDescent="0.25">
      <c r="L84" s="738"/>
      <c r="M84" s="738"/>
      <c r="N84" s="738"/>
      <c r="O84" s="738"/>
    </row>
    <row r="85" spans="1:15" x14ac:dyDescent="0.25">
      <c r="L85" s="738"/>
      <c r="M85" s="738"/>
      <c r="N85" s="738"/>
      <c r="O85" s="738"/>
    </row>
    <row r="86" spans="1:15" x14ac:dyDescent="0.25">
      <c r="L86" s="738"/>
      <c r="M86" s="738"/>
      <c r="N86" s="738"/>
      <c r="O86" s="738"/>
    </row>
    <row r="87" spans="1:15" x14ac:dyDescent="0.25">
      <c r="L87" s="738"/>
      <c r="M87" s="738"/>
      <c r="N87" s="738"/>
      <c r="O87" s="738"/>
    </row>
    <row r="88" spans="1:15" x14ac:dyDescent="0.25">
      <c r="L88" s="738"/>
      <c r="M88" s="738"/>
      <c r="N88" s="738"/>
      <c r="O88" s="738"/>
    </row>
    <row r="89" spans="1:15" x14ac:dyDescent="0.25">
      <c r="L89" s="738"/>
      <c r="M89" s="738"/>
      <c r="N89" s="738"/>
      <c r="O89" s="738"/>
    </row>
    <row r="95" spans="1:15" x14ac:dyDescent="0.25">
      <c r="L95" s="738"/>
      <c r="M95" s="738"/>
      <c r="N95" s="738"/>
      <c r="O95" s="738"/>
    </row>
  </sheetData>
  <mergeCells count="2">
    <mergeCell ref="B11:O11"/>
    <mergeCell ref="B6:O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W144"/>
  <sheetViews>
    <sheetView showGridLines="0" zoomScale="85" zoomScaleNormal="85" zoomScaleSheetLayoutView="85" workbookViewId="0"/>
  </sheetViews>
  <sheetFormatPr baseColWidth="10" defaultColWidth="11.44140625" defaultRowHeight="14.4" x14ac:dyDescent="0.25"/>
  <cols>
    <col min="1" max="1" width="10.44140625" style="290" bestFit="1" customWidth="1"/>
    <col min="2" max="2" width="46.21875" style="737" customWidth="1"/>
    <col min="3" max="15" width="15.77734375" style="737" customWidth="1"/>
    <col min="16" max="16" width="19.44140625" style="738" bestFit="1" customWidth="1"/>
    <col min="17" max="18" width="11.5546875" style="737" bestFit="1" customWidth="1"/>
    <col min="19" max="19" width="14.77734375" style="737" bestFit="1" customWidth="1"/>
    <col min="20" max="23" width="12.77734375" style="737" bestFit="1" customWidth="1"/>
    <col min="24" max="16384" width="11.44140625" style="737"/>
  </cols>
  <sheetData>
    <row r="1" spans="1:23" ht="15" x14ac:dyDescent="0.25">
      <c r="A1" s="54" t="s">
        <v>216</v>
      </c>
      <c r="B1" s="736"/>
      <c r="C1" s="738"/>
      <c r="D1" s="738"/>
      <c r="E1" s="738"/>
      <c r="F1" s="738"/>
      <c r="G1" s="738"/>
      <c r="H1" s="738"/>
      <c r="I1" s="738"/>
      <c r="J1" s="738"/>
      <c r="K1" s="738"/>
      <c r="L1" s="738"/>
      <c r="M1" s="738"/>
      <c r="N1" s="738"/>
      <c r="O1" s="738"/>
    </row>
    <row r="2" spans="1:23" ht="15" x14ac:dyDescent="0.25">
      <c r="A2" s="733"/>
      <c r="B2" s="4" t="s">
        <v>693</v>
      </c>
      <c r="C2" s="738"/>
      <c r="D2" s="738"/>
      <c r="E2" s="738"/>
      <c r="F2" s="738"/>
      <c r="G2" s="738"/>
      <c r="H2" s="738"/>
      <c r="I2" s="738"/>
      <c r="J2" s="738"/>
      <c r="K2" s="738"/>
      <c r="L2" s="738"/>
      <c r="M2" s="738"/>
      <c r="N2" s="738"/>
      <c r="O2" s="738"/>
    </row>
    <row r="3" spans="1:23" ht="15" x14ac:dyDescent="0.25">
      <c r="A3" s="733"/>
      <c r="B3" s="4" t="s">
        <v>299</v>
      </c>
      <c r="C3" s="738"/>
      <c r="D3" s="738"/>
      <c r="E3" s="738"/>
      <c r="F3" s="738"/>
      <c r="G3" s="738"/>
      <c r="H3" s="738"/>
      <c r="I3" s="738"/>
      <c r="J3" s="738"/>
      <c r="K3" s="738"/>
      <c r="L3" s="738"/>
      <c r="M3" s="738"/>
      <c r="N3" s="738"/>
      <c r="O3" s="738"/>
    </row>
    <row r="4" spans="1:23" s="740" customFormat="1" x14ac:dyDescent="0.25">
      <c r="A4" s="66"/>
      <c r="B4" s="739"/>
      <c r="C4" s="738"/>
      <c r="D4" s="738"/>
      <c r="E4" s="738"/>
      <c r="F4" s="738"/>
      <c r="G4" s="738"/>
      <c r="H4" s="738"/>
      <c r="I4" s="738"/>
      <c r="J4" s="738"/>
      <c r="K4" s="738"/>
      <c r="L4" s="738"/>
      <c r="M4" s="738"/>
      <c r="N4" s="738"/>
      <c r="O4" s="738"/>
      <c r="P4" s="68"/>
    </row>
    <row r="5" spans="1:23" s="740" customFormat="1" ht="12" thickBot="1" x14ac:dyDescent="0.3">
      <c r="A5" s="66"/>
      <c r="B5" s="739"/>
      <c r="P5" s="68"/>
    </row>
    <row r="6" spans="1:23" s="742" customFormat="1" ht="18.600000000000001" thickBot="1" x14ac:dyDescent="0.3">
      <c r="A6" s="59"/>
      <c r="B6" s="1432" t="s">
        <v>652</v>
      </c>
      <c r="C6" s="1433"/>
      <c r="D6" s="1433"/>
      <c r="E6" s="1433"/>
      <c r="F6" s="1433"/>
      <c r="G6" s="1433"/>
      <c r="H6" s="1433"/>
      <c r="I6" s="1433"/>
      <c r="J6" s="1433"/>
      <c r="K6" s="1433"/>
      <c r="L6" s="1433"/>
      <c r="M6" s="1433"/>
      <c r="N6" s="1433"/>
      <c r="O6" s="1434"/>
      <c r="P6" s="753"/>
    </row>
    <row r="7" spans="1:23" s="740" customFormat="1" ht="11.4" x14ac:dyDescent="0.25">
      <c r="A7" s="66"/>
      <c r="B7" s="66"/>
      <c r="P7" s="68"/>
    </row>
    <row r="8" spans="1:23" s="742" customFormat="1" ht="15" thickBot="1" x14ac:dyDescent="0.3">
      <c r="A8" s="59"/>
      <c r="B8" s="290" t="s">
        <v>908</v>
      </c>
      <c r="P8" s="753"/>
    </row>
    <row r="9" spans="1:23" s="742" customFormat="1" ht="15.6" thickTop="1" thickBot="1" x14ac:dyDescent="0.3">
      <c r="A9" s="59"/>
      <c r="B9" s="743"/>
      <c r="C9" s="743">
        <v>44562</v>
      </c>
      <c r="D9" s="743">
        <v>44593</v>
      </c>
      <c r="E9" s="743">
        <v>44621</v>
      </c>
      <c r="F9" s="743">
        <v>44652</v>
      </c>
      <c r="G9" s="743">
        <v>44682</v>
      </c>
      <c r="H9" s="743">
        <v>44713</v>
      </c>
      <c r="I9" s="743">
        <v>44743</v>
      </c>
      <c r="J9" s="743">
        <v>44774</v>
      </c>
      <c r="K9" s="743">
        <v>44805</v>
      </c>
      <c r="L9" s="743">
        <v>44835</v>
      </c>
      <c r="M9" s="743">
        <v>44866</v>
      </c>
      <c r="N9" s="743">
        <v>44896</v>
      </c>
      <c r="O9" s="744">
        <v>2022</v>
      </c>
      <c r="P9" s="753"/>
    </row>
    <row r="10" spans="1:23" s="742" customFormat="1" ht="15.6" thickTop="1" thickBot="1" x14ac:dyDescent="0.3">
      <c r="A10" s="59"/>
      <c r="B10" s="59"/>
      <c r="C10" s="753"/>
      <c r="D10" s="753"/>
      <c r="E10" s="753"/>
      <c r="F10" s="753"/>
      <c r="G10" s="753"/>
      <c r="H10" s="753"/>
      <c r="I10" s="753"/>
      <c r="J10" s="753"/>
      <c r="K10" s="753"/>
      <c r="L10" s="753"/>
      <c r="M10" s="753"/>
      <c r="N10" s="753"/>
      <c r="O10" s="753"/>
      <c r="P10" s="753"/>
    </row>
    <row r="11" spans="1:23" s="742" customFormat="1" ht="15" thickBot="1" x14ac:dyDescent="0.3">
      <c r="A11" s="59"/>
      <c r="B11" s="1429" t="s">
        <v>621</v>
      </c>
      <c r="C11" s="1430"/>
      <c r="D11" s="1430"/>
      <c r="E11" s="1430"/>
      <c r="F11" s="1430"/>
      <c r="G11" s="1430"/>
      <c r="H11" s="1430"/>
      <c r="I11" s="1430"/>
      <c r="J11" s="1430"/>
      <c r="K11" s="1430"/>
      <c r="L11" s="1430"/>
      <c r="M11" s="1430"/>
      <c r="N11" s="1430"/>
      <c r="O11" s="1430"/>
      <c r="P11" s="753"/>
    </row>
    <row r="12" spans="1:23" s="747" customFormat="1" ht="15" thickBot="1" x14ac:dyDescent="0.3">
      <c r="A12" s="745"/>
      <c r="B12" s="746"/>
      <c r="C12" s="800"/>
      <c r="D12" s="800"/>
      <c r="E12" s="800"/>
      <c r="F12" s="800"/>
      <c r="G12" s="800"/>
      <c r="H12" s="800"/>
      <c r="I12" s="800"/>
      <c r="J12" s="800"/>
      <c r="K12" s="800"/>
      <c r="L12" s="800"/>
      <c r="M12" s="800"/>
      <c r="N12" s="800"/>
      <c r="O12" s="800"/>
      <c r="P12" s="801"/>
    </row>
    <row r="13" spans="1:23" ht="15.6" thickBot="1" x14ac:dyDescent="0.3">
      <c r="B13" s="748" t="s">
        <v>59</v>
      </c>
      <c r="C13" s="749">
        <f t="shared" ref="C13:O13" si="0">+C14+C15</f>
        <v>893.34335462185027</v>
      </c>
      <c r="D13" s="749">
        <f t="shared" si="0"/>
        <v>500.86404623597434</v>
      </c>
      <c r="E13" s="749">
        <f t="shared" si="0"/>
        <v>302.01165631372749</v>
      </c>
      <c r="F13" s="749">
        <f t="shared" si="0"/>
        <v>313.59475869283779</v>
      </c>
      <c r="G13" s="749">
        <f t="shared" si="0"/>
        <v>1239.5453066496291</v>
      </c>
      <c r="H13" s="749">
        <f t="shared" si="0"/>
        <v>308.77389163335584</v>
      </c>
      <c r="I13" s="749">
        <f t="shared" si="0"/>
        <v>781.75670267789189</v>
      </c>
      <c r="J13" s="749">
        <f t="shared" si="0"/>
        <v>430.39383779162921</v>
      </c>
      <c r="K13" s="749">
        <f t="shared" si="0"/>
        <v>274.51027938820187</v>
      </c>
      <c r="L13" s="749">
        <f t="shared" si="0"/>
        <v>213.46741196875394</v>
      </c>
      <c r="M13" s="749">
        <f t="shared" si="0"/>
        <v>436.82551969204656</v>
      </c>
      <c r="N13" s="749">
        <f t="shared" si="0"/>
        <v>305.35082762099597</v>
      </c>
      <c r="O13" s="749">
        <f t="shared" si="0"/>
        <v>6000.4375932868943</v>
      </c>
      <c r="P13" s="802"/>
      <c r="Q13" s="738"/>
      <c r="R13" s="738"/>
      <c r="S13" s="738"/>
      <c r="T13" s="738"/>
      <c r="U13" s="738"/>
      <c r="V13" s="738"/>
      <c r="W13" s="738"/>
    </row>
    <row r="14" spans="1:23" x14ac:dyDescent="0.25">
      <c r="A14" s="59"/>
      <c r="B14" s="751" t="s">
        <v>580</v>
      </c>
      <c r="C14" s="803">
        <v>44.619391836593671</v>
      </c>
      <c r="D14" s="803">
        <v>0</v>
      </c>
      <c r="E14" s="803">
        <v>0</v>
      </c>
      <c r="F14" s="803">
        <v>24.702966841265201</v>
      </c>
      <c r="G14" s="803">
        <v>0</v>
      </c>
      <c r="H14" s="803">
        <v>0</v>
      </c>
      <c r="I14" s="803">
        <v>0</v>
      </c>
      <c r="J14" s="803">
        <v>0</v>
      </c>
      <c r="K14" s="803">
        <v>0</v>
      </c>
      <c r="L14" s="803">
        <v>0</v>
      </c>
      <c r="M14" s="803">
        <v>0</v>
      </c>
      <c r="N14" s="803">
        <v>0</v>
      </c>
      <c r="O14" s="803">
        <f>+SUM(C14:N14)</f>
        <v>69.322358677858873</v>
      </c>
      <c r="P14" s="802"/>
      <c r="Q14" s="738"/>
      <c r="R14" s="738"/>
      <c r="S14" s="738"/>
      <c r="T14" s="738"/>
    </row>
    <row r="15" spans="1:23" x14ac:dyDescent="0.25">
      <c r="A15" s="59"/>
      <c r="B15" s="751" t="s">
        <v>581</v>
      </c>
      <c r="C15" s="803">
        <v>848.72396278525662</v>
      </c>
      <c r="D15" s="803">
        <v>500.86404623597434</v>
      </c>
      <c r="E15" s="803">
        <v>302.01165631372749</v>
      </c>
      <c r="F15" s="803">
        <v>288.89179185157258</v>
      </c>
      <c r="G15" s="803">
        <v>1239.5453066496291</v>
      </c>
      <c r="H15" s="803">
        <v>308.77389163335584</v>
      </c>
      <c r="I15" s="803">
        <v>781.75670267789189</v>
      </c>
      <c r="J15" s="803">
        <v>430.39383779162921</v>
      </c>
      <c r="K15" s="803">
        <v>274.51027938820187</v>
      </c>
      <c r="L15" s="803">
        <v>213.46741196875394</v>
      </c>
      <c r="M15" s="803">
        <v>436.82551969204656</v>
      </c>
      <c r="N15" s="803">
        <v>305.35082762099597</v>
      </c>
      <c r="O15" s="803">
        <f>+SUM(C15:N15)</f>
        <v>5931.1152346090357</v>
      </c>
      <c r="Q15" s="738"/>
      <c r="R15" s="738"/>
      <c r="S15" s="738"/>
      <c r="T15" s="738"/>
    </row>
    <row r="16" spans="1:23" s="747" customFormat="1" ht="15" thickBot="1" x14ac:dyDescent="0.3">
      <c r="A16" s="59"/>
      <c r="B16" s="59"/>
      <c r="C16" s="804"/>
      <c r="D16" s="804"/>
      <c r="E16" s="804"/>
      <c r="F16" s="804"/>
      <c r="G16" s="804"/>
      <c r="H16" s="804"/>
      <c r="I16" s="804"/>
      <c r="J16" s="804"/>
      <c r="K16" s="804"/>
      <c r="L16" s="804"/>
      <c r="M16" s="804"/>
      <c r="N16" s="804"/>
      <c r="O16" s="804"/>
      <c r="P16" s="738"/>
      <c r="Q16" s="738"/>
      <c r="R16" s="738"/>
      <c r="S16" s="738"/>
      <c r="T16" s="738"/>
    </row>
    <row r="17" spans="1:20" s="747" customFormat="1" ht="15" thickBot="1" x14ac:dyDescent="0.3">
      <c r="A17" s="59"/>
      <c r="B17" s="754" t="s">
        <v>52</v>
      </c>
      <c r="C17" s="755">
        <f>+C18++C25+C28+C32+C23+C29</f>
        <v>62.82545777930531</v>
      </c>
      <c r="D17" s="755">
        <f t="shared" ref="D17:N17" si="1">+D18++D25+D28+D32+D23+D29</f>
        <v>395.13579391975225</v>
      </c>
      <c r="E17" s="755">
        <f t="shared" si="1"/>
        <v>94.381263973967691</v>
      </c>
      <c r="F17" s="755">
        <f t="shared" si="1"/>
        <v>47.40264288929999</v>
      </c>
      <c r="G17" s="755">
        <f t="shared" si="1"/>
        <v>716.47370130143781</v>
      </c>
      <c r="H17" s="755">
        <f t="shared" si="1"/>
        <v>60.272234595920231</v>
      </c>
      <c r="I17" s="755">
        <f t="shared" si="1"/>
        <v>61.001913483371546</v>
      </c>
      <c r="J17" s="755">
        <f t="shared" si="1"/>
        <v>325.25272061099713</v>
      </c>
      <c r="K17" s="755">
        <f t="shared" si="1"/>
        <v>95.548624725689862</v>
      </c>
      <c r="L17" s="755">
        <f t="shared" si="1"/>
        <v>48.637149834508548</v>
      </c>
      <c r="M17" s="755">
        <f t="shared" si="1"/>
        <v>307.9760090440019</v>
      </c>
      <c r="N17" s="755">
        <f t="shared" si="1"/>
        <v>57.055126069623235</v>
      </c>
      <c r="O17" s="755">
        <f t="shared" ref="O17:O34" si="2">+SUM(C17:N17)</f>
        <v>2271.9626382278757</v>
      </c>
      <c r="P17" s="1228"/>
      <c r="Q17" s="738"/>
      <c r="R17" s="738"/>
      <c r="S17" s="805"/>
      <c r="T17" s="738"/>
    </row>
    <row r="18" spans="1:20" s="747" customFormat="1" x14ac:dyDescent="0.25">
      <c r="A18" s="59"/>
      <c r="B18" s="806" t="s">
        <v>62</v>
      </c>
      <c r="C18" s="757">
        <f t="shared" ref="C18" si="3">SUM(C19:C22)</f>
        <v>28.483097900000001</v>
      </c>
      <c r="D18" s="757">
        <f t="shared" ref="D18:N18" si="4">SUM(D19:D22)</f>
        <v>388.22149794396029</v>
      </c>
      <c r="E18" s="757">
        <f t="shared" si="4"/>
        <v>83.591478639999991</v>
      </c>
      <c r="F18" s="757">
        <f t="shared" si="4"/>
        <v>38.808254133519952</v>
      </c>
      <c r="G18" s="757">
        <f t="shared" si="4"/>
        <v>381.88527309171889</v>
      </c>
      <c r="H18" s="757">
        <f t="shared" si="4"/>
        <v>31.082419777059233</v>
      </c>
      <c r="I18" s="757">
        <f t="shared" si="4"/>
        <v>28.455347520000004</v>
      </c>
      <c r="J18" s="757">
        <f t="shared" si="4"/>
        <v>318.64176039905578</v>
      </c>
      <c r="K18" s="757">
        <f t="shared" si="4"/>
        <v>84.886884969999983</v>
      </c>
      <c r="L18" s="757">
        <f t="shared" si="4"/>
        <v>40.278921150328898</v>
      </c>
      <c r="M18" s="757">
        <f t="shared" si="4"/>
        <v>300.27002961423375</v>
      </c>
      <c r="N18" s="757">
        <f t="shared" si="4"/>
        <v>29.754940444177223</v>
      </c>
      <c r="O18" s="757">
        <f t="shared" si="2"/>
        <v>1754.3599055840543</v>
      </c>
      <c r="P18" s="1228"/>
      <c r="Q18" s="738"/>
      <c r="R18" s="738"/>
      <c r="S18" s="738"/>
      <c r="T18" s="738"/>
    </row>
    <row r="19" spans="1:20" s="747" customFormat="1" x14ac:dyDescent="0.25">
      <c r="A19" s="59"/>
      <c r="B19" s="774" t="s">
        <v>63</v>
      </c>
      <c r="C19" s="759">
        <v>2.3189515600000004</v>
      </c>
      <c r="D19" s="759">
        <v>1.6088374700000001</v>
      </c>
      <c r="E19" s="759">
        <v>17.463907659999997</v>
      </c>
      <c r="F19" s="759">
        <v>14.337592000000003</v>
      </c>
      <c r="G19" s="759">
        <v>6.5607866599999998</v>
      </c>
      <c r="H19" s="759">
        <v>16.578936049999999</v>
      </c>
      <c r="I19" s="759">
        <v>2.8968042199999999</v>
      </c>
      <c r="J19" s="759">
        <v>1.8257007300000001</v>
      </c>
      <c r="K19" s="759">
        <v>17.441040609999998</v>
      </c>
      <c r="L19" s="759">
        <v>15.25250187</v>
      </c>
      <c r="M19" s="759">
        <v>6.8458169900000012</v>
      </c>
      <c r="N19" s="759">
        <v>16.257199789999998</v>
      </c>
      <c r="O19" s="759">
        <f t="shared" si="2"/>
        <v>119.38807561</v>
      </c>
      <c r="P19" s="1228"/>
      <c r="Q19" s="738"/>
      <c r="R19" s="738"/>
      <c r="S19" s="738"/>
      <c r="T19" s="738"/>
    </row>
    <row r="20" spans="1:20" s="747" customFormat="1" x14ac:dyDescent="0.25">
      <c r="A20" s="59"/>
      <c r="B20" s="807" t="s">
        <v>64</v>
      </c>
      <c r="C20" s="769">
        <v>19.219580829999998</v>
      </c>
      <c r="D20" s="769">
        <v>10.998404247123286</v>
      </c>
      <c r="E20" s="769">
        <v>56.652931730000006</v>
      </c>
      <c r="F20" s="769">
        <v>18.755887230000003</v>
      </c>
      <c r="G20" s="769">
        <v>41.995146070000018</v>
      </c>
      <c r="H20" s="769">
        <v>4.6652141699999996</v>
      </c>
      <c r="I20" s="769">
        <v>18.477404010000004</v>
      </c>
      <c r="J20" s="769">
        <v>10.290885132876713</v>
      </c>
      <c r="K20" s="769">
        <v>57.216082659999991</v>
      </c>
      <c r="L20" s="769">
        <v>18.002867389999999</v>
      </c>
      <c r="M20" s="769">
        <v>40.935581399999997</v>
      </c>
      <c r="N20" s="769">
        <v>4.3856455199999997</v>
      </c>
      <c r="O20" s="769">
        <f t="shared" si="2"/>
        <v>301.59563039000005</v>
      </c>
      <c r="P20" s="1228"/>
      <c r="Q20" s="738"/>
      <c r="R20" s="738"/>
      <c r="S20" s="738"/>
      <c r="T20" s="738"/>
    </row>
    <row r="21" spans="1:20" s="747" customFormat="1" x14ac:dyDescent="0.25">
      <c r="A21" s="59"/>
      <c r="B21" s="763" t="s">
        <v>578</v>
      </c>
      <c r="C21" s="769">
        <v>0</v>
      </c>
      <c r="D21" s="769">
        <v>366.25974387683698</v>
      </c>
      <c r="E21" s="769">
        <v>0</v>
      </c>
      <c r="F21" s="769">
        <v>0</v>
      </c>
      <c r="G21" s="769">
        <v>325.93411617914626</v>
      </c>
      <c r="H21" s="769">
        <v>0</v>
      </c>
      <c r="I21" s="769">
        <v>0</v>
      </c>
      <c r="J21" s="769">
        <v>297.27559273617908</v>
      </c>
      <c r="K21" s="769">
        <v>0</v>
      </c>
      <c r="L21" s="769">
        <v>0</v>
      </c>
      <c r="M21" s="769">
        <v>245.1555325542337</v>
      </c>
      <c r="N21" s="769">
        <v>0</v>
      </c>
      <c r="O21" s="769">
        <f t="shared" si="2"/>
        <v>1234.624985346396</v>
      </c>
      <c r="P21" s="1228"/>
      <c r="Q21" s="738"/>
      <c r="R21" s="738"/>
      <c r="S21" s="738"/>
      <c r="T21" s="738"/>
    </row>
    <row r="22" spans="1:20" s="767" customFormat="1" x14ac:dyDescent="0.25">
      <c r="A22" s="59"/>
      <c r="B22" s="763" t="s">
        <v>65</v>
      </c>
      <c r="C22" s="808">
        <v>6.9445655099999994</v>
      </c>
      <c r="D22" s="808">
        <v>9.3545123500000003</v>
      </c>
      <c r="E22" s="808">
        <v>9.4746392499999992</v>
      </c>
      <c r="F22" s="808">
        <v>5.7147749035199435</v>
      </c>
      <c r="G22" s="808">
        <v>7.3952241825726297</v>
      </c>
      <c r="H22" s="808">
        <v>9.8382695570592347</v>
      </c>
      <c r="I22" s="808">
        <v>7.0811392900000003</v>
      </c>
      <c r="J22" s="808">
        <v>9.2495817999999996</v>
      </c>
      <c r="K22" s="808">
        <v>10.229761699999999</v>
      </c>
      <c r="L22" s="808">
        <v>7.0235518903289025</v>
      </c>
      <c r="M22" s="808">
        <v>7.3330986700000009</v>
      </c>
      <c r="N22" s="808">
        <v>9.1120951341772241</v>
      </c>
      <c r="O22" s="808">
        <f t="shared" si="2"/>
        <v>98.751214237657933</v>
      </c>
      <c r="P22" s="1228"/>
      <c r="Q22" s="738"/>
      <c r="R22" s="738"/>
      <c r="S22" s="738"/>
      <c r="T22" s="738"/>
    </row>
    <row r="23" spans="1:20" s="767" customFormat="1" x14ac:dyDescent="0.25">
      <c r="A23" s="59"/>
      <c r="B23" s="784" t="s">
        <v>66</v>
      </c>
      <c r="C23" s="765">
        <f t="shared" ref="C23:N23" si="5">+C24</f>
        <v>3.2065200760575823</v>
      </c>
      <c r="D23" s="765">
        <f t="shared" si="5"/>
        <v>3.2065200760575823</v>
      </c>
      <c r="E23" s="765">
        <f t="shared" si="5"/>
        <v>2.9746257405873853</v>
      </c>
      <c r="F23" s="765">
        <f t="shared" si="5"/>
        <v>3.2065200760575823</v>
      </c>
      <c r="G23" s="765">
        <f t="shared" si="5"/>
        <v>3.1292219667413557</v>
      </c>
      <c r="H23" s="765">
        <f t="shared" si="5"/>
        <v>3.2065200760575823</v>
      </c>
      <c r="I23" s="765">
        <f t="shared" si="5"/>
        <v>3.1292219667413557</v>
      </c>
      <c r="J23" s="765">
        <f t="shared" si="5"/>
        <v>3.2065200760575823</v>
      </c>
      <c r="K23" s="765">
        <f t="shared" si="5"/>
        <v>3.2065200760575823</v>
      </c>
      <c r="L23" s="765">
        <f t="shared" si="5"/>
        <v>3.1292219667413557</v>
      </c>
      <c r="M23" s="765">
        <f t="shared" si="5"/>
        <v>3.2065200760575823</v>
      </c>
      <c r="N23" s="765">
        <f t="shared" si="5"/>
        <v>3.1292219667413557</v>
      </c>
      <c r="O23" s="765">
        <f t="shared" si="2"/>
        <v>37.937154139955879</v>
      </c>
      <c r="P23" s="1228"/>
      <c r="Q23" s="738"/>
      <c r="R23" s="738"/>
      <c r="S23" s="738"/>
      <c r="T23" s="738"/>
    </row>
    <row r="24" spans="1:20" s="767" customFormat="1" x14ac:dyDescent="0.25">
      <c r="A24" s="59"/>
      <c r="B24" s="770" t="s">
        <v>67</v>
      </c>
      <c r="C24" s="771">
        <v>3.2065200760575823</v>
      </c>
      <c r="D24" s="771">
        <v>3.2065200760575823</v>
      </c>
      <c r="E24" s="771">
        <v>2.9746257405873853</v>
      </c>
      <c r="F24" s="771">
        <v>3.2065200760575823</v>
      </c>
      <c r="G24" s="771">
        <v>3.1292219667413557</v>
      </c>
      <c r="H24" s="771">
        <v>3.2065200760575823</v>
      </c>
      <c r="I24" s="771">
        <v>3.1292219667413557</v>
      </c>
      <c r="J24" s="771">
        <v>3.2065200760575823</v>
      </c>
      <c r="K24" s="771">
        <v>3.2065200760575823</v>
      </c>
      <c r="L24" s="771">
        <v>3.1292219667413557</v>
      </c>
      <c r="M24" s="771">
        <v>3.2065200760575823</v>
      </c>
      <c r="N24" s="771">
        <v>3.1292219667413557</v>
      </c>
      <c r="O24" s="809">
        <f t="shared" si="2"/>
        <v>37.937154139955879</v>
      </c>
      <c r="P24" s="1228"/>
      <c r="Q24" s="738"/>
      <c r="R24" s="738"/>
      <c r="S24" s="738"/>
      <c r="T24" s="738"/>
    </row>
    <row r="25" spans="1:20" s="767" customFormat="1" x14ac:dyDescent="0.25">
      <c r="A25" s="59"/>
      <c r="B25" s="784" t="s">
        <v>68</v>
      </c>
      <c r="C25" s="765">
        <f>+C26</f>
        <v>8.4857939890063253E-2</v>
      </c>
      <c r="D25" s="765">
        <f t="shared" ref="D25:N25" si="6">+D26</f>
        <v>0.1696340982895749</v>
      </c>
      <c r="E25" s="765">
        <f t="shared" si="6"/>
        <v>1.6299703194424279E-3</v>
      </c>
      <c r="F25" s="765">
        <f t="shared" si="6"/>
        <v>0.88319977070741384</v>
      </c>
      <c r="G25" s="765">
        <f t="shared" si="6"/>
        <v>1.7836646073781561</v>
      </c>
      <c r="H25" s="765">
        <f t="shared" si="6"/>
        <v>0.10540483820821837</v>
      </c>
      <c r="I25" s="765">
        <f t="shared" si="6"/>
        <v>7.1254370547458673E-2</v>
      </c>
      <c r="J25" s="765">
        <f t="shared" si="6"/>
        <v>0.16114335766782151</v>
      </c>
      <c r="K25" s="765">
        <f t="shared" si="6"/>
        <v>1.2439210512559897E-3</v>
      </c>
      <c r="L25" s="765">
        <f t="shared" si="6"/>
        <v>0.85312797808247198</v>
      </c>
      <c r="M25" s="765">
        <f t="shared" si="6"/>
        <v>1.6516171651966183</v>
      </c>
      <c r="N25" s="765">
        <f t="shared" si="6"/>
        <v>9.4511084328444891E-2</v>
      </c>
      <c r="O25" s="765">
        <f t="shared" si="2"/>
        <v>5.8612891016669391</v>
      </c>
      <c r="P25" s="1228"/>
      <c r="Q25" s="738"/>
      <c r="R25" s="738"/>
      <c r="S25" s="738"/>
      <c r="T25" s="738"/>
    </row>
    <row r="26" spans="1:20" s="767" customFormat="1" x14ac:dyDescent="0.25">
      <c r="A26" s="59"/>
      <c r="B26" s="807" t="s">
        <v>69</v>
      </c>
      <c r="C26" s="769">
        <f t="shared" ref="C26:N26" si="7">+C27</f>
        <v>8.4857939890063253E-2</v>
      </c>
      <c r="D26" s="769">
        <f t="shared" si="7"/>
        <v>0.1696340982895749</v>
      </c>
      <c r="E26" s="769">
        <f t="shared" si="7"/>
        <v>1.6299703194424279E-3</v>
      </c>
      <c r="F26" s="769">
        <f t="shared" si="7"/>
        <v>0.88319977070741384</v>
      </c>
      <c r="G26" s="769">
        <f t="shared" si="7"/>
        <v>1.7836646073781561</v>
      </c>
      <c r="H26" s="769">
        <f t="shared" si="7"/>
        <v>0.10540483820821837</v>
      </c>
      <c r="I26" s="769">
        <f t="shared" si="7"/>
        <v>7.1254370547458673E-2</v>
      </c>
      <c r="J26" s="769">
        <f t="shared" si="7"/>
        <v>0.16114335766782151</v>
      </c>
      <c r="K26" s="769">
        <f t="shared" si="7"/>
        <v>1.2439210512559897E-3</v>
      </c>
      <c r="L26" s="769">
        <f t="shared" si="7"/>
        <v>0.85312797808247198</v>
      </c>
      <c r="M26" s="769">
        <f t="shared" si="7"/>
        <v>1.6516171651966183</v>
      </c>
      <c r="N26" s="769">
        <f t="shared" si="7"/>
        <v>9.4511084328444891E-2</v>
      </c>
      <c r="O26" s="769">
        <f t="shared" si="2"/>
        <v>5.8612891016669391</v>
      </c>
      <c r="P26" s="1228"/>
      <c r="Q26" s="738"/>
      <c r="R26" s="738"/>
      <c r="S26" s="738"/>
      <c r="T26" s="738"/>
    </row>
    <row r="27" spans="1:20" s="767" customFormat="1" x14ac:dyDescent="0.25">
      <c r="A27" s="59"/>
      <c r="B27" s="770" t="s">
        <v>98</v>
      </c>
      <c r="C27" s="810">
        <v>8.4857939890063253E-2</v>
      </c>
      <c r="D27" s="810">
        <v>0.1696340982895749</v>
      </c>
      <c r="E27" s="810">
        <v>1.6299703194424279E-3</v>
      </c>
      <c r="F27" s="810">
        <v>0.88319977070741384</v>
      </c>
      <c r="G27" s="810">
        <v>1.7836646073781561</v>
      </c>
      <c r="H27" s="810">
        <v>0.10540483820821837</v>
      </c>
      <c r="I27" s="810">
        <v>7.1254370547458673E-2</v>
      </c>
      <c r="J27" s="810">
        <v>0.16114335766782151</v>
      </c>
      <c r="K27" s="810">
        <v>1.2439210512559897E-3</v>
      </c>
      <c r="L27" s="810">
        <v>0.85312797808247198</v>
      </c>
      <c r="M27" s="810">
        <v>1.6516171651966183</v>
      </c>
      <c r="N27" s="810">
        <v>9.4511084328444891E-2</v>
      </c>
      <c r="O27" s="810">
        <f t="shared" si="2"/>
        <v>5.8612891016669391</v>
      </c>
      <c r="P27" s="1228"/>
      <c r="Q27" s="738"/>
      <c r="R27" s="738"/>
      <c r="S27" s="738"/>
      <c r="T27" s="738"/>
    </row>
    <row r="28" spans="1:20" s="59" customFormat="1" x14ac:dyDescent="0.25">
      <c r="B28" s="784" t="s">
        <v>70</v>
      </c>
      <c r="C28" s="765">
        <v>28.027253900000002</v>
      </c>
      <c r="D28" s="765">
        <v>9.6887530617546153E-2</v>
      </c>
      <c r="E28" s="765">
        <v>8.6424225514730224E-2</v>
      </c>
      <c r="F28" s="765">
        <v>1.5961003034919301</v>
      </c>
      <c r="G28" s="765">
        <v>327.03761174331225</v>
      </c>
      <c r="H28" s="765">
        <v>22.544314919631692</v>
      </c>
      <c r="I28" s="765">
        <v>26.605978190000002</v>
      </c>
      <c r="J28" s="765">
        <v>0.10886282427435603</v>
      </c>
      <c r="K28" s="765">
        <v>0.13269062154584577</v>
      </c>
      <c r="L28" s="765">
        <v>1.7314232031271155</v>
      </c>
      <c r="M28" s="765">
        <v>0.42403503710272267</v>
      </c>
      <c r="N28" s="765">
        <v>21.051932869631688</v>
      </c>
      <c r="O28" s="765">
        <f t="shared" si="2"/>
        <v>429.44351536824985</v>
      </c>
      <c r="P28" s="1228"/>
      <c r="Q28" s="738"/>
      <c r="R28" s="738"/>
      <c r="S28" s="738"/>
      <c r="T28" s="738"/>
    </row>
    <row r="29" spans="1:20" s="59" customFormat="1" x14ac:dyDescent="0.25">
      <c r="B29" s="784" t="s">
        <v>909</v>
      </c>
      <c r="C29" s="765">
        <f>+C30</f>
        <v>0</v>
      </c>
      <c r="D29" s="765">
        <f t="shared" ref="D29:N30" si="8">+D30</f>
        <v>0</v>
      </c>
      <c r="E29" s="765">
        <f t="shared" si="8"/>
        <v>3.3506060688113517</v>
      </c>
      <c r="F29" s="765">
        <f t="shared" si="8"/>
        <v>0</v>
      </c>
      <c r="G29" s="765">
        <f t="shared" si="8"/>
        <v>0</v>
      </c>
      <c r="H29" s="765">
        <f t="shared" si="8"/>
        <v>0</v>
      </c>
      <c r="I29" s="765">
        <f t="shared" si="8"/>
        <v>0</v>
      </c>
      <c r="J29" s="765">
        <f t="shared" si="8"/>
        <v>0</v>
      </c>
      <c r="K29" s="765">
        <f t="shared" si="8"/>
        <v>3.3506060688113517</v>
      </c>
      <c r="L29" s="765">
        <f t="shared" si="8"/>
        <v>0</v>
      </c>
      <c r="M29" s="765">
        <f t="shared" si="8"/>
        <v>0</v>
      </c>
      <c r="N29" s="765">
        <f t="shared" si="8"/>
        <v>0</v>
      </c>
      <c r="O29" s="765">
        <f t="shared" si="2"/>
        <v>6.7012121376227034</v>
      </c>
      <c r="P29" s="1228"/>
      <c r="Q29" s="738"/>
      <c r="R29" s="738"/>
      <c r="S29" s="738"/>
      <c r="T29" s="738"/>
    </row>
    <row r="30" spans="1:20" s="59" customFormat="1" x14ac:dyDescent="0.25">
      <c r="B30" s="807" t="s">
        <v>67</v>
      </c>
      <c r="C30" s="769">
        <f>+C31</f>
        <v>0</v>
      </c>
      <c r="D30" s="769">
        <f t="shared" si="8"/>
        <v>0</v>
      </c>
      <c r="E30" s="769">
        <f t="shared" si="8"/>
        <v>3.3506060688113517</v>
      </c>
      <c r="F30" s="769">
        <f t="shared" si="8"/>
        <v>0</v>
      </c>
      <c r="G30" s="769">
        <f t="shared" si="8"/>
        <v>0</v>
      </c>
      <c r="H30" s="769">
        <f t="shared" si="8"/>
        <v>0</v>
      </c>
      <c r="I30" s="769">
        <f t="shared" si="8"/>
        <v>0</v>
      </c>
      <c r="J30" s="769">
        <f t="shared" si="8"/>
        <v>0</v>
      </c>
      <c r="K30" s="769">
        <f t="shared" si="8"/>
        <v>3.3506060688113517</v>
      </c>
      <c r="L30" s="769">
        <f t="shared" si="8"/>
        <v>0</v>
      </c>
      <c r="M30" s="769">
        <f t="shared" si="8"/>
        <v>0</v>
      </c>
      <c r="N30" s="769">
        <f t="shared" si="8"/>
        <v>0</v>
      </c>
      <c r="O30" s="765">
        <f t="shared" si="2"/>
        <v>6.7012121376227034</v>
      </c>
      <c r="P30" s="1228"/>
      <c r="Q30" s="738"/>
      <c r="R30" s="738"/>
      <c r="S30" s="738"/>
      <c r="T30" s="738"/>
    </row>
    <row r="31" spans="1:20" s="59" customFormat="1" x14ac:dyDescent="0.25">
      <c r="B31" s="770" t="s">
        <v>582</v>
      </c>
      <c r="C31" s="810">
        <v>0</v>
      </c>
      <c r="D31" s="810">
        <v>0</v>
      </c>
      <c r="E31" s="810">
        <v>3.3506060688113517</v>
      </c>
      <c r="F31" s="810">
        <v>0</v>
      </c>
      <c r="G31" s="810">
        <v>0</v>
      </c>
      <c r="H31" s="810">
        <v>0</v>
      </c>
      <c r="I31" s="810">
        <v>0</v>
      </c>
      <c r="J31" s="810">
        <v>0</v>
      </c>
      <c r="K31" s="810">
        <v>3.3506060688113517</v>
      </c>
      <c r="L31" s="810">
        <v>0</v>
      </c>
      <c r="M31" s="810">
        <v>0</v>
      </c>
      <c r="N31" s="810">
        <v>0</v>
      </c>
      <c r="O31" s="765">
        <f t="shared" si="2"/>
        <v>6.7012121376227034</v>
      </c>
      <c r="P31" s="1228"/>
      <c r="Q31" s="738"/>
      <c r="R31" s="738"/>
      <c r="S31" s="738"/>
      <c r="T31" s="738"/>
    </row>
    <row r="32" spans="1:20" s="747" customFormat="1" x14ac:dyDescent="0.25">
      <c r="A32" s="59"/>
      <c r="B32" s="784" t="s">
        <v>677</v>
      </c>
      <c r="C32" s="765">
        <f t="shared" ref="C32:N32" si="9">+C33+C34</f>
        <v>3.0237279633576644</v>
      </c>
      <c r="D32" s="765">
        <f t="shared" si="9"/>
        <v>3.4412542708272502</v>
      </c>
      <c r="E32" s="765">
        <f t="shared" si="9"/>
        <v>4.3764993287347931</v>
      </c>
      <c r="F32" s="765">
        <f t="shared" si="9"/>
        <v>2.9085686055231141</v>
      </c>
      <c r="G32" s="765">
        <f t="shared" si="9"/>
        <v>2.6379298922871044</v>
      </c>
      <c r="H32" s="765">
        <f t="shared" si="9"/>
        <v>3.3335749849635037</v>
      </c>
      <c r="I32" s="765">
        <f t="shared" si="9"/>
        <v>2.7401114360827252</v>
      </c>
      <c r="J32" s="765">
        <f t="shared" si="9"/>
        <v>3.1344339539416057</v>
      </c>
      <c r="K32" s="765">
        <f t="shared" si="9"/>
        <v>3.9706790682238444</v>
      </c>
      <c r="L32" s="765">
        <f t="shared" si="9"/>
        <v>2.644455536228711</v>
      </c>
      <c r="M32" s="765">
        <f t="shared" si="9"/>
        <v>2.4238071514111921</v>
      </c>
      <c r="N32" s="765">
        <f t="shared" si="9"/>
        <v>3.0245197047445256</v>
      </c>
      <c r="O32" s="765">
        <f t="shared" si="2"/>
        <v>37.659561896326032</v>
      </c>
      <c r="P32" s="1228"/>
      <c r="Q32" s="738"/>
      <c r="R32" s="738"/>
      <c r="S32" s="738"/>
      <c r="T32" s="738"/>
    </row>
    <row r="33" spans="1:20" s="747" customFormat="1" x14ac:dyDescent="0.25">
      <c r="A33" s="59"/>
      <c r="B33" s="785" t="s">
        <v>71</v>
      </c>
      <c r="C33" s="810">
        <v>2.1233504233576643</v>
      </c>
      <c r="D33" s="810">
        <v>2.1141170608272506</v>
      </c>
      <c r="E33" s="810">
        <v>2.1047913187347929</v>
      </c>
      <c r="F33" s="810">
        <v>2.0953794355231143</v>
      </c>
      <c r="G33" s="810">
        <v>2.0858584622871046</v>
      </c>
      <c r="H33" s="810">
        <v>2.0762263649635035</v>
      </c>
      <c r="I33" s="810">
        <v>2.0664565060827251</v>
      </c>
      <c r="J33" s="810">
        <v>2.056548583941606</v>
      </c>
      <c r="K33" s="810">
        <v>2.0464964282238443</v>
      </c>
      <c r="L33" s="810">
        <v>2.0363630462287108</v>
      </c>
      <c r="M33" s="810">
        <v>2.0266552214111924</v>
      </c>
      <c r="N33" s="810">
        <v>2.0174965547445254</v>
      </c>
      <c r="O33" s="810">
        <f t="shared" si="2"/>
        <v>24.849739406326034</v>
      </c>
      <c r="P33" s="1228"/>
      <c r="Q33" s="738"/>
      <c r="R33" s="738"/>
      <c r="S33" s="738"/>
      <c r="T33" s="738"/>
    </row>
    <row r="34" spans="1:20" s="747" customFormat="1" x14ac:dyDescent="0.25">
      <c r="A34" s="59"/>
      <c r="B34" s="775" t="s">
        <v>69</v>
      </c>
      <c r="C34" s="811">
        <v>0.90037754000000003</v>
      </c>
      <c r="D34" s="811">
        <v>1.3271372099999998</v>
      </c>
      <c r="E34" s="811">
        <v>2.2717080100000002</v>
      </c>
      <c r="F34" s="811">
        <v>0.81318917000000002</v>
      </c>
      <c r="G34" s="811">
        <v>0.55207142999999992</v>
      </c>
      <c r="H34" s="811">
        <v>1.2573486200000001</v>
      </c>
      <c r="I34" s="811">
        <v>0.67365492999999999</v>
      </c>
      <c r="J34" s="811">
        <v>1.0778853699999997</v>
      </c>
      <c r="K34" s="811">
        <v>1.9241826400000002</v>
      </c>
      <c r="L34" s="811">
        <v>0.60809248999999999</v>
      </c>
      <c r="M34" s="811">
        <v>0.39715192999999993</v>
      </c>
      <c r="N34" s="811">
        <v>1.00702315</v>
      </c>
      <c r="O34" s="811">
        <f t="shared" si="2"/>
        <v>12.80982249</v>
      </c>
      <c r="P34" s="1228"/>
      <c r="Q34" s="738"/>
      <c r="R34" s="738"/>
      <c r="S34" s="738"/>
      <c r="T34" s="738"/>
    </row>
    <row r="35" spans="1:20" s="747" customFormat="1" ht="15" thickBot="1" x14ac:dyDescent="0.3">
      <c r="A35" s="59"/>
      <c r="B35" s="777"/>
      <c r="C35" s="777"/>
      <c r="D35" s="777"/>
      <c r="E35" s="777"/>
      <c r="F35" s="777"/>
      <c r="G35" s="777"/>
      <c r="H35" s="777"/>
      <c r="I35" s="777"/>
      <c r="J35" s="777"/>
      <c r="K35" s="777"/>
      <c r="L35" s="777"/>
      <c r="M35" s="777"/>
      <c r="N35" s="777"/>
      <c r="O35" s="777"/>
      <c r="P35" s="1228"/>
      <c r="Q35" s="738"/>
      <c r="R35" s="738"/>
      <c r="S35" s="738"/>
      <c r="T35" s="738"/>
    </row>
    <row r="36" spans="1:20" s="747" customFormat="1" ht="15" thickBot="1" x14ac:dyDescent="0.3">
      <c r="A36" s="59"/>
      <c r="B36" s="779" t="s">
        <v>302</v>
      </c>
      <c r="C36" s="755">
        <f t="shared" ref="C36:N36" si="10">+C37+C53+SUM(C67:C113)+C116</f>
        <v>830.51789700255381</v>
      </c>
      <c r="D36" s="755">
        <f t="shared" si="10"/>
        <v>105.72825229622208</v>
      </c>
      <c r="E36" s="755">
        <f t="shared" si="10"/>
        <v>207.63039232975959</v>
      </c>
      <c r="F36" s="755">
        <f t="shared" si="10"/>
        <v>266.19211580353777</v>
      </c>
      <c r="G36" s="755">
        <f t="shared" si="10"/>
        <v>523.07160534819138</v>
      </c>
      <c r="H36" s="755">
        <f t="shared" si="10"/>
        <v>248.50165700743571</v>
      </c>
      <c r="I36" s="755">
        <f t="shared" si="10"/>
        <v>720.75478916452005</v>
      </c>
      <c r="J36" s="755">
        <f t="shared" si="10"/>
        <v>105.14111716063205</v>
      </c>
      <c r="K36" s="755">
        <f t="shared" si="10"/>
        <v>178.96165465251204</v>
      </c>
      <c r="L36" s="755">
        <f t="shared" si="10"/>
        <v>164.83026211424541</v>
      </c>
      <c r="M36" s="755">
        <f t="shared" si="10"/>
        <v>128.84951064804491</v>
      </c>
      <c r="N36" s="755">
        <f t="shared" si="10"/>
        <v>248.2957015313728</v>
      </c>
      <c r="O36" s="780">
        <f t="shared" ref="O36:O98" si="11">+SUM(C36:N36)</f>
        <v>3728.4749550590273</v>
      </c>
      <c r="P36" s="1228"/>
      <c r="Q36" s="738"/>
      <c r="R36" s="738"/>
      <c r="S36" s="738"/>
      <c r="T36" s="738"/>
    </row>
    <row r="37" spans="1:20" s="747" customFormat="1" x14ac:dyDescent="0.25">
      <c r="A37" s="59"/>
      <c r="B37" s="756" t="s">
        <v>73</v>
      </c>
      <c r="C37" s="812">
        <f t="shared" ref="C37:N37" si="12">+C38+C41+C48+C50</f>
        <v>0</v>
      </c>
      <c r="D37" s="812">
        <f t="shared" si="12"/>
        <v>0</v>
      </c>
      <c r="E37" s="812">
        <f t="shared" si="12"/>
        <v>18.600330351444871</v>
      </c>
      <c r="F37" s="812">
        <f t="shared" si="12"/>
        <v>2.5911593599999998</v>
      </c>
      <c r="G37" s="812">
        <f t="shared" si="12"/>
        <v>0</v>
      </c>
      <c r="H37" s="812">
        <f t="shared" si="12"/>
        <v>0</v>
      </c>
      <c r="I37" s="812">
        <f t="shared" si="12"/>
        <v>0</v>
      </c>
      <c r="J37" s="812">
        <f t="shared" si="12"/>
        <v>0</v>
      </c>
      <c r="K37" s="812">
        <f t="shared" si="12"/>
        <v>19.248120191444869</v>
      </c>
      <c r="L37" s="812">
        <f t="shared" si="12"/>
        <v>0</v>
      </c>
      <c r="M37" s="812">
        <f t="shared" si="12"/>
        <v>0</v>
      </c>
      <c r="N37" s="812">
        <f t="shared" si="12"/>
        <v>0</v>
      </c>
      <c r="O37" s="812">
        <f t="shared" si="11"/>
        <v>40.439609902889742</v>
      </c>
      <c r="P37" s="1228"/>
      <c r="Q37" s="738"/>
      <c r="R37" s="738"/>
      <c r="S37" s="738"/>
      <c r="T37" s="738"/>
    </row>
    <row r="38" spans="1:20" s="747" customFormat="1" x14ac:dyDescent="0.25">
      <c r="A38" s="59"/>
      <c r="B38" s="813" t="s">
        <v>819</v>
      </c>
      <c r="C38" s="809">
        <f t="shared" ref="C38:N38" si="13">+C39+C40</f>
        <v>0</v>
      </c>
      <c r="D38" s="809">
        <f t="shared" si="13"/>
        <v>0</v>
      </c>
      <c r="E38" s="809">
        <f t="shared" si="13"/>
        <v>6.4858394238818713</v>
      </c>
      <c r="F38" s="809">
        <f t="shared" si="13"/>
        <v>0</v>
      </c>
      <c r="G38" s="809">
        <f t="shared" si="13"/>
        <v>0</v>
      </c>
      <c r="H38" s="809">
        <f t="shared" si="13"/>
        <v>0</v>
      </c>
      <c r="I38" s="809">
        <f t="shared" si="13"/>
        <v>0</v>
      </c>
      <c r="J38" s="809">
        <f t="shared" si="13"/>
        <v>0</v>
      </c>
      <c r="K38" s="809">
        <f t="shared" si="13"/>
        <v>6.4858394238818713</v>
      </c>
      <c r="L38" s="809">
        <f t="shared" si="13"/>
        <v>0</v>
      </c>
      <c r="M38" s="809">
        <f t="shared" si="13"/>
        <v>0</v>
      </c>
      <c r="N38" s="809">
        <f t="shared" si="13"/>
        <v>0</v>
      </c>
      <c r="O38" s="809">
        <f t="shared" si="11"/>
        <v>12.971678847763743</v>
      </c>
      <c r="P38" s="1228"/>
      <c r="Q38" s="738"/>
      <c r="R38" s="738"/>
      <c r="S38" s="738"/>
      <c r="T38" s="738"/>
    </row>
    <row r="39" spans="1:20" s="747" customFormat="1" x14ac:dyDescent="0.25">
      <c r="A39" s="59"/>
      <c r="B39" s="814" t="s">
        <v>820</v>
      </c>
      <c r="C39" s="778">
        <v>0</v>
      </c>
      <c r="D39" s="778">
        <v>0</v>
      </c>
      <c r="E39" s="778">
        <v>6.4601474029329413</v>
      </c>
      <c r="F39" s="778">
        <v>0</v>
      </c>
      <c r="G39" s="778">
        <v>0</v>
      </c>
      <c r="H39" s="778">
        <v>0</v>
      </c>
      <c r="I39" s="778">
        <v>0</v>
      </c>
      <c r="J39" s="778">
        <v>0</v>
      </c>
      <c r="K39" s="778">
        <v>6.4601474029329413</v>
      </c>
      <c r="L39" s="778">
        <v>0</v>
      </c>
      <c r="M39" s="778">
        <v>0</v>
      </c>
      <c r="N39" s="778">
        <v>0</v>
      </c>
      <c r="O39" s="809">
        <f t="shared" si="11"/>
        <v>12.920294805865883</v>
      </c>
      <c r="P39" s="1228"/>
      <c r="Q39" s="738"/>
      <c r="R39" s="738"/>
      <c r="S39" s="738"/>
      <c r="T39" s="738"/>
    </row>
    <row r="40" spans="1:20" s="747" customFormat="1" x14ac:dyDescent="0.25">
      <c r="A40" s="59"/>
      <c r="B40" s="814" t="s">
        <v>821</v>
      </c>
      <c r="C40" s="778">
        <v>0</v>
      </c>
      <c r="D40" s="778">
        <v>0</v>
      </c>
      <c r="E40" s="778">
        <v>2.569202094892965E-2</v>
      </c>
      <c r="F40" s="778">
        <v>0</v>
      </c>
      <c r="G40" s="778">
        <v>0</v>
      </c>
      <c r="H40" s="778">
        <v>0</v>
      </c>
      <c r="I40" s="778">
        <v>0</v>
      </c>
      <c r="J40" s="778">
        <v>0</v>
      </c>
      <c r="K40" s="778">
        <v>2.569202094892965E-2</v>
      </c>
      <c r="L40" s="778">
        <v>0</v>
      </c>
      <c r="M40" s="778">
        <v>0</v>
      </c>
      <c r="N40" s="778">
        <v>0</v>
      </c>
      <c r="O40" s="809">
        <f t="shared" si="11"/>
        <v>5.1384041897859299E-2</v>
      </c>
      <c r="P40" s="1228"/>
      <c r="Q40" s="738"/>
      <c r="R40" s="738"/>
      <c r="S40" s="738"/>
      <c r="T40" s="738"/>
    </row>
    <row r="41" spans="1:20" s="747" customFormat="1" x14ac:dyDescent="0.25">
      <c r="A41" s="59"/>
      <c r="B41" s="813" t="s">
        <v>805</v>
      </c>
      <c r="C41" s="809">
        <f t="shared" ref="C41" si="14">+C42+C45</f>
        <v>0</v>
      </c>
      <c r="D41" s="809">
        <f t="shared" ref="D41:N41" si="15">+D42+D45</f>
        <v>0</v>
      </c>
      <c r="E41" s="809">
        <f t="shared" si="15"/>
        <v>0.67161674999999998</v>
      </c>
      <c r="F41" s="809">
        <f t="shared" si="15"/>
        <v>2.5911593599999998</v>
      </c>
      <c r="G41" s="809">
        <f t="shared" si="15"/>
        <v>0</v>
      </c>
      <c r="H41" s="809">
        <f t="shared" si="15"/>
        <v>0</v>
      </c>
      <c r="I41" s="809">
        <f t="shared" si="15"/>
        <v>0</v>
      </c>
      <c r="J41" s="809">
        <f t="shared" si="15"/>
        <v>0</v>
      </c>
      <c r="K41" s="809">
        <f t="shared" si="15"/>
        <v>1.3194065899999998</v>
      </c>
      <c r="L41" s="809">
        <f t="shared" si="15"/>
        <v>0</v>
      </c>
      <c r="M41" s="809">
        <f t="shared" si="15"/>
        <v>0</v>
      </c>
      <c r="N41" s="809">
        <f t="shared" si="15"/>
        <v>0</v>
      </c>
      <c r="O41" s="809">
        <f t="shared" si="11"/>
        <v>4.5821826999999997</v>
      </c>
      <c r="P41" s="1228"/>
      <c r="Q41" s="738"/>
      <c r="R41" s="738"/>
      <c r="S41" s="738"/>
      <c r="T41" s="738"/>
    </row>
    <row r="42" spans="1:20" s="747" customFormat="1" x14ac:dyDescent="0.25">
      <c r="A42" s="59"/>
      <c r="B42" s="813" t="s">
        <v>820</v>
      </c>
      <c r="C42" s="809">
        <f t="shared" ref="C42" si="16">+C43+C44</f>
        <v>0</v>
      </c>
      <c r="D42" s="809">
        <f t="shared" ref="D42:N42" si="17">+D43+D44</f>
        <v>0</v>
      </c>
      <c r="E42" s="809">
        <f t="shared" si="17"/>
        <v>0</v>
      </c>
      <c r="F42" s="809">
        <f t="shared" si="17"/>
        <v>2.17392092</v>
      </c>
      <c r="G42" s="809">
        <f t="shared" si="17"/>
        <v>0</v>
      </c>
      <c r="H42" s="809">
        <f t="shared" si="17"/>
        <v>0</v>
      </c>
      <c r="I42" s="809">
        <f t="shared" si="17"/>
        <v>0</v>
      </c>
      <c r="J42" s="809">
        <f t="shared" si="17"/>
        <v>0</v>
      </c>
      <c r="K42" s="809">
        <f t="shared" si="17"/>
        <v>0.54348023000000001</v>
      </c>
      <c r="L42" s="809">
        <f t="shared" si="17"/>
        <v>0</v>
      </c>
      <c r="M42" s="809">
        <f t="shared" si="17"/>
        <v>0</v>
      </c>
      <c r="N42" s="809">
        <f t="shared" si="17"/>
        <v>0</v>
      </c>
      <c r="O42" s="809">
        <f t="shared" si="11"/>
        <v>2.7174011500000002</v>
      </c>
      <c r="P42" s="1228"/>
      <c r="Q42" s="738"/>
      <c r="R42" s="738"/>
      <c r="S42" s="738"/>
      <c r="T42" s="738"/>
    </row>
    <row r="43" spans="1:20" s="747" customFormat="1" x14ac:dyDescent="0.25">
      <c r="A43" s="59"/>
      <c r="B43" s="814" t="s">
        <v>822</v>
      </c>
      <c r="C43" s="778">
        <v>0</v>
      </c>
      <c r="D43" s="778">
        <v>0</v>
      </c>
      <c r="E43" s="778">
        <v>0</v>
      </c>
      <c r="F43" s="778">
        <v>0</v>
      </c>
      <c r="G43" s="778">
        <v>0</v>
      </c>
      <c r="H43" s="778">
        <v>0</v>
      </c>
      <c r="I43" s="778">
        <v>0</v>
      </c>
      <c r="J43" s="778">
        <v>0</v>
      </c>
      <c r="K43" s="778">
        <v>0</v>
      </c>
      <c r="L43" s="778">
        <v>0</v>
      </c>
      <c r="M43" s="778">
        <v>0</v>
      </c>
      <c r="N43" s="778">
        <v>0</v>
      </c>
      <c r="O43" s="809">
        <f t="shared" si="11"/>
        <v>0</v>
      </c>
      <c r="P43" s="1228"/>
      <c r="Q43" s="738"/>
      <c r="R43" s="738"/>
      <c r="S43" s="738"/>
      <c r="T43" s="738"/>
    </row>
    <row r="44" spans="1:20" s="747" customFormat="1" x14ac:dyDescent="0.25">
      <c r="A44" s="59"/>
      <c r="B44" s="814" t="s">
        <v>823</v>
      </c>
      <c r="C44" s="778">
        <v>0</v>
      </c>
      <c r="D44" s="778">
        <v>0</v>
      </c>
      <c r="E44" s="778">
        <v>0</v>
      </c>
      <c r="F44" s="778">
        <v>2.17392092</v>
      </c>
      <c r="G44" s="778">
        <v>0</v>
      </c>
      <c r="H44" s="778">
        <v>0</v>
      </c>
      <c r="I44" s="778">
        <v>0</v>
      </c>
      <c r="J44" s="778">
        <v>0</v>
      </c>
      <c r="K44" s="778">
        <v>0.54348023000000001</v>
      </c>
      <c r="L44" s="778">
        <v>0</v>
      </c>
      <c r="M44" s="778">
        <v>0</v>
      </c>
      <c r="N44" s="778">
        <v>0</v>
      </c>
      <c r="O44" s="809">
        <f t="shared" si="11"/>
        <v>2.7174011500000002</v>
      </c>
      <c r="P44" s="1228"/>
      <c r="Q44" s="738"/>
      <c r="R44" s="738"/>
      <c r="S44" s="738"/>
      <c r="T44" s="738"/>
    </row>
    <row r="45" spans="1:20" s="747" customFormat="1" x14ac:dyDescent="0.25">
      <c r="A45" s="59"/>
      <c r="B45" s="814" t="s">
        <v>821</v>
      </c>
      <c r="C45" s="809">
        <f t="shared" ref="C45:N45" si="18">+C46+C47</f>
        <v>0</v>
      </c>
      <c r="D45" s="809">
        <f t="shared" si="18"/>
        <v>0</v>
      </c>
      <c r="E45" s="809">
        <f t="shared" si="18"/>
        <v>0.67161674999999998</v>
      </c>
      <c r="F45" s="809">
        <f t="shared" si="18"/>
        <v>0.41723843999999999</v>
      </c>
      <c r="G45" s="809">
        <f t="shared" si="18"/>
        <v>0</v>
      </c>
      <c r="H45" s="809">
        <f t="shared" si="18"/>
        <v>0</v>
      </c>
      <c r="I45" s="809">
        <f t="shared" si="18"/>
        <v>0</v>
      </c>
      <c r="J45" s="809">
        <f t="shared" si="18"/>
        <v>0</v>
      </c>
      <c r="K45" s="809">
        <f t="shared" si="18"/>
        <v>0.77592635999999993</v>
      </c>
      <c r="L45" s="809">
        <f t="shared" si="18"/>
        <v>0</v>
      </c>
      <c r="M45" s="809">
        <f t="shared" si="18"/>
        <v>0</v>
      </c>
      <c r="N45" s="809">
        <f t="shared" si="18"/>
        <v>0</v>
      </c>
      <c r="O45" s="809">
        <f t="shared" si="11"/>
        <v>1.8647815499999998</v>
      </c>
      <c r="P45" s="1228"/>
      <c r="Q45" s="738"/>
      <c r="R45" s="738"/>
      <c r="S45" s="738"/>
      <c r="T45" s="738"/>
    </row>
    <row r="46" spans="1:20" s="747" customFormat="1" x14ac:dyDescent="0.25">
      <c r="A46" s="59"/>
      <c r="B46" s="814" t="s">
        <v>824</v>
      </c>
      <c r="C46" s="778">
        <v>0</v>
      </c>
      <c r="D46" s="778">
        <v>0</v>
      </c>
      <c r="E46" s="778">
        <v>0.67161674999999998</v>
      </c>
      <c r="F46" s="778">
        <v>0</v>
      </c>
      <c r="G46" s="778">
        <v>0</v>
      </c>
      <c r="H46" s="778">
        <v>0</v>
      </c>
      <c r="I46" s="778">
        <v>0</v>
      </c>
      <c r="J46" s="778">
        <v>0</v>
      </c>
      <c r="K46" s="778">
        <v>0.67161674999999998</v>
      </c>
      <c r="L46" s="778">
        <v>0</v>
      </c>
      <c r="M46" s="778">
        <v>0</v>
      </c>
      <c r="N46" s="778">
        <v>0</v>
      </c>
      <c r="O46" s="809">
        <f t="shared" si="11"/>
        <v>1.3432335</v>
      </c>
      <c r="P46" s="1228"/>
      <c r="Q46" s="738"/>
      <c r="R46" s="738"/>
      <c r="S46" s="738"/>
      <c r="T46" s="738"/>
    </row>
    <row r="47" spans="1:20" s="747" customFormat="1" x14ac:dyDescent="0.25">
      <c r="A47" s="59"/>
      <c r="B47" s="814" t="s">
        <v>825</v>
      </c>
      <c r="C47" s="778">
        <v>0</v>
      </c>
      <c r="D47" s="778">
        <v>0</v>
      </c>
      <c r="E47" s="778">
        <v>0</v>
      </c>
      <c r="F47" s="778">
        <v>0.41723843999999999</v>
      </c>
      <c r="G47" s="778">
        <v>0</v>
      </c>
      <c r="H47" s="778">
        <v>0</v>
      </c>
      <c r="I47" s="778">
        <v>0</v>
      </c>
      <c r="J47" s="778">
        <v>0</v>
      </c>
      <c r="K47" s="778">
        <v>0.10430961</v>
      </c>
      <c r="L47" s="778">
        <v>0</v>
      </c>
      <c r="M47" s="778">
        <v>0</v>
      </c>
      <c r="N47" s="778">
        <v>0</v>
      </c>
      <c r="O47" s="809">
        <f t="shared" si="11"/>
        <v>0.52154805000000004</v>
      </c>
      <c r="P47" s="1228"/>
      <c r="Q47" s="738"/>
      <c r="R47" s="738"/>
      <c r="S47" s="738"/>
      <c r="T47" s="738"/>
    </row>
    <row r="48" spans="1:20" s="747" customFormat="1" x14ac:dyDescent="0.25">
      <c r="A48" s="59"/>
      <c r="B48" s="813" t="s">
        <v>21</v>
      </c>
      <c r="C48" s="809">
        <f t="shared" ref="C48:N48" si="19">+C49</f>
        <v>0</v>
      </c>
      <c r="D48" s="809">
        <f t="shared" si="19"/>
        <v>0</v>
      </c>
      <c r="E48" s="809">
        <f t="shared" si="19"/>
        <v>10.915440547914059</v>
      </c>
      <c r="F48" s="809">
        <f t="shared" si="19"/>
        <v>0</v>
      </c>
      <c r="G48" s="809">
        <f t="shared" si="19"/>
        <v>0</v>
      </c>
      <c r="H48" s="809">
        <f t="shared" si="19"/>
        <v>0</v>
      </c>
      <c r="I48" s="809">
        <f t="shared" si="19"/>
        <v>0</v>
      </c>
      <c r="J48" s="809">
        <f t="shared" si="19"/>
        <v>0</v>
      </c>
      <c r="K48" s="809">
        <f t="shared" si="19"/>
        <v>10.915440547914059</v>
      </c>
      <c r="L48" s="809">
        <f t="shared" si="19"/>
        <v>0</v>
      </c>
      <c r="M48" s="809">
        <f t="shared" si="19"/>
        <v>0</v>
      </c>
      <c r="N48" s="809">
        <f t="shared" si="19"/>
        <v>0</v>
      </c>
      <c r="O48" s="809">
        <f t="shared" si="11"/>
        <v>21.830881095828119</v>
      </c>
      <c r="P48" s="1228"/>
      <c r="Q48" s="738"/>
      <c r="R48" s="738"/>
      <c r="S48" s="738"/>
      <c r="T48" s="738"/>
    </row>
    <row r="49" spans="1:20" s="747" customFormat="1" x14ac:dyDescent="0.25">
      <c r="A49" s="59"/>
      <c r="B49" s="814" t="s">
        <v>237</v>
      </c>
      <c r="C49" s="778">
        <v>0</v>
      </c>
      <c r="D49" s="778">
        <v>0</v>
      </c>
      <c r="E49" s="778">
        <v>10.915440547914059</v>
      </c>
      <c r="F49" s="778">
        <v>0</v>
      </c>
      <c r="G49" s="778">
        <v>0</v>
      </c>
      <c r="H49" s="778">
        <v>0</v>
      </c>
      <c r="I49" s="778">
        <v>0</v>
      </c>
      <c r="J49" s="778">
        <v>0</v>
      </c>
      <c r="K49" s="778">
        <v>10.915440547914059</v>
      </c>
      <c r="L49" s="778">
        <v>0</v>
      </c>
      <c r="M49" s="778">
        <v>0</v>
      </c>
      <c r="N49" s="778">
        <v>0</v>
      </c>
      <c r="O49" s="809">
        <f t="shared" si="11"/>
        <v>21.830881095828119</v>
      </c>
      <c r="P49" s="1228"/>
      <c r="Q49" s="738"/>
      <c r="R49" s="738"/>
      <c r="S49" s="738"/>
      <c r="T49" s="738"/>
    </row>
    <row r="50" spans="1:20" s="747" customFormat="1" x14ac:dyDescent="0.25">
      <c r="A50" s="59"/>
      <c r="B50" s="813" t="s">
        <v>22</v>
      </c>
      <c r="C50" s="809">
        <f t="shared" ref="C50:N50" si="20">+C51+C52</f>
        <v>0</v>
      </c>
      <c r="D50" s="809">
        <f t="shared" si="20"/>
        <v>0</v>
      </c>
      <c r="E50" s="809">
        <f t="shared" si="20"/>
        <v>0.52743362964893992</v>
      </c>
      <c r="F50" s="809">
        <f t="shared" si="20"/>
        <v>0</v>
      </c>
      <c r="G50" s="809">
        <f t="shared" si="20"/>
        <v>0</v>
      </c>
      <c r="H50" s="809">
        <f t="shared" si="20"/>
        <v>0</v>
      </c>
      <c r="I50" s="809">
        <f t="shared" si="20"/>
        <v>0</v>
      </c>
      <c r="J50" s="809">
        <f t="shared" si="20"/>
        <v>0</v>
      </c>
      <c r="K50" s="809">
        <f t="shared" si="20"/>
        <v>0.52743362964893992</v>
      </c>
      <c r="L50" s="809">
        <f t="shared" si="20"/>
        <v>0</v>
      </c>
      <c r="M50" s="809">
        <f t="shared" si="20"/>
        <v>0</v>
      </c>
      <c r="N50" s="809">
        <f t="shared" si="20"/>
        <v>0</v>
      </c>
      <c r="O50" s="809">
        <f t="shared" si="11"/>
        <v>1.0548672592978798</v>
      </c>
      <c r="P50" s="1228"/>
      <c r="Q50" s="738"/>
      <c r="R50" s="738"/>
      <c r="S50" s="738"/>
      <c r="T50" s="738"/>
    </row>
    <row r="51" spans="1:20" s="747" customFormat="1" x14ac:dyDescent="0.25">
      <c r="A51" s="59"/>
      <c r="B51" s="814" t="s">
        <v>236</v>
      </c>
      <c r="C51" s="778">
        <v>0</v>
      </c>
      <c r="D51" s="778">
        <v>0</v>
      </c>
      <c r="E51" s="778">
        <v>0.50257693821689264</v>
      </c>
      <c r="F51" s="778">
        <v>0</v>
      </c>
      <c r="G51" s="778">
        <v>0</v>
      </c>
      <c r="H51" s="778">
        <v>0</v>
      </c>
      <c r="I51" s="778">
        <v>0</v>
      </c>
      <c r="J51" s="778">
        <v>0</v>
      </c>
      <c r="K51" s="778">
        <v>0.50257693821689264</v>
      </c>
      <c r="L51" s="778">
        <v>0</v>
      </c>
      <c r="M51" s="778">
        <v>0</v>
      </c>
      <c r="N51" s="778">
        <v>0</v>
      </c>
      <c r="O51" s="809">
        <f t="shared" si="11"/>
        <v>1.0051538764337853</v>
      </c>
      <c r="P51" s="1228"/>
      <c r="Q51" s="738"/>
      <c r="R51" s="738"/>
      <c r="S51" s="738"/>
      <c r="T51" s="738"/>
    </row>
    <row r="52" spans="1:20" s="747" customFormat="1" x14ac:dyDescent="0.25">
      <c r="A52" s="59"/>
      <c r="B52" s="814" t="s">
        <v>237</v>
      </c>
      <c r="C52" s="778">
        <v>0</v>
      </c>
      <c r="D52" s="778">
        <v>0</v>
      </c>
      <c r="E52" s="778">
        <v>2.485669143204727E-2</v>
      </c>
      <c r="F52" s="778">
        <v>0</v>
      </c>
      <c r="G52" s="778">
        <v>0</v>
      </c>
      <c r="H52" s="778">
        <v>0</v>
      </c>
      <c r="I52" s="778">
        <v>0</v>
      </c>
      <c r="J52" s="778">
        <v>0</v>
      </c>
      <c r="K52" s="778">
        <v>2.485669143204727E-2</v>
      </c>
      <c r="L52" s="778">
        <v>0</v>
      </c>
      <c r="M52" s="778">
        <v>0</v>
      </c>
      <c r="N52" s="778">
        <v>0</v>
      </c>
      <c r="O52" s="809">
        <f t="shared" si="11"/>
        <v>4.9713382864094539E-2</v>
      </c>
      <c r="P52" s="1228"/>
      <c r="Q52" s="738"/>
      <c r="R52" s="738"/>
      <c r="S52" s="738"/>
      <c r="T52" s="738"/>
    </row>
    <row r="53" spans="1:20" s="747" customFormat="1" x14ac:dyDescent="0.25">
      <c r="A53" s="59"/>
      <c r="B53" s="764" t="s">
        <v>74</v>
      </c>
      <c r="C53" s="815">
        <f t="shared" ref="C53" si="21">+C54+C57+C64</f>
        <v>0</v>
      </c>
      <c r="D53" s="815">
        <f t="shared" ref="D53:N53" si="22">+D54+D57+D64</f>
        <v>0</v>
      </c>
      <c r="E53" s="815">
        <f t="shared" si="22"/>
        <v>0</v>
      </c>
      <c r="F53" s="815">
        <f t="shared" si="22"/>
        <v>2.2922856254297361</v>
      </c>
      <c r="G53" s="815">
        <f t="shared" si="22"/>
        <v>0</v>
      </c>
      <c r="H53" s="815">
        <f t="shared" si="22"/>
        <v>103.40108502496595</v>
      </c>
      <c r="I53" s="815">
        <f t="shared" si="22"/>
        <v>0</v>
      </c>
      <c r="J53" s="815">
        <f t="shared" si="22"/>
        <v>0</v>
      </c>
      <c r="K53" s="815">
        <f t="shared" si="22"/>
        <v>0</v>
      </c>
      <c r="L53" s="815">
        <f t="shared" si="22"/>
        <v>0</v>
      </c>
      <c r="M53" s="815">
        <f t="shared" si="22"/>
        <v>0</v>
      </c>
      <c r="N53" s="815">
        <f t="shared" si="22"/>
        <v>103.40108554496595</v>
      </c>
      <c r="O53" s="765">
        <f t="shared" si="11"/>
        <v>209.09445619536166</v>
      </c>
      <c r="P53" s="1228"/>
      <c r="Q53" s="738"/>
      <c r="R53" s="738"/>
      <c r="S53" s="738"/>
      <c r="T53" s="738"/>
    </row>
    <row r="54" spans="1:20" s="747" customFormat="1" x14ac:dyDescent="0.25">
      <c r="A54" s="59"/>
      <c r="B54" s="816" t="s">
        <v>23</v>
      </c>
      <c r="C54" s="817">
        <f t="shared" ref="C54" si="23">+C55+C56</f>
        <v>0</v>
      </c>
      <c r="D54" s="817">
        <f t="shared" ref="D54:N54" si="24">+D55+D56</f>
        <v>0</v>
      </c>
      <c r="E54" s="817">
        <f t="shared" si="24"/>
        <v>0</v>
      </c>
      <c r="F54" s="817">
        <f t="shared" si="24"/>
        <v>0</v>
      </c>
      <c r="G54" s="817">
        <f t="shared" si="24"/>
        <v>0</v>
      </c>
      <c r="H54" s="817">
        <f t="shared" si="24"/>
        <v>100.97970566422896</v>
      </c>
      <c r="I54" s="817">
        <f t="shared" si="24"/>
        <v>0</v>
      </c>
      <c r="J54" s="817">
        <f t="shared" si="24"/>
        <v>0</v>
      </c>
      <c r="K54" s="817">
        <f t="shared" si="24"/>
        <v>0</v>
      </c>
      <c r="L54" s="817">
        <f t="shared" si="24"/>
        <v>0</v>
      </c>
      <c r="M54" s="817">
        <f t="shared" si="24"/>
        <v>0</v>
      </c>
      <c r="N54" s="817">
        <f t="shared" si="24"/>
        <v>100.97970566422896</v>
      </c>
      <c r="O54" s="809">
        <f t="shared" si="11"/>
        <v>201.95941132845792</v>
      </c>
      <c r="P54" s="1228"/>
      <c r="Q54" s="738"/>
      <c r="R54" s="738"/>
      <c r="S54" s="738"/>
      <c r="T54" s="738"/>
    </row>
    <row r="55" spans="1:20" s="747" customFormat="1" x14ac:dyDescent="0.25">
      <c r="A55" s="59"/>
      <c r="B55" s="814" t="s">
        <v>236</v>
      </c>
      <c r="C55" s="778">
        <v>0</v>
      </c>
      <c r="D55" s="778">
        <v>0</v>
      </c>
      <c r="E55" s="778">
        <v>0</v>
      </c>
      <c r="F55" s="778">
        <v>0</v>
      </c>
      <c r="G55" s="778">
        <v>0</v>
      </c>
      <c r="H55" s="778">
        <v>99.780272869361042</v>
      </c>
      <c r="I55" s="778">
        <v>0</v>
      </c>
      <c r="J55" s="778">
        <v>0</v>
      </c>
      <c r="K55" s="778">
        <v>0</v>
      </c>
      <c r="L55" s="778">
        <v>0</v>
      </c>
      <c r="M55" s="778">
        <v>0</v>
      </c>
      <c r="N55" s="778">
        <v>99.780272869361042</v>
      </c>
      <c r="O55" s="809">
        <f t="shared" si="11"/>
        <v>199.56054573872208</v>
      </c>
      <c r="P55" s="1228"/>
      <c r="Q55" s="738"/>
      <c r="R55" s="738"/>
      <c r="S55" s="738"/>
      <c r="T55" s="738"/>
    </row>
    <row r="56" spans="1:20" s="747" customFormat="1" x14ac:dyDescent="0.25">
      <c r="A56" s="59"/>
      <c r="B56" s="814" t="s">
        <v>237</v>
      </c>
      <c r="C56" s="778">
        <v>0</v>
      </c>
      <c r="D56" s="778">
        <v>0</v>
      </c>
      <c r="E56" s="778">
        <v>0</v>
      </c>
      <c r="F56" s="778">
        <v>0</v>
      </c>
      <c r="G56" s="778">
        <v>0</v>
      </c>
      <c r="H56" s="778">
        <v>1.1994327948679184</v>
      </c>
      <c r="I56" s="778">
        <v>0</v>
      </c>
      <c r="J56" s="778">
        <v>0</v>
      </c>
      <c r="K56" s="778">
        <v>0</v>
      </c>
      <c r="L56" s="778">
        <v>0</v>
      </c>
      <c r="M56" s="778">
        <v>0</v>
      </c>
      <c r="N56" s="778">
        <v>1.1994327948679184</v>
      </c>
      <c r="O56" s="809">
        <f t="shared" si="11"/>
        <v>2.3988655897358369</v>
      </c>
      <c r="P56" s="1228"/>
      <c r="Q56" s="738"/>
      <c r="R56" s="738"/>
      <c r="S56" s="738"/>
      <c r="T56" s="738"/>
    </row>
    <row r="57" spans="1:20" s="747" customFormat="1" x14ac:dyDescent="0.25">
      <c r="A57" s="59"/>
      <c r="B57" s="818" t="s">
        <v>24</v>
      </c>
      <c r="C57" s="819">
        <f t="shared" ref="C57" si="25">+C58+C61</f>
        <v>0</v>
      </c>
      <c r="D57" s="819">
        <f t="shared" ref="D57:N57" si="26">+D58+D61</f>
        <v>0</v>
      </c>
      <c r="E57" s="819">
        <f t="shared" si="26"/>
        <v>0</v>
      </c>
      <c r="F57" s="819">
        <f t="shared" si="26"/>
        <v>2.2922856254297361</v>
      </c>
      <c r="G57" s="819">
        <f t="shared" si="26"/>
        <v>0</v>
      </c>
      <c r="H57" s="819">
        <f t="shared" si="26"/>
        <v>0.57307140635743403</v>
      </c>
      <c r="I57" s="819">
        <f t="shared" si="26"/>
        <v>0</v>
      </c>
      <c r="J57" s="819">
        <f t="shared" si="26"/>
        <v>0</v>
      </c>
      <c r="K57" s="819">
        <f t="shared" si="26"/>
        <v>0</v>
      </c>
      <c r="L57" s="819">
        <f t="shared" si="26"/>
        <v>0</v>
      </c>
      <c r="M57" s="819">
        <f t="shared" si="26"/>
        <v>0</v>
      </c>
      <c r="N57" s="819">
        <f t="shared" si="26"/>
        <v>0.57307192635743398</v>
      </c>
      <c r="O57" s="809">
        <f t="shared" si="11"/>
        <v>3.4384289581446041</v>
      </c>
      <c r="P57" s="1228"/>
      <c r="Q57" s="738"/>
      <c r="R57" s="738"/>
      <c r="S57" s="738"/>
      <c r="T57" s="738"/>
    </row>
    <row r="58" spans="1:20" s="747" customFormat="1" x14ac:dyDescent="0.25">
      <c r="A58" s="59"/>
      <c r="B58" s="818" t="s">
        <v>236</v>
      </c>
      <c r="C58" s="819">
        <f t="shared" ref="C58" si="27">+C59+C60</f>
        <v>0</v>
      </c>
      <c r="D58" s="819">
        <f t="shared" ref="D58:N58" si="28">+D59+D60</f>
        <v>0</v>
      </c>
      <c r="E58" s="819">
        <f t="shared" si="28"/>
        <v>0</v>
      </c>
      <c r="F58" s="819">
        <f t="shared" si="28"/>
        <v>1.629362</v>
      </c>
      <c r="G58" s="819">
        <f t="shared" si="28"/>
        <v>0</v>
      </c>
      <c r="H58" s="819">
        <f t="shared" si="28"/>
        <v>0.40734049999999999</v>
      </c>
      <c r="I58" s="819">
        <f t="shared" si="28"/>
        <v>0</v>
      </c>
      <c r="J58" s="819">
        <f t="shared" si="28"/>
        <v>0</v>
      </c>
      <c r="K58" s="819">
        <f t="shared" si="28"/>
        <v>0</v>
      </c>
      <c r="L58" s="819">
        <f t="shared" si="28"/>
        <v>0</v>
      </c>
      <c r="M58" s="819">
        <f t="shared" si="28"/>
        <v>0</v>
      </c>
      <c r="N58" s="819">
        <f t="shared" si="28"/>
        <v>0.40734102</v>
      </c>
      <c r="O58" s="809">
        <f t="shared" si="11"/>
        <v>2.4440435200000001</v>
      </c>
      <c r="P58" s="1228"/>
      <c r="Q58" s="738"/>
      <c r="R58" s="738"/>
      <c r="S58" s="738"/>
      <c r="T58" s="738"/>
    </row>
    <row r="59" spans="1:20" s="747" customFormat="1" x14ac:dyDescent="0.25">
      <c r="A59" s="59"/>
      <c r="B59" s="814" t="s">
        <v>238</v>
      </c>
      <c r="C59" s="778">
        <v>0</v>
      </c>
      <c r="D59" s="778">
        <v>0</v>
      </c>
      <c r="E59" s="778">
        <v>0</v>
      </c>
      <c r="F59" s="778">
        <v>0</v>
      </c>
      <c r="G59" s="778">
        <v>0</v>
      </c>
      <c r="H59" s="778">
        <v>0</v>
      </c>
      <c r="I59" s="778">
        <v>0</v>
      </c>
      <c r="J59" s="778">
        <v>0</v>
      </c>
      <c r="K59" s="778">
        <v>0</v>
      </c>
      <c r="L59" s="778">
        <v>0</v>
      </c>
      <c r="M59" s="778">
        <v>0</v>
      </c>
      <c r="N59" s="778">
        <v>0</v>
      </c>
      <c r="O59" s="809">
        <f t="shared" si="11"/>
        <v>0</v>
      </c>
      <c r="P59" s="1228"/>
      <c r="Q59" s="738"/>
      <c r="R59" s="738"/>
      <c r="S59" s="738"/>
      <c r="T59" s="738"/>
    </row>
    <row r="60" spans="1:20" s="747" customFormat="1" x14ac:dyDescent="0.25">
      <c r="A60" s="59"/>
      <c r="B60" s="814" t="s">
        <v>239</v>
      </c>
      <c r="C60" s="778">
        <v>0</v>
      </c>
      <c r="D60" s="778">
        <v>0</v>
      </c>
      <c r="E60" s="778">
        <v>0</v>
      </c>
      <c r="F60" s="778">
        <v>1.629362</v>
      </c>
      <c r="G60" s="778">
        <v>0</v>
      </c>
      <c r="H60" s="778">
        <v>0.40734049999999999</v>
      </c>
      <c r="I60" s="778">
        <v>0</v>
      </c>
      <c r="J60" s="778">
        <v>0</v>
      </c>
      <c r="K60" s="778">
        <v>0</v>
      </c>
      <c r="L60" s="778">
        <v>0</v>
      </c>
      <c r="M60" s="778">
        <v>0</v>
      </c>
      <c r="N60" s="778">
        <v>0.40734102</v>
      </c>
      <c r="O60" s="809">
        <f t="shared" si="11"/>
        <v>2.4440435200000001</v>
      </c>
      <c r="P60" s="1228"/>
      <c r="Q60" s="738"/>
      <c r="R60" s="738"/>
      <c r="S60" s="738"/>
      <c r="T60" s="738"/>
    </row>
    <row r="61" spans="1:20" s="747" customFormat="1" x14ac:dyDescent="0.25">
      <c r="A61" s="59"/>
      <c r="B61" s="818" t="s">
        <v>237</v>
      </c>
      <c r="C61" s="819">
        <f t="shared" ref="C61:N61" si="29">+C62+C63</f>
        <v>0</v>
      </c>
      <c r="D61" s="819">
        <f t="shared" si="29"/>
        <v>0</v>
      </c>
      <c r="E61" s="819">
        <f t="shared" si="29"/>
        <v>0</v>
      </c>
      <c r="F61" s="819">
        <f t="shared" si="29"/>
        <v>0.66292362542973593</v>
      </c>
      <c r="G61" s="819">
        <f t="shared" si="29"/>
        <v>0</v>
      </c>
      <c r="H61" s="819">
        <f t="shared" si="29"/>
        <v>0.16573090635743398</v>
      </c>
      <c r="I61" s="819">
        <f t="shared" si="29"/>
        <v>0</v>
      </c>
      <c r="J61" s="819">
        <f t="shared" si="29"/>
        <v>0</v>
      </c>
      <c r="K61" s="819">
        <f t="shared" si="29"/>
        <v>0</v>
      </c>
      <c r="L61" s="819">
        <f t="shared" si="29"/>
        <v>0</v>
      </c>
      <c r="M61" s="819">
        <f t="shared" si="29"/>
        <v>0</v>
      </c>
      <c r="N61" s="819">
        <f t="shared" si="29"/>
        <v>0.16573090635743398</v>
      </c>
      <c r="O61" s="809">
        <f t="shared" si="11"/>
        <v>0.99438543814460378</v>
      </c>
      <c r="P61" s="1228"/>
      <c r="Q61" s="738"/>
      <c r="R61" s="738"/>
      <c r="S61" s="738"/>
      <c r="T61" s="738"/>
    </row>
    <row r="62" spans="1:20" s="747" customFormat="1" x14ac:dyDescent="0.25">
      <c r="A62" s="59"/>
      <c r="B62" s="814" t="s">
        <v>238</v>
      </c>
      <c r="C62" s="778">
        <v>0</v>
      </c>
      <c r="D62" s="778">
        <v>0</v>
      </c>
      <c r="E62" s="778">
        <v>0</v>
      </c>
      <c r="F62" s="778">
        <v>0</v>
      </c>
      <c r="G62" s="778">
        <v>0</v>
      </c>
      <c r="H62" s="778">
        <v>0</v>
      </c>
      <c r="I62" s="778">
        <v>0</v>
      </c>
      <c r="J62" s="778">
        <v>0</v>
      </c>
      <c r="K62" s="778">
        <v>0</v>
      </c>
      <c r="L62" s="778">
        <v>0</v>
      </c>
      <c r="M62" s="778">
        <v>0</v>
      </c>
      <c r="N62" s="778">
        <v>0</v>
      </c>
      <c r="O62" s="809">
        <f t="shared" si="11"/>
        <v>0</v>
      </c>
      <c r="P62" s="1228"/>
      <c r="Q62" s="738"/>
      <c r="R62" s="738"/>
      <c r="S62" s="738"/>
      <c r="T62" s="738"/>
    </row>
    <row r="63" spans="1:20" s="747" customFormat="1" x14ac:dyDescent="0.25">
      <c r="A63" s="59"/>
      <c r="B63" s="814" t="s">
        <v>239</v>
      </c>
      <c r="C63" s="778">
        <v>0</v>
      </c>
      <c r="D63" s="778">
        <v>0</v>
      </c>
      <c r="E63" s="778">
        <v>0</v>
      </c>
      <c r="F63" s="778">
        <v>0.66292362542973593</v>
      </c>
      <c r="G63" s="778">
        <v>0</v>
      </c>
      <c r="H63" s="778">
        <v>0.16573090635743398</v>
      </c>
      <c r="I63" s="778">
        <v>0</v>
      </c>
      <c r="J63" s="778">
        <v>0</v>
      </c>
      <c r="K63" s="778">
        <v>0</v>
      </c>
      <c r="L63" s="778">
        <v>0</v>
      </c>
      <c r="M63" s="778">
        <v>0</v>
      </c>
      <c r="N63" s="778">
        <v>0.16573090635743398</v>
      </c>
      <c r="O63" s="809">
        <f t="shared" si="11"/>
        <v>0.99438543814460378</v>
      </c>
      <c r="P63" s="1228"/>
      <c r="Q63" s="738"/>
      <c r="R63" s="738"/>
      <c r="S63" s="738"/>
      <c r="T63" s="738"/>
    </row>
    <row r="64" spans="1:20" s="747" customFormat="1" x14ac:dyDescent="0.25">
      <c r="A64" s="59"/>
      <c r="B64" s="818" t="s">
        <v>25</v>
      </c>
      <c r="C64" s="819">
        <f t="shared" ref="C64:N64" si="30">+C65+C66</f>
        <v>0</v>
      </c>
      <c r="D64" s="819">
        <f t="shared" si="30"/>
        <v>0</v>
      </c>
      <c r="E64" s="819">
        <f t="shared" si="30"/>
        <v>0</v>
      </c>
      <c r="F64" s="819">
        <f t="shared" si="30"/>
        <v>0</v>
      </c>
      <c r="G64" s="819">
        <f t="shared" si="30"/>
        <v>0</v>
      </c>
      <c r="H64" s="819">
        <f t="shared" si="30"/>
        <v>1.848307954379562</v>
      </c>
      <c r="I64" s="819">
        <f t="shared" si="30"/>
        <v>0</v>
      </c>
      <c r="J64" s="819">
        <f t="shared" si="30"/>
        <v>0</v>
      </c>
      <c r="K64" s="819">
        <f t="shared" si="30"/>
        <v>0</v>
      </c>
      <c r="L64" s="819">
        <f t="shared" si="30"/>
        <v>0</v>
      </c>
      <c r="M64" s="819">
        <f t="shared" si="30"/>
        <v>0</v>
      </c>
      <c r="N64" s="819">
        <f t="shared" si="30"/>
        <v>1.848307954379562</v>
      </c>
      <c r="O64" s="809">
        <f t="shared" si="11"/>
        <v>3.6966159087591239</v>
      </c>
      <c r="P64" s="1228"/>
      <c r="Q64" s="738"/>
      <c r="R64" s="738"/>
      <c r="S64" s="738"/>
      <c r="T64" s="738"/>
    </row>
    <row r="65" spans="1:20" s="747" customFormat="1" x14ac:dyDescent="0.25">
      <c r="A65" s="59"/>
      <c r="B65" s="814" t="s">
        <v>236</v>
      </c>
      <c r="C65" s="778">
        <v>0</v>
      </c>
      <c r="D65" s="778">
        <v>0</v>
      </c>
      <c r="E65" s="778">
        <v>0</v>
      </c>
      <c r="F65" s="778">
        <v>0</v>
      </c>
      <c r="G65" s="778">
        <v>0</v>
      </c>
      <c r="H65" s="778">
        <v>1.2752695836809176</v>
      </c>
      <c r="I65" s="778">
        <v>0</v>
      </c>
      <c r="J65" s="778">
        <v>0</v>
      </c>
      <c r="K65" s="778">
        <v>0</v>
      </c>
      <c r="L65" s="778">
        <v>0</v>
      </c>
      <c r="M65" s="778">
        <v>0</v>
      </c>
      <c r="N65" s="778">
        <v>1.2752695836809176</v>
      </c>
      <c r="O65" s="809">
        <f t="shared" si="11"/>
        <v>2.5505391673618352</v>
      </c>
      <c r="P65" s="1228"/>
      <c r="Q65" s="738"/>
      <c r="R65" s="738"/>
      <c r="S65" s="738"/>
      <c r="T65" s="738"/>
    </row>
    <row r="66" spans="1:20" s="747" customFormat="1" x14ac:dyDescent="0.25">
      <c r="A66" s="59"/>
      <c r="B66" s="814" t="s">
        <v>237</v>
      </c>
      <c r="C66" s="778">
        <v>0</v>
      </c>
      <c r="D66" s="778">
        <v>0</v>
      </c>
      <c r="E66" s="778">
        <v>0</v>
      </c>
      <c r="F66" s="778">
        <v>0</v>
      </c>
      <c r="G66" s="778">
        <v>0</v>
      </c>
      <c r="H66" s="778">
        <v>0.57303837069864438</v>
      </c>
      <c r="I66" s="778">
        <v>0</v>
      </c>
      <c r="J66" s="778">
        <v>0</v>
      </c>
      <c r="K66" s="778">
        <v>0</v>
      </c>
      <c r="L66" s="778">
        <v>0</v>
      </c>
      <c r="M66" s="778">
        <v>0</v>
      </c>
      <c r="N66" s="778">
        <v>0.57303837069864438</v>
      </c>
      <c r="O66" s="809">
        <f t="shared" si="11"/>
        <v>1.1460767413972888</v>
      </c>
      <c r="P66" s="1228"/>
      <c r="Q66" s="738"/>
      <c r="R66" s="738"/>
      <c r="S66" s="738"/>
      <c r="T66" s="738"/>
    </row>
    <row r="67" spans="1:20" s="747" customFormat="1" x14ac:dyDescent="0.25">
      <c r="A67" s="59"/>
      <c r="B67" s="820" t="s">
        <v>26</v>
      </c>
      <c r="C67" s="773">
        <v>0</v>
      </c>
      <c r="D67" s="773">
        <v>0</v>
      </c>
      <c r="E67" s="773">
        <v>0</v>
      </c>
      <c r="F67" s="773">
        <v>0</v>
      </c>
      <c r="G67" s="773">
        <v>0</v>
      </c>
      <c r="H67" s="773">
        <v>139.02580555072925</v>
      </c>
      <c r="I67" s="773">
        <v>0</v>
      </c>
      <c r="J67" s="773">
        <v>0</v>
      </c>
      <c r="K67" s="773">
        <v>0</v>
      </c>
      <c r="L67" s="773">
        <v>0</v>
      </c>
      <c r="M67" s="773">
        <v>0</v>
      </c>
      <c r="N67" s="773">
        <v>139.02580555072925</v>
      </c>
      <c r="O67" s="765">
        <f t="shared" si="11"/>
        <v>278.05161110145849</v>
      </c>
      <c r="P67" s="1228"/>
      <c r="Q67" s="738"/>
      <c r="R67" s="738"/>
      <c r="S67" s="738"/>
      <c r="T67" s="738"/>
    </row>
    <row r="68" spans="1:20" s="747" customFormat="1" x14ac:dyDescent="0.25">
      <c r="A68" s="59"/>
      <c r="B68" s="821" t="s">
        <v>592</v>
      </c>
      <c r="C68" s="822">
        <v>1.9064145503649637</v>
      </c>
      <c r="D68" s="822">
        <v>1.8885987870559611</v>
      </c>
      <c r="E68" s="822">
        <v>1.8699771038442823</v>
      </c>
      <c r="F68" s="822">
        <v>1.8523063583454988</v>
      </c>
      <c r="G68" s="822">
        <v>1.8341870849635036</v>
      </c>
      <c r="H68" s="822">
        <v>1.8159662282238442</v>
      </c>
      <c r="I68" s="822">
        <v>1.797643218783455</v>
      </c>
      <c r="J68" s="822">
        <v>1.7792174837956205</v>
      </c>
      <c r="K68" s="822">
        <v>1.7606884473965936</v>
      </c>
      <c r="L68" s="822">
        <v>1.7420555304136254</v>
      </c>
      <c r="M68" s="822">
        <v>1.7233181504622872</v>
      </c>
      <c r="N68" s="822">
        <v>1.7044757219464721</v>
      </c>
      <c r="O68" s="823">
        <f t="shared" si="11"/>
        <v>21.674848665596109</v>
      </c>
      <c r="P68" s="1228"/>
      <c r="Q68" s="738"/>
      <c r="R68" s="738"/>
      <c r="S68" s="738"/>
      <c r="T68" s="738"/>
    </row>
    <row r="69" spans="1:20" s="747" customFormat="1" x14ac:dyDescent="0.25">
      <c r="A69" s="59"/>
      <c r="B69" s="821" t="s">
        <v>557</v>
      </c>
      <c r="C69" s="822">
        <v>60.907882642822386</v>
      </c>
      <c r="D69" s="822">
        <v>0</v>
      </c>
      <c r="E69" s="822">
        <v>0</v>
      </c>
      <c r="F69" s="822">
        <v>60.238530107153288</v>
      </c>
      <c r="G69" s="822">
        <v>0</v>
      </c>
      <c r="H69" s="822">
        <v>0</v>
      </c>
      <c r="I69" s="822">
        <v>0</v>
      </c>
      <c r="J69" s="822">
        <v>0</v>
      </c>
      <c r="K69" s="822">
        <v>0</v>
      </c>
      <c r="L69" s="822">
        <v>0</v>
      </c>
      <c r="M69" s="822">
        <v>0</v>
      </c>
      <c r="N69" s="822">
        <v>0</v>
      </c>
      <c r="O69" s="823">
        <f t="shared" si="11"/>
        <v>121.14641274997567</v>
      </c>
      <c r="P69" s="1228"/>
      <c r="Q69" s="738"/>
      <c r="R69" s="738"/>
      <c r="S69" s="738"/>
      <c r="T69" s="738"/>
    </row>
    <row r="70" spans="1:20" s="747" customFormat="1" x14ac:dyDescent="0.25">
      <c r="A70" s="59"/>
      <c r="B70" s="821" t="s">
        <v>743</v>
      </c>
      <c r="C70" s="822">
        <v>0</v>
      </c>
      <c r="D70" s="822">
        <v>0</v>
      </c>
      <c r="E70" s="822">
        <v>0</v>
      </c>
      <c r="F70" s="822">
        <v>0.49997791999999996</v>
      </c>
      <c r="G70" s="822">
        <v>0</v>
      </c>
      <c r="H70" s="822">
        <v>0</v>
      </c>
      <c r="I70" s="822">
        <v>0</v>
      </c>
      <c r="J70" s="822">
        <v>0.12499447999999999</v>
      </c>
      <c r="K70" s="822">
        <v>0</v>
      </c>
      <c r="L70" s="822">
        <v>0</v>
      </c>
      <c r="M70" s="822">
        <v>0</v>
      </c>
      <c r="N70" s="822">
        <v>0</v>
      </c>
      <c r="O70" s="823">
        <f t="shared" si="11"/>
        <v>0.62497239999999998</v>
      </c>
      <c r="P70" s="1228"/>
      <c r="Q70" s="738"/>
      <c r="R70" s="738"/>
      <c r="S70" s="738"/>
      <c r="T70" s="738"/>
    </row>
    <row r="71" spans="1:20" s="747" customFormat="1" x14ac:dyDescent="0.25">
      <c r="A71" s="59"/>
      <c r="B71" s="821" t="s">
        <v>497</v>
      </c>
      <c r="C71" s="822">
        <v>0</v>
      </c>
      <c r="D71" s="822">
        <v>0</v>
      </c>
      <c r="E71" s="822">
        <v>0</v>
      </c>
      <c r="F71" s="822">
        <v>0.28186615000000004</v>
      </c>
      <c r="G71" s="822">
        <v>0</v>
      </c>
      <c r="H71" s="822">
        <v>0</v>
      </c>
      <c r="I71" s="822">
        <v>0</v>
      </c>
      <c r="J71" s="822">
        <v>0</v>
      </c>
      <c r="K71" s="822">
        <v>0</v>
      </c>
      <c r="L71" s="822">
        <v>5.6373230000000003E-2</v>
      </c>
      <c r="M71" s="822">
        <v>0</v>
      </c>
      <c r="N71" s="822">
        <v>0</v>
      </c>
      <c r="O71" s="823">
        <f t="shared" si="11"/>
        <v>0.33823938000000003</v>
      </c>
      <c r="P71" s="1228"/>
      <c r="Q71" s="738"/>
      <c r="R71" s="738"/>
      <c r="S71" s="738"/>
      <c r="T71" s="738"/>
    </row>
    <row r="72" spans="1:20" s="747" customFormat="1" x14ac:dyDescent="0.25">
      <c r="A72" s="59"/>
      <c r="B72" s="821" t="s">
        <v>498</v>
      </c>
      <c r="C72" s="822">
        <v>0</v>
      </c>
      <c r="D72" s="822">
        <v>0</v>
      </c>
      <c r="E72" s="822">
        <v>0</v>
      </c>
      <c r="F72" s="822">
        <v>0.76655630000000008</v>
      </c>
      <c r="G72" s="822">
        <v>0</v>
      </c>
      <c r="H72" s="822">
        <v>0</v>
      </c>
      <c r="I72" s="822">
        <v>0</v>
      </c>
      <c r="J72" s="822">
        <v>0</v>
      </c>
      <c r="K72" s="822">
        <v>0</v>
      </c>
      <c r="L72" s="822">
        <v>0.15331126</v>
      </c>
      <c r="M72" s="822">
        <v>0</v>
      </c>
      <c r="N72" s="822">
        <v>0</v>
      </c>
      <c r="O72" s="823">
        <f t="shared" si="11"/>
        <v>0.91986756000000014</v>
      </c>
      <c r="P72" s="1228"/>
      <c r="Q72" s="738"/>
      <c r="R72" s="738"/>
      <c r="S72" s="738"/>
      <c r="T72" s="738"/>
    </row>
    <row r="73" spans="1:20" s="747" customFormat="1" x14ac:dyDescent="0.25">
      <c r="A73" s="59"/>
      <c r="B73" s="782" t="s">
        <v>742</v>
      </c>
      <c r="C73" s="824">
        <v>0</v>
      </c>
      <c r="D73" s="824">
        <v>0</v>
      </c>
      <c r="E73" s="824">
        <v>0</v>
      </c>
      <c r="F73" s="824">
        <v>0.63395440000000003</v>
      </c>
      <c r="G73" s="824">
        <v>0</v>
      </c>
      <c r="H73" s="824">
        <v>0</v>
      </c>
      <c r="I73" s="824">
        <v>0</v>
      </c>
      <c r="J73" s="824">
        <v>0</v>
      </c>
      <c r="K73" s="824">
        <v>0</v>
      </c>
      <c r="L73" s="824">
        <v>0</v>
      </c>
      <c r="M73" s="824">
        <v>0</v>
      </c>
      <c r="N73" s="824">
        <v>0</v>
      </c>
      <c r="O73" s="824">
        <f t="shared" si="11"/>
        <v>0.63395440000000003</v>
      </c>
      <c r="P73" s="1228"/>
      <c r="Q73" s="738"/>
      <c r="R73" s="738"/>
      <c r="S73" s="738"/>
      <c r="T73" s="738"/>
    </row>
    <row r="74" spans="1:20" s="747" customFormat="1" x14ac:dyDescent="0.25">
      <c r="A74" s="59"/>
      <c r="B74" s="784" t="s">
        <v>559</v>
      </c>
      <c r="C74" s="824">
        <v>0</v>
      </c>
      <c r="D74" s="824">
        <v>0</v>
      </c>
      <c r="E74" s="824">
        <v>0</v>
      </c>
      <c r="F74" s="824">
        <v>3.6454483500000001</v>
      </c>
      <c r="G74" s="824">
        <v>0.68365823999999997</v>
      </c>
      <c r="H74" s="824">
        <v>0</v>
      </c>
      <c r="I74" s="824">
        <v>0</v>
      </c>
      <c r="J74" s="824">
        <v>0</v>
      </c>
      <c r="K74" s="824">
        <v>0</v>
      </c>
      <c r="L74" s="824">
        <v>0</v>
      </c>
      <c r="M74" s="824">
        <v>0.45595440000000004</v>
      </c>
      <c r="N74" s="824">
        <v>0</v>
      </c>
      <c r="O74" s="824">
        <f t="shared" si="11"/>
        <v>4.7850609900000007</v>
      </c>
      <c r="P74" s="1228"/>
      <c r="Q74" s="738"/>
      <c r="R74" s="738"/>
      <c r="S74" s="738"/>
      <c r="T74" s="738"/>
    </row>
    <row r="75" spans="1:20" s="747" customFormat="1" x14ac:dyDescent="0.25">
      <c r="A75" s="59"/>
      <c r="B75" s="784" t="s">
        <v>697</v>
      </c>
      <c r="C75" s="824">
        <v>0</v>
      </c>
      <c r="D75" s="824">
        <v>0</v>
      </c>
      <c r="E75" s="824">
        <v>29.245511293934126</v>
      </c>
      <c r="F75" s="824">
        <v>0</v>
      </c>
      <c r="G75" s="824">
        <v>0</v>
      </c>
      <c r="H75" s="824">
        <v>0</v>
      </c>
      <c r="I75" s="824">
        <v>0</v>
      </c>
      <c r="J75" s="824">
        <v>0</v>
      </c>
      <c r="K75" s="824">
        <v>0</v>
      </c>
      <c r="L75" s="824">
        <v>0</v>
      </c>
      <c r="M75" s="824">
        <v>0</v>
      </c>
      <c r="N75" s="824">
        <v>0</v>
      </c>
      <c r="O75" s="824">
        <f t="shared" si="11"/>
        <v>29.245511293934126</v>
      </c>
      <c r="P75" s="1228"/>
      <c r="Q75" s="738"/>
      <c r="R75" s="738"/>
      <c r="S75" s="738"/>
      <c r="T75" s="738"/>
    </row>
    <row r="76" spans="1:20" s="747" customFormat="1" x14ac:dyDescent="0.25">
      <c r="A76" s="59"/>
      <c r="B76" s="784" t="s">
        <v>815</v>
      </c>
      <c r="C76" s="824">
        <v>13.266785390054601</v>
      </c>
      <c r="D76" s="824">
        <v>0</v>
      </c>
      <c r="E76" s="824">
        <v>0</v>
      </c>
      <c r="F76" s="824">
        <v>0</v>
      </c>
      <c r="G76" s="824">
        <v>0</v>
      </c>
      <c r="H76" s="824">
        <v>0</v>
      </c>
      <c r="I76" s="824">
        <v>11.756517714301189</v>
      </c>
      <c r="J76" s="824">
        <v>0</v>
      </c>
      <c r="K76" s="824">
        <v>0</v>
      </c>
      <c r="L76" s="824">
        <v>0</v>
      </c>
      <c r="M76" s="824">
        <v>0</v>
      </c>
      <c r="N76" s="824">
        <v>0</v>
      </c>
      <c r="O76" s="824">
        <f t="shared" si="11"/>
        <v>25.02330310435579</v>
      </c>
      <c r="P76" s="1228"/>
      <c r="Q76" s="738"/>
      <c r="R76" s="738"/>
      <c r="S76" s="738"/>
      <c r="T76" s="738"/>
    </row>
    <row r="77" spans="1:20" s="747" customFormat="1" x14ac:dyDescent="0.25">
      <c r="A77" s="59"/>
      <c r="B77" s="784" t="s">
        <v>795</v>
      </c>
      <c r="C77" s="824">
        <v>0</v>
      </c>
      <c r="D77" s="824">
        <v>36.653134235012814</v>
      </c>
      <c r="E77" s="824">
        <v>0</v>
      </c>
      <c r="F77" s="824">
        <v>0</v>
      </c>
      <c r="G77" s="824">
        <v>0</v>
      </c>
      <c r="H77" s="824">
        <v>0</v>
      </c>
      <c r="I77" s="824">
        <v>0</v>
      </c>
      <c r="J77" s="824">
        <v>36.653134235012814</v>
      </c>
      <c r="K77" s="824">
        <v>0</v>
      </c>
      <c r="L77" s="824">
        <v>0</v>
      </c>
      <c r="M77" s="824">
        <v>0</v>
      </c>
      <c r="N77" s="824">
        <v>0</v>
      </c>
      <c r="O77" s="824">
        <f t="shared" si="11"/>
        <v>73.306268470025628</v>
      </c>
      <c r="P77" s="1228"/>
      <c r="Q77" s="738"/>
      <c r="R77" s="738"/>
      <c r="S77" s="738"/>
      <c r="T77" s="738"/>
    </row>
    <row r="78" spans="1:20" s="747" customFormat="1" x14ac:dyDescent="0.25">
      <c r="A78" s="59"/>
      <c r="B78" s="782" t="s">
        <v>794</v>
      </c>
      <c r="C78" s="824">
        <v>0</v>
      </c>
      <c r="D78" s="824">
        <v>0</v>
      </c>
      <c r="E78" s="824">
        <v>41.885952073644681</v>
      </c>
      <c r="F78" s="824">
        <v>0</v>
      </c>
      <c r="G78" s="824">
        <v>0</v>
      </c>
      <c r="H78" s="824">
        <v>0</v>
      </c>
      <c r="I78" s="824">
        <v>0</v>
      </c>
      <c r="J78" s="824">
        <v>0</v>
      </c>
      <c r="K78" s="824">
        <v>41.885952073644681</v>
      </c>
      <c r="L78" s="824">
        <v>0</v>
      </c>
      <c r="M78" s="824">
        <v>0</v>
      </c>
      <c r="N78" s="824">
        <v>0</v>
      </c>
      <c r="O78" s="824">
        <f t="shared" si="11"/>
        <v>83.771904147289362</v>
      </c>
      <c r="P78" s="1228"/>
      <c r="Q78" s="738"/>
      <c r="R78" s="738"/>
      <c r="S78" s="738"/>
      <c r="T78" s="738"/>
    </row>
    <row r="79" spans="1:20" s="747" customFormat="1" x14ac:dyDescent="0.25">
      <c r="A79" s="59"/>
      <c r="B79" s="784" t="s">
        <v>792</v>
      </c>
      <c r="C79" s="824">
        <v>0</v>
      </c>
      <c r="D79" s="824">
        <v>0</v>
      </c>
      <c r="E79" s="824">
        <v>39.794100016622558</v>
      </c>
      <c r="F79" s="824">
        <v>0</v>
      </c>
      <c r="G79" s="824">
        <v>0</v>
      </c>
      <c r="H79" s="824">
        <v>0</v>
      </c>
      <c r="I79" s="824">
        <v>0</v>
      </c>
      <c r="J79" s="824">
        <v>0</v>
      </c>
      <c r="K79" s="824">
        <v>39.794100016622558</v>
      </c>
      <c r="L79" s="824">
        <v>0</v>
      </c>
      <c r="M79" s="824">
        <v>0</v>
      </c>
      <c r="N79" s="824">
        <v>0</v>
      </c>
      <c r="O79" s="824">
        <f t="shared" si="11"/>
        <v>79.588200033245116</v>
      </c>
      <c r="P79" s="1228"/>
      <c r="Q79" s="738"/>
      <c r="R79" s="738"/>
      <c r="S79" s="738"/>
      <c r="T79" s="738"/>
    </row>
    <row r="80" spans="1:20" s="747" customFormat="1" x14ac:dyDescent="0.25">
      <c r="A80" s="59"/>
      <c r="B80" s="782" t="s">
        <v>793</v>
      </c>
      <c r="C80" s="824">
        <v>0</v>
      </c>
      <c r="D80" s="824">
        <v>0</v>
      </c>
      <c r="E80" s="824">
        <v>47.863261679599916</v>
      </c>
      <c r="F80" s="824">
        <v>0</v>
      </c>
      <c r="G80" s="824">
        <v>0</v>
      </c>
      <c r="H80" s="824">
        <v>0</v>
      </c>
      <c r="I80" s="824">
        <v>0</v>
      </c>
      <c r="J80" s="824">
        <v>0</v>
      </c>
      <c r="K80" s="824">
        <v>47.863261679599916</v>
      </c>
      <c r="L80" s="824">
        <v>0</v>
      </c>
      <c r="M80" s="824">
        <v>0</v>
      </c>
      <c r="N80" s="824">
        <v>0</v>
      </c>
      <c r="O80" s="824">
        <f t="shared" si="11"/>
        <v>95.726523359199831</v>
      </c>
      <c r="P80" s="1228"/>
      <c r="Q80" s="738"/>
      <c r="R80" s="738"/>
      <c r="S80" s="738"/>
      <c r="T80" s="738"/>
    </row>
    <row r="81" spans="1:20" s="747" customFormat="1" x14ac:dyDescent="0.25">
      <c r="A81" s="59"/>
      <c r="B81" s="782" t="s">
        <v>796</v>
      </c>
      <c r="C81" s="824">
        <v>0</v>
      </c>
      <c r="D81" s="824">
        <v>0</v>
      </c>
      <c r="E81" s="824">
        <v>0</v>
      </c>
      <c r="F81" s="824">
        <v>0</v>
      </c>
      <c r="G81" s="824">
        <v>11.064163483184522</v>
      </c>
      <c r="H81" s="824">
        <v>0</v>
      </c>
      <c r="I81" s="824">
        <v>0</v>
      </c>
      <c r="J81" s="824">
        <v>0</v>
      </c>
      <c r="K81" s="824">
        <v>0</v>
      </c>
      <c r="L81" s="824">
        <v>0</v>
      </c>
      <c r="M81" s="824">
        <v>11.064163483184522</v>
      </c>
      <c r="N81" s="824">
        <v>0</v>
      </c>
      <c r="O81" s="824">
        <f t="shared" si="11"/>
        <v>22.128326966369045</v>
      </c>
      <c r="P81" s="1228"/>
      <c r="Q81" s="738"/>
      <c r="R81" s="738"/>
      <c r="S81" s="738"/>
      <c r="T81" s="738"/>
    </row>
    <row r="82" spans="1:20" s="747" customFormat="1" x14ac:dyDescent="0.25">
      <c r="A82" s="59"/>
      <c r="B82" s="784" t="s">
        <v>797</v>
      </c>
      <c r="C82" s="824">
        <v>0</v>
      </c>
      <c r="D82" s="824">
        <v>0</v>
      </c>
      <c r="E82" s="824">
        <v>0</v>
      </c>
      <c r="F82" s="824">
        <v>0</v>
      </c>
      <c r="G82" s="824">
        <v>1.7206360345357983</v>
      </c>
      <c r="H82" s="824">
        <v>0</v>
      </c>
      <c r="I82" s="824">
        <v>0</v>
      </c>
      <c r="J82" s="824">
        <v>0</v>
      </c>
      <c r="K82" s="824">
        <v>0</v>
      </c>
      <c r="L82" s="824">
        <v>0</v>
      </c>
      <c r="M82" s="824">
        <v>1.7206710321552383</v>
      </c>
      <c r="N82" s="824">
        <v>0</v>
      </c>
      <c r="O82" s="824">
        <f t="shared" si="11"/>
        <v>3.4413070666910368</v>
      </c>
      <c r="P82" s="1228"/>
      <c r="Q82" s="738"/>
      <c r="R82" s="738"/>
      <c r="S82" s="738"/>
      <c r="T82" s="738"/>
    </row>
    <row r="83" spans="1:20" s="747" customFormat="1" x14ac:dyDescent="0.25">
      <c r="A83" s="59"/>
      <c r="B83" s="782" t="s">
        <v>585</v>
      </c>
      <c r="C83" s="824">
        <v>0</v>
      </c>
      <c r="D83" s="824">
        <v>0</v>
      </c>
      <c r="E83" s="824">
        <v>24.149711798026203</v>
      </c>
      <c r="F83" s="824">
        <v>0</v>
      </c>
      <c r="G83" s="824">
        <v>0</v>
      </c>
      <c r="H83" s="824">
        <v>0</v>
      </c>
      <c r="I83" s="824">
        <v>0</v>
      </c>
      <c r="J83" s="824">
        <v>0</v>
      </c>
      <c r="K83" s="824">
        <v>24.149711798026203</v>
      </c>
      <c r="L83" s="824">
        <v>0</v>
      </c>
      <c r="M83" s="824">
        <v>0</v>
      </c>
      <c r="N83" s="824">
        <v>0</v>
      </c>
      <c r="O83" s="824">
        <f t="shared" si="11"/>
        <v>48.299423596052407</v>
      </c>
      <c r="P83" s="1228"/>
      <c r="Q83" s="738"/>
      <c r="R83" s="738"/>
      <c r="S83" s="738"/>
      <c r="T83" s="738"/>
    </row>
    <row r="84" spans="1:20" s="747" customFormat="1" x14ac:dyDescent="0.25">
      <c r="A84" s="59"/>
      <c r="B84" s="784" t="s">
        <v>586</v>
      </c>
      <c r="C84" s="824">
        <v>0</v>
      </c>
      <c r="D84" s="824">
        <v>0</v>
      </c>
      <c r="E84" s="824">
        <v>0</v>
      </c>
      <c r="F84" s="824">
        <v>23.895837524698788</v>
      </c>
      <c r="G84" s="824">
        <v>0</v>
      </c>
      <c r="H84" s="824">
        <v>0</v>
      </c>
      <c r="I84" s="824">
        <v>0</v>
      </c>
      <c r="J84" s="824">
        <v>0</v>
      </c>
      <c r="K84" s="824">
        <v>0</v>
      </c>
      <c r="L84" s="824">
        <v>23.895837524698788</v>
      </c>
      <c r="M84" s="824">
        <v>0</v>
      </c>
      <c r="N84" s="824">
        <v>0</v>
      </c>
      <c r="O84" s="824">
        <f t="shared" si="11"/>
        <v>47.791675049397575</v>
      </c>
      <c r="P84" s="1228"/>
      <c r="Q84" s="738"/>
      <c r="R84" s="738"/>
      <c r="S84" s="738"/>
      <c r="T84" s="738"/>
    </row>
    <row r="85" spans="1:20" s="747" customFormat="1" x14ac:dyDescent="0.25">
      <c r="A85" s="59"/>
      <c r="B85" s="782" t="s">
        <v>597</v>
      </c>
      <c r="C85" s="824">
        <v>0</v>
      </c>
      <c r="D85" s="824">
        <v>0</v>
      </c>
      <c r="E85" s="824">
        <v>0</v>
      </c>
      <c r="F85" s="824">
        <v>0</v>
      </c>
      <c r="G85" s="824">
        <v>45.989371144752354</v>
      </c>
      <c r="H85" s="824">
        <v>0</v>
      </c>
      <c r="I85" s="824">
        <v>0</v>
      </c>
      <c r="J85" s="824">
        <v>0</v>
      </c>
      <c r="K85" s="824">
        <v>0</v>
      </c>
      <c r="L85" s="824">
        <v>0</v>
      </c>
      <c r="M85" s="824">
        <v>45.989371144752354</v>
      </c>
      <c r="N85" s="824">
        <v>0</v>
      </c>
      <c r="O85" s="824">
        <f t="shared" si="11"/>
        <v>91.978742289504709</v>
      </c>
      <c r="P85" s="1228"/>
      <c r="Q85" s="738"/>
      <c r="R85" s="738"/>
      <c r="S85" s="738"/>
      <c r="T85" s="738"/>
    </row>
    <row r="86" spans="1:20" s="747" customFormat="1" x14ac:dyDescent="0.25">
      <c r="A86" s="59"/>
      <c r="B86" s="782" t="s">
        <v>889</v>
      </c>
      <c r="C86" s="824">
        <v>0</v>
      </c>
      <c r="D86" s="824">
        <v>0</v>
      </c>
      <c r="E86" s="824">
        <v>3.9821376872019467</v>
      </c>
      <c r="F86" s="824">
        <v>0</v>
      </c>
      <c r="G86" s="824">
        <v>0</v>
      </c>
      <c r="H86" s="824">
        <v>4.0706296358150853</v>
      </c>
      <c r="I86" s="824">
        <v>0</v>
      </c>
      <c r="J86" s="824">
        <v>0</v>
      </c>
      <c r="K86" s="824">
        <v>4.0706296358150853</v>
      </c>
      <c r="L86" s="824">
        <v>0</v>
      </c>
      <c r="M86" s="824">
        <v>0</v>
      </c>
      <c r="N86" s="824">
        <v>4.0263836615085156</v>
      </c>
      <c r="O86" s="824">
        <f t="shared" si="11"/>
        <v>16.149780620340632</v>
      </c>
      <c r="P86" s="1228"/>
      <c r="Q86" s="738"/>
      <c r="R86" s="738"/>
      <c r="S86" s="738"/>
      <c r="T86" s="738"/>
    </row>
    <row r="87" spans="1:20" s="747" customFormat="1" x14ac:dyDescent="0.25">
      <c r="A87" s="59"/>
      <c r="B87" s="782" t="s">
        <v>741</v>
      </c>
      <c r="C87" s="824">
        <v>0</v>
      </c>
      <c r="D87" s="824">
        <v>0</v>
      </c>
      <c r="E87" s="824">
        <v>0</v>
      </c>
      <c r="F87" s="824">
        <v>0</v>
      </c>
      <c r="G87" s="824">
        <v>395.45543702647205</v>
      </c>
      <c r="H87" s="824">
        <v>0</v>
      </c>
      <c r="I87" s="824">
        <v>0</v>
      </c>
      <c r="J87" s="824">
        <v>0</v>
      </c>
      <c r="K87" s="824">
        <v>0</v>
      </c>
      <c r="L87" s="824">
        <v>0</v>
      </c>
      <c r="M87" s="824">
        <v>0</v>
      </c>
      <c r="N87" s="824">
        <v>0</v>
      </c>
      <c r="O87" s="824">
        <f t="shared" si="11"/>
        <v>395.45543702647205</v>
      </c>
      <c r="P87" s="1228"/>
      <c r="Q87" s="738"/>
      <c r="R87" s="738"/>
      <c r="S87" s="738"/>
      <c r="T87" s="738"/>
    </row>
    <row r="88" spans="1:20" s="747" customFormat="1" x14ac:dyDescent="0.25">
      <c r="A88" s="59"/>
      <c r="B88" s="782" t="s">
        <v>804</v>
      </c>
      <c r="C88" s="824">
        <v>0</v>
      </c>
      <c r="D88" s="824">
        <v>0</v>
      </c>
      <c r="E88" s="824">
        <v>0</v>
      </c>
      <c r="F88" s="824">
        <v>0.97618748</v>
      </c>
      <c r="G88" s="824">
        <v>0</v>
      </c>
      <c r="H88" s="824">
        <v>0</v>
      </c>
      <c r="I88" s="824">
        <v>0</v>
      </c>
      <c r="J88" s="824">
        <v>0</v>
      </c>
      <c r="K88" s="824">
        <v>0</v>
      </c>
      <c r="L88" s="824">
        <v>0</v>
      </c>
      <c r="M88" s="824">
        <v>0</v>
      </c>
      <c r="N88" s="824">
        <v>0</v>
      </c>
      <c r="O88" s="824">
        <f t="shared" si="11"/>
        <v>0.97618748</v>
      </c>
      <c r="P88" s="1228"/>
      <c r="Q88" s="738"/>
      <c r="R88" s="738"/>
      <c r="S88" s="738"/>
      <c r="T88" s="738"/>
    </row>
    <row r="89" spans="1:20" s="747" customFormat="1" x14ac:dyDescent="0.25">
      <c r="A89" s="59"/>
      <c r="B89" s="782" t="s">
        <v>477</v>
      </c>
      <c r="C89" s="824">
        <v>0</v>
      </c>
      <c r="D89" s="824">
        <v>0</v>
      </c>
      <c r="E89" s="824">
        <v>0</v>
      </c>
      <c r="F89" s="824">
        <v>72.83847021751825</v>
      </c>
      <c r="G89" s="824">
        <v>0</v>
      </c>
      <c r="H89" s="824">
        <v>0</v>
      </c>
      <c r="I89" s="824">
        <v>0</v>
      </c>
      <c r="J89" s="824">
        <v>0</v>
      </c>
      <c r="K89" s="824">
        <v>0</v>
      </c>
      <c r="L89" s="824">
        <v>72.83847021751825</v>
      </c>
      <c r="M89" s="824">
        <v>0</v>
      </c>
      <c r="N89" s="824">
        <v>0</v>
      </c>
      <c r="O89" s="824">
        <f t="shared" si="11"/>
        <v>145.6769404350365</v>
      </c>
      <c r="P89" s="1228"/>
      <c r="Q89" s="738"/>
      <c r="R89" s="738"/>
      <c r="S89" s="738"/>
      <c r="T89" s="738"/>
    </row>
    <row r="90" spans="1:20" s="747" customFormat="1" x14ac:dyDescent="0.25">
      <c r="A90" s="59"/>
      <c r="B90" s="782" t="s">
        <v>478</v>
      </c>
      <c r="C90" s="824">
        <v>0</v>
      </c>
      <c r="D90" s="824">
        <v>0</v>
      </c>
      <c r="E90" s="824">
        <v>0</v>
      </c>
      <c r="F90" s="824">
        <v>49.946746904914839</v>
      </c>
      <c r="G90" s="824">
        <v>0</v>
      </c>
      <c r="H90" s="824">
        <v>0</v>
      </c>
      <c r="I90" s="824">
        <v>0</v>
      </c>
      <c r="J90" s="824">
        <v>0</v>
      </c>
      <c r="K90" s="824">
        <v>0</v>
      </c>
      <c r="L90" s="824">
        <v>49.946746904914839</v>
      </c>
      <c r="M90" s="824">
        <v>0</v>
      </c>
      <c r="N90" s="824">
        <v>0</v>
      </c>
      <c r="O90" s="824">
        <f t="shared" si="11"/>
        <v>99.893493809829678</v>
      </c>
      <c r="P90" s="1228"/>
      <c r="Q90" s="738"/>
      <c r="R90" s="738"/>
      <c r="S90" s="738"/>
      <c r="T90" s="738"/>
    </row>
    <row r="91" spans="1:20" s="747" customFormat="1" x14ac:dyDescent="0.25">
      <c r="A91" s="59"/>
      <c r="B91" s="782" t="s">
        <v>840</v>
      </c>
      <c r="C91" s="824">
        <v>6.7852483103649632</v>
      </c>
      <c r="D91" s="824">
        <v>0</v>
      </c>
      <c r="E91" s="824">
        <v>0</v>
      </c>
      <c r="F91" s="824">
        <v>6.6377418986861318</v>
      </c>
      <c r="G91" s="824">
        <v>0</v>
      </c>
      <c r="H91" s="824">
        <v>0</v>
      </c>
      <c r="I91" s="824">
        <v>6.7114945864720195</v>
      </c>
      <c r="J91" s="824">
        <v>0</v>
      </c>
      <c r="K91" s="824">
        <v>0</v>
      </c>
      <c r="L91" s="824">
        <v>6.7852472742579071</v>
      </c>
      <c r="M91" s="824">
        <v>0</v>
      </c>
      <c r="N91" s="824">
        <v>0</v>
      </c>
      <c r="O91" s="824">
        <f t="shared" si="11"/>
        <v>26.91973206978102</v>
      </c>
      <c r="P91" s="1228"/>
      <c r="Q91" s="738"/>
      <c r="R91" s="738"/>
      <c r="S91" s="738"/>
      <c r="T91" s="738"/>
    </row>
    <row r="92" spans="1:20" s="747" customFormat="1" x14ac:dyDescent="0.25">
      <c r="A92" s="59"/>
      <c r="B92" s="784" t="s">
        <v>841</v>
      </c>
      <c r="C92" s="824">
        <v>0</v>
      </c>
      <c r="D92" s="824">
        <v>10.774311466472021</v>
      </c>
      <c r="E92" s="824">
        <v>0</v>
      </c>
      <c r="F92" s="824">
        <v>0</v>
      </c>
      <c r="G92" s="824">
        <v>10.155719448077859</v>
      </c>
      <c r="H92" s="824">
        <v>0</v>
      </c>
      <c r="I92" s="824">
        <v>0</v>
      </c>
      <c r="J92" s="824">
        <v>10.221782673381995</v>
      </c>
      <c r="K92" s="824">
        <v>0</v>
      </c>
      <c r="L92" s="824">
        <v>0</v>
      </c>
      <c r="M92" s="824">
        <v>9.9455182767883219</v>
      </c>
      <c r="N92" s="824">
        <v>0</v>
      </c>
      <c r="O92" s="824">
        <f t="shared" si="11"/>
        <v>41.097331864720196</v>
      </c>
      <c r="P92" s="1228"/>
      <c r="Q92" s="738"/>
      <c r="R92" s="738"/>
      <c r="S92" s="738"/>
      <c r="T92" s="738"/>
    </row>
    <row r="93" spans="1:20" s="747" customFormat="1" x14ac:dyDescent="0.25">
      <c r="A93" s="59"/>
      <c r="B93" s="782" t="s">
        <v>813</v>
      </c>
      <c r="C93" s="824">
        <v>0</v>
      </c>
      <c r="D93" s="824">
        <v>56.190557560486624</v>
      </c>
      <c r="E93" s="824">
        <v>0</v>
      </c>
      <c r="F93" s="824">
        <v>0</v>
      </c>
      <c r="G93" s="824">
        <v>54.358256770510948</v>
      </c>
      <c r="H93" s="824">
        <v>0</v>
      </c>
      <c r="I93" s="824">
        <v>0</v>
      </c>
      <c r="J93" s="824">
        <v>56.190557560486624</v>
      </c>
      <c r="K93" s="824">
        <v>0</v>
      </c>
      <c r="L93" s="824">
        <v>0</v>
      </c>
      <c r="M93" s="824">
        <v>56.190557560486624</v>
      </c>
      <c r="N93" s="824">
        <v>0</v>
      </c>
      <c r="O93" s="824">
        <f t="shared" si="11"/>
        <v>222.92992945197085</v>
      </c>
      <c r="P93" s="1228"/>
      <c r="Q93" s="738"/>
      <c r="R93" s="738"/>
      <c r="S93" s="738"/>
      <c r="T93" s="738"/>
    </row>
    <row r="94" spans="1:20" s="747" customFormat="1" x14ac:dyDescent="0.25">
      <c r="A94" s="59"/>
      <c r="B94" s="784" t="s">
        <v>838</v>
      </c>
      <c r="C94" s="824">
        <v>0</v>
      </c>
      <c r="D94" s="824">
        <v>0</v>
      </c>
      <c r="E94" s="824">
        <v>0</v>
      </c>
      <c r="F94" s="824">
        <v>0</v>
      </c>
      <c r="G94" s="824">
        <v>1.6136356299999999</v>
      </c>
      <c r="H94" s="824">
        <v>0</v>
      </c>
      <c r="I94" s="824">
        <v>0</v>
      </c>
      <c r="J94" s="824">
        <v>0</v>
      </c>
      <c r="K94" s="824">
        <v>0</v>
      </c>
      <c r="L94" s="824">
        <v>0</v>
      </c>
      <c r="M94" s="824">
        <v>1.6136356299999999</v>
      </c>
      <c r="N94" s="824">
        <v>0</v>
      </c>
      <c r="O94" s="824">
        <f t="shared" si="11"/>
        <v>3.2272712599999998</v>
      </c>
      <c r="P94" s="1228"/>
      <c r="Q94" s="738"/>
      <c r="R94" s="738"/>
      <c r="S94" s="738"/>
      <c r="T94" s="738"/>
    </row>
    <row r="95" spans="1:20" s="747" customFormat="1" x14ac:dyDescent="0.25">
      <c r="A95" s="59"/>
      <c r="B95" s="784" t="s">
        <v>850</v>
      </c>
      <c r="C95" s="824">
        <v>0</v>
      </c>
      <c r="D95" s="824">
        <v>0</v>
      </c>
      <c r="E95" s="824">
        <v>0</v>
      </c>
      <c r="F95" s="824">
        <v>4.1657843200000002</v>
      </c>
      <c r="G95" s="824">
        <v>0</v>
      </c>
      <c r="H95" s="824">
        <v>0</v>
      </c>
      <c r="I95" s="824">
        <v>0</v>
      </c>
      <c r="J95" s="824">
        <v>0</v>
      </c>
      <c r="K95" s="824">
        <v>0</v>
      </c>
      <c r="L95" s="824">
        <v>3.3326274599999999</v>
      </c>
      <c r="M95" s="824">
        <v>0</v>
      </c>
      <c r="N95" s="824">
        <v>0</v>
      </c>
      <c r="O95" s="824">
        <f t="shared" si="11"/>
        <v>7.4984117799999996</v>
      </c>
      <c r="P95" s="1228"/>
      <c r="Q95" s="738"/>
      <c r="R95" s="738"/>
      <c r="S95" s="738"/>
      <c r="T95" s="738"/>
    </row>
    <row r="96" spans="1:20" s="747" customFormat="1" x14ac:dyDescent="0.25">
      <c r="A96" s="59"/>
      <c r="B96" s="782" t="s">
        <v>780</v>
      </c>
      <c r="C96" s="824">
        <v>0.82811671024212796</v>
      </c>
      <c r="D96" s="824">
        <v>0</v>
      </c>
      <c r="E96" s="824">
        <v>0</v>
      </c>
      <c r="F96" s="824">
        <v>0</v>
      </c>
      <c r="G96" s="824">
        <v>0</v>
      </c>
      <c r="H96" s="824">
        <v>0</v>
      </c>
      <c r="I96" s="824">
        <v>0.82811671024212796</v>
      </c>
      <c r="J96" s="824">
        <v>0</v>
      </c>
      <c r="K96" s="824">
        <v>0</v>
      </c>
      <c r="L96" s="824">
        <v>0</v>
      </c>
      <c r="M96" s="824">
        <v>0</v>
      </c>
      <c r="N96" s="824">
        <v>0</v>
      </c>
      <c r="O96" s="824">
        <f t="shared" si="11"/>
        <v>1.6562334204842559</v>
      </c>
      <c r="P96" s="1228"/>
      <c r="Q96" s="738"/>
      <c r="R96" s="738"/>
      <c r="S96" s="738"/>
      <c r="T96" s="738"/>
    </row>
    <row r="97" spans="1:20" s="747" customFormat="1" x14ac:dyDescent="0.25">
      <c r="A97" s="59"/>
      <c r="B97" s="782" t="s">
        <v>784</v>
      </c>
      <c r="C97" s="824">
        <v>0.25687659429350912</v>
      </c>
      <c r="D97" s="824">
        <v>0</v>
      </c>
      <c r="E97" s="824">
        <v>0</v>
      </c>
      <c r="F97" s="824">
        <v>0</v>
      </c>
      <c r="G97" s="824">
        <v>0</v>
      </c>
      <c r="H97" s="824">
        <v>0</v>
      </c>
      <c r="I97" s="824">
        <v>0.25687659429350912</v>
      </c>
      <c r="J97" s="824">
        <v>0</v>
      </c>
      <c r="K97" s="824">
        <v>0</v>
      </c>
      <c r="L97" s="824">
        <v>0</v>
      </c>
      <c r="M97" s="824">
        <v>0</v>
      </c>
      <c r="N97" s="824">
        <v>0</v>
      </c>
      <c r="O97" s="824">
        <f t="shared" si="11"/>
        <v>0.51375318858701824</v>
      </c>
      <c r="P97" s="1228"/>
      <c r="Q97" s="738"/>
      <c r="R97" s="738"/>
      <c r="S97" s="738"/>
      <c r="T97" s="738"/>
    </row>
    <row r="98" spans="1:20" s="747" customFormat="1" x14ac:dyDescent="0.25">
      <c r="A98" s="59"/>
      <c r="B98" s="782" t="s">
        <v>782</v>
      </c>
      <c r="C98" s="824">
        <v>6.9001091735819031</v>
      </c>
      <c r="D98" s="824">
        <v>0</v>
      </c>
      <c r="E98" s="824">
        <v>0</v>
      </c>
      <c r="F98" s="824">
        <v>0</v>
      </c>
      <c r="G98" s="824">
        <v>0</v>
      </c>
      <c r="H98" s="824">
        <v>0</v>
      </c>
      <c r="I98" s="824">
        <v>6.9001091735819031</v>
      </c>
      <c r="J98" s="824">
        <v>0</v>
      </c>
      <c r="K98" s="824">
        <v>0</v>
      </c>
      <c r="L98" s="824">
        <v>0</v>
      </c>
      <c r="M98" s="824">
        <v>0</v>
      </c>
      <c r="N98" s="824">
        <v>0</v>
      </c>
      <c r="O98" s="824">
        <f t="shared" si="11"/>
        <v>13.800218347163806</v>
      </c>
      <c r="P98" s="1228"/>
      <c r="Q98" s="738"/>
      <c r="R98" s="738"/>
      <c r="S98" s="738"/>
      <c r="T98" s="738"/>
    </row>
    <row r="99" spans="1:20" s="747" customFormat="1" x14ac:dyDescent="0.25">
      <c r="A99" s="59"/>
      <c r="B99" s="784" t="s">
        <v>781</v>
      </c>
      <c r="C99" s="824">
        <v>1.2737094805047176</v>
      </c>
      <c r="D99" s="824">
        <v>0</v>
      </c>
      <c r="E99" s="824">
        <v>0</v>
      </c>
      <c r="F99" s="824">
        <v>0</v>
      </c>
      <c r="G99" s="824">
        <v>0</v>
      </c>
      <c r="H99" s="824">
        <v>0</v>
      </c>
      <c r="I99" s="824">
        <v>1.2737094805047176</v>
      </c>
      <c r="J99" s="824">
        <v>0</v>
      </c>
      <c r="K99" s="824">
        <v>0</v>
      </c>
      <c r="L99" s="824">
        <v>0</v>
      </c>
      <c r="M99" s="824">
        <v>0</v>
      </c>
      <c r="N99" s="824">
        <v>0</v>
      </c>
      <c r="O99" s="824">
        <f t="shared" ref="O99:O124" si="31">+SUM(C99:N99)</f>
        <v>2.5474189610094351</v>
      </c>
      <c r="P99" s="1228"/>
      <c r="Q99" s="738"/>
      <c r="R99" s="738"/>
      <c r="S99" s="738"/>
      <c r="T99" s="738"/>
    </row>
    <row r="100" spans="1:20" s="747" customFormat="1" x14ac:dyDescent="0.25">
      <c r="A100" s="59"/>
      <c r="B100" s="784" t="s">
        <v>783</v>
      </c>
      <c r="C100" s="824">
        <v>13.407428168693873</v>
      </c>
      <c r="D100" s="824">
        <v>0</v>
      </c>
      <c r="E100" s="824">
        <v>0</v>
      </c>
      <c r="F100" s="824">
        <v>0</v>
      </c>
      <c r="G100" s="824">
        <v>0</v>
      </c>
      <c r="H100" s="824">
        <v>0</v>
      </c>
      <c r="I100" s="824">
        <v>13.407428168693873</v>
      </c>
      <c r="J100" s="824">
        <v>0</v>
      </c>
      <c r="K100" s="824">
        <v>0</v>
      </c>
      <c r="L100" s="824">
        <v>0</v>
      </c>
      <c r="M100" s="824">
        <v>0</v>
      </c>
      <c r="N100" s="824">
        <v>0</v>
      </c>
      <c r="O100" s="824">
        <f t="shared" si="31"/>
        <v>26.814856337387745</v>
      </c>
      <c r="P100" s="1228"/>
      <c r="Q100" s="738"/>
      <c r="R100" s="738"/>
      <c r="S100" s="738"/>
      <c r="T100" s="738"/>
    </row>
    <row r="101" spans="1:20" s="747" customFormat="1" x14ac:dyDescent="0.25">
      <c r="A101" s="59"/>
      <c r="B101" s="784" t="s">
        <v>785</v>
      </c>
      <c r="C101" s="824">
        <v>1.0577160622939636</v>
      </c>
      <c r="D101" s="824">
        <v>0</v>
      </c>
      <c r="E101" s="824">
        <v>0</v>
      </c>
      <c r="F101" s="824">
        <v>0</v>
      </c>
      <c r="G101" s="824">
        <v>0</v>
      </c>
      <c r="H101" s="824">
        <v>0</v>
      </c>
      <c r="I101" s="824">
        <v>1.0577160622939636</v>
      </c>
      <c r="J101" s="824">
        <v>0</v>
      </c>
      <c r="K101" s="824">
        <v>0</v>
      </c>
      <c r="L101" s="824">
        <v>0</v>
      </c>
      <c r="M101" s="824">
        <v>0</v>
      </c>
      <c r="N101" s="824">
        <v>0</v>
      </c>
      <c r="O101" s="824">
        <f t="shared" si="31"/>
        <v>2.1154321245879273</v>
      </c>
      <c r="P101" s="1228"/>
      <c r="Q101" s="738"/>
      <c r="R101" s="738"/>
      <c r="S101" s="738"/>
      <c r="T101" s="738"/>
    </row>
    <row r="102" spans="1:20" s="747" customFormat="1" x14ac:dyDescent="0.25">
      <c r="A102" s="59"/>
      <c r="B102" s="784" t="s">
        <v>773</v>
      </c>
      <c r="C102" s="824">
        <v>13.175143550000001</v>
      </c>
      <c r="D102" s="824">
        <v>0</v>
      </c>
      <c r="E102" s="824">
        <v>0</v>
      </c>
      <c r="F102" s="824">
        <v>0</v>
      </c>
      <c r="G102" s="824">
        <v>0</v>
      </c>
      <c r="H102" s="824">
        <v>0</v>
      </c>
      <c r="I102" s="824">
        <v>13.175143550000001</v>
      </c>
      <c r="J102" s="824">
        <v>0</v>
      </c>
      <c r="K102" s="824">
        <v>0</v>
      </c>
      <c r="L102" s="824">
        <v>0</v>
      </c>
      <c r="M102" s="824">
        <v>0</v>
      </c>
      <c r="N102" s="824">
        <v>0</v>
      </c>
      <c r="O102" s="824">
        <f t="shared" si="31"/>
        <v>26.350287100000003</v>
      </c>
      <c r="P102" s="1228"/>
      <c r="Q102" s="738"/>
      <c r="R102" s="738"/>
      <c r="S102" s="738"/>
      <c r="T102" s="738"/>
    </row>
    <row r="103" spans="1:20" s="747" customFormat="1" x14ac:dyDescent="0.25">
      <c r="A103" s="59"/>
      <c r="B103" s="784" t="s">
        <v>771</v>
      </c>
      <c r="C103" s="824">
        <v>114.05065267000001</v>
      </c>
      <c r="D103" s="824">
        <v>0</v>
      </c>
      <c r="E103" s="824">
        <v>0</v>
      </c>
      <c r="F103" s="824">
        <v>0</v>
      </c>
      <c r="G103" s="824">
        <v>0</v>
      </c>
      <c r="H103" s="824">
        <v>0</v>
      </c>
      <c r="I103" s="824">
        <v>114.05065267000001</v>
      </c>
      <c r="J103" s="824">
        <v>0</v>
      </c>
      <c r="K103" s="824">
        <v>0</v>
      </c>
      <c r="L103" s="824">
        <v>0</v>
      </c>
      <c r="M103" s="824">
        <v>0</v>
      </c>
      <c r="N103" s="824">
        <v>0</v>
      </c>
      <c r="O103" s="824">
        <f t="shared" si="31"/>
        <v>228.10130534000001</v>
      </c>
      <c r="P103" s="1228"/>
      <c r="Q103" s="738"/>
      <c r="R103" s="738"/>
      <c r="S103" s="738"/>
      <c r="T103" s="738"/>
    </row>
    <row r="104" spans="1:20" s="747" customFormat="1" x14ac:dyDescent="0.25">
      <c r="A104" s="59"/>
      <c r="B104" s="784" t="s">
        <v>769</v>
      </c>
      <c r="C104" s="824">
        <v>40.22653013</v>
      </c>
      <c r="D104" s="824">
        <v>0</v>
      </c>
      <c r="E104" s="824">
        <v>0</v>
      </c>
      <c r="F104" s="824">
        <v>0</v>
      </c>
      <c r="G104" s="824">
        <v>0</v>
      </c>
      <c r="H104" s="824">
        <v>0</v>
      </c>
      <c r="I104" s="824">
        <v>40.22653013</v>
      </c>
      <c r="J104" s="824">
        <v>0</v>
      </c>
      <c r="K104" s="824">
        <v>0</v>
      </c>
      <c r="L104" s="824">
        <v>0</v>
      </c>
      <c r="M104" s="824">
        <v>0</v>
      </c>
      <c r="N104" s="824">
        <v>0</v>
      </c>
      <c r="O104" s="824">
        <f t="shared" si="31"/>
        <v>80.453060260000001</v>
      </c>
      <c r="P104" s="1228"/>
      <c r="Q104" s="738"/>
      <c r="R104" s="738"/>
      <c r="S104" s="738"/>
      <c r="T104" s="738"/>
    </row>
    <row r="105" spans="1:20" x14ac:dyDescent="0.25">
      <c r="B105" s="784" t="s">
        <v>770</v>
      </c>
      <c r="C105" s="824">
        <v>115.32216260999999</v>
      </c>
      <c r="D105" s="824">
        <v>0</v>
      </c>
      <c r="E105" s="824">
        <v>0</v>
      </c>
      <c r="F105" s="824">
        <v>0</v>
      </c>
      <c r="G105" s="824">
        <v>0</v>
      </c>
      <c r="H105" s="824">
        <v>0</v>
      </c>
      <c r="I105" s="824">
        <v>115.32216260999999</v>
      </c>
      <c r="J105" s="824">
        <v>0</v>
      </c>
      <c r="K105" s="824">
        <v>0</v>
      </c>
      <c r="L105" s="824">
        <v>0</v>
      </c>
      <c r="M105" s="824">
        <v>0</v>
      </c>
      <c r="N105" s="824">
        <v>0</v>
      </c>
      <c r="O105" s="824">
        <f t="shared" si="31"/>
        <v>230.64432521999998</v>
      </c>
      <c r="P105" s="1228"/>
      <c r="Q105" s="738"/>
      <c r="R105" s="738"/>
      <c r="S105" s="738"/>
      <c r="T105" s="738"/>
    </row>
    <row r="106" spans="1:20" s="747" customFormat="1" x14ac:dyDescent="0.25">
      <c r="A106" s="59"/>
      <c r="B106" s="784" t="s">
        <v>772</v>
      </c>
      <c r="C106" s="824">
        <v>131.02639098999998</v>
      </c>
      <c r="D106" s="824">
        <v>0</v>
      </c>
      <c r="E106" s="824">
        <v>0</v>
      </c>
      <c r="F106" s="824">
        <v>0</v>
      </c>
      <c r="G106" s="824">
        <v>0</v>
      </c>
      <c r="H106" s="824">
        <v>0</v>
      </c>
      <c r="I106" s="824">
        <v>131.02639098999998</v>
      </c>
      <c r="J106" s="824">
        <v>0</v>
      </c>
      <c r="K106" s="824">
        <v>0</v>
      </c>
      <c r="L106" s="824">
        <v>0</v>
      </c>
      <c r="M106" s="824">
        <v>0</v>
      </c>
      <c r="N106" s="824">
        <v>0</v>
      </c>
      <c r="O106" s="824">
        <f t="shared" si="31"/>
        <v>262.05278197999996</v>
      </c>
      <c r="P106" s="1228"/>
      <c r="Q106" s="738"/>
      <c r="R106" s="738"/>
      <c r="S106" s="738"/>
      <c r="T106" s="738"/>
    </row>
    <row r="107" spans="1:20" s="747" customFormat="1" x14ac:dyDescent="0.25">
      <c r="A107" s="59"/>
      <c r="B107" s="784" t="s">
        <v>774</v>
      </c>
      <c r="C107" s="824">
        <v>11.767483820000001</v>
      </c>
      <c r="D107" s="824">
        <v>0</v>
      </c>
      <c r="E107" s="824">
        <v>0</v>
      </c>
      <c r="F107" s="824">
        <v>0</v>
      </c>
      <c r="G107" s="824">
        <v>0</v>
      </c>
      <c r="H107" s="824">
        <v>0</v>
      </c>
      <c r="I107" s="824">
        <v>11.767483820000001</v>
      </c>
      <c r="J107" s="824">
        <v>0</v>
      </c>
      <c r="K107" s="824">
        <v>0</v>
      </c>
      <c r="L107" s="824">
        <v>0</v>
      </c>
      <c r="M107" s="824">
        <v>0</v>
      </c>
      <c r="N107" s="824">
        <v>0</v>
      </c>
      <c r="O107" s="824">
        <f t="shared" si="31"/>
        <v>23.534967640000001</v>
      </c>
      <c r="P107" s="1228"/>
      <c r="Q107" s="738"/>
      <c r="R107" s="738"/>
      <c r="S107" s="738"/>
      <c r="T107" s="738"/>
    </row>
    <row r="108" spans="1:20" s="747" customFormat="1" x14ac:dyDescent="0.25">
      <c r="A108" s="59"/>
      <c r="B108" s="784" t="s">
        <v>779</v>
      </c>
      <c r="C108" s="824">
        <v>10.972158460000001</v>
      </c>
      <c r="D108" s="824">
        <v>0</v>
      </c>
      <c r="E108" s="824">
        <v>0</v>
      </c>
      <c r="F108" s="824">
        <v>0</v>
      </c>
      <c r="G108" s="824">
        <v>0</v>
      </c>
      <c r="H108" s="824">
        <v>0</v>
      </c>
      <c r="I108" s="824">
        <v>10.972158460000001</v>
      </c>
      <c r="J108" s="824">
        <v>0</v>
      </c>
      <c r="K108" s="824">
        <v>0</v>
      </c>
      <c r="L108" s="824">
        <v>0</v>
      </c>
      <c r="M108" s="824">
        <v>0</v>
      </c>
      <c r="N108" s="824">
        <v>0</v>
      </c>
      <c r="O108" s="824">
        <f t="shared" si="31"/>
        <v>21.944316920000002</v>
      </c>
      <c r="P108" s="1228"/>
      <c r="Q108" s="738"/>
      <c r="R108" s="738"/>
      <c r="S108" s="738"/>
      <c r="T108" s="738"/>
    </row>
    <row r="109" spans="1:20" s="747" customFormat="1" x14ac:dyDescent="0.25">
      <c r="A109" s="59"/>
      <c r="B109" s="784" t="s">
        <v>777</v>
      </c>
      <c r="C109" s="824">
        <v>72.176788239999993</v>
      </c>
      <c r="D109" s="824">
        <v>0</v>
      </c>
      <c r="E109" s="824">
        <v>0</v>
      </c>
      <c r="F109" s="824">
        <v>0</v>
      </c>
      <c r="G109" s="824">
        <v>0</v>
      </c>
      <c r="H109" s="824">
        <v>0</v>
      </c>
      <c r="I109" s="824">
        <v>72.176788239999993</v>
      </c>
      <c r="J109" s="824">
        <v>0</v>
      </c>
      <c r="K109" s="824">
        <v>0</v>
      </c>
      <c r="L109" s="824">
        <v>0</v>
      </c>
      <c r="M109" s="824">
        <v>0</v>
      </c>
      <c r="N109" s="824">
        <v>0</v>
      </c>
      <c r="O109" s="824">
        <f t="shared" si="31"/>
        <v>144.35357647999999</v>
      </c>
      <c r="P109" s="1228"/>
      <c r="Q109" s="738"/>
      <c r="R109" s="738"/>
      <c r="S109" s="738"/>
      <c r="T109" s="738"/>
    </row>
    <row r="110" spans="1:20" s="747" customFormat="1" x14ac:dyDescent="0.25">
      <c r="A110" s="59"/>
      <c r="B110" s="784" t="s">
        <v>775</v>
      </c>
      <c r="C110" s="824">
        <v>33.8102588</v>
      </c>
      <c r="D110" s="824">
        <v>0</v>
      </c>
      <c r="E110" s="824">
        <v>0</v>
      </c>
      <c r="F110" s="824">
        <v>0</v>
      </c>
      <c r="G110" s="824">
        <v>0</v>
      </c>
      <c r="H110" s="824">
        <v>0</v>
      </c>
      <c r="I110" s="824">
        <v>33.8102588</v>
      </c>
      <c r="J110" s="824">
        <v>0</v>
      </c>
      <c r="K110" s="824">
        <v>0</v>
      </c>
      <c r="L110" s="824">
        <v>0</v>
      </c>
      <c r="M110" s="824">
        <v>0</v>
      </c>
      <c r="N110" s="824">
        <v>0</v>
      </c>
      <c r="O110" s="824">
        <f t="shared" si="31"/>
        <v>67.620517599999999</v>
      </c>
      <c r="P110" s="1228"/>
      <c r="Q110" s="738"/>
      <c r="R110" s="738"/>
      <c r="S110" s="738"/>
      <c r="T110" s="738"/>
    </row>
    <row r="111" spans="1:20" x14ac:dyDescent="0.25">
      <c r="B111" s="784" t="s">
        <v>776</v>
      </c>
      <c r="C111" s="824">
        <v>107.27350998999999</v>
      </c>
      <c r="D111" s="824">
        <v>0</v>
      </c>
      <c r="E111" s="824">
        <v>0</v>
      </c>
      <c r="F111" s="824">
        <v>0</v>
      </c>
      <c r="G111" s="824">
        <v>0</v>
      </c>
      <c r="H111" s="824">
        <v>0</v>
      </c>
      <c r="I111" s="824">
        <v>107.27350998999999</v>
      </c>
      <c r="J111" s="824">
        <v>0</v>
      </c>
      <c r="K111" s="824">
        <v>0</v>
      </c>
      <c r="L111" s="824">
        <v>0</v>
      </c>
      <c r="M111" s="824">
        <v>0</v>
      </c>
      <c r="N111" s="824">
        <v>0</v>
      </c>
      <c r="O111" s="824">
        <f t="shared" si="31"/>
        <v>214.54701997999999</v>
      </c>
      <c r="P111" s="1228"/>
      <c r="Q111" s="738"/>
      <c r="R111" s="738"/>
      <c r="S111" s="738"/>
      <c r="T111" s="738"/>
    </row>
    <row r="112" spans="1:20" s="747" customFormat="1" x14ac:dyDescent="0.25">
      <c r="A112" s="59"/>
      <c r="B112" s="784" t="s">
        <v>778</v>
      </c>
      <c r="C112" s="1230">
        <v>18.787842140000002</v>
      </c>
      <c r="D112" s="1230">
        <v>0</v>
      </c>
      <c r="E112" s="1230">
        <v>0</v>
      </c>
      <c r="F112" s="1230">
        <v>0</v>
      </c>
      <c r="G112" s="824">
        <v>0</v>
      </c>
      <c r="H112" s="824">
        <v>0</v>
      </c>
      <c r="I112" s="824">
        <v>18.787842140000002</v>
      </c>
      <c r="J112" s="824">
        <v>0</v>
      </c>
      <c r="K112" s="824">
        <v>0</v>
      </c>
      <c r="L112" s="824">
        <v>0</v>
      </c>
      <c r="M112" s="824">
        <v>0</v>
      </c>
      <c r="N112" s="824">
        <v>0</v>
      </c>
      <c r="O112" s="824">
        <f t="shared" si="31"/>
        <v>37.575684280000004</v>
      </c>
      <c r="P112" s="1228"/>
      <c r="Q112" s="738"/>
      <c r="R112" s="738"/>
      <c r="S112" s="738"/>
      <c r="T112" s="738"/>
    </row>
    <row r="113" spans="1:20" s="747" customFormat="1" x14ac:dyDescent="0.25">
      <c r="A113" s="59"/>
      <c r="B113" s="784" t="s">
        <v>217</v>
      </c>
      <c r="C113" s="1231">
        <f t="shared" ref="C113:N113" si="32">+C114+C115</f>
        <v>44.620001286602637</v>
      </c>
      <c r="D113" s="1231">
        <f t="shared" si="32"/>
        <v>0</v>
      </c>
      <c r="E113" s="1231">
        <f t="shared" si="32"/>
        <v>0</v>
      </c>
      <c r="F113" s="1231">
        <f t="shared" si="32"/>
        <v>24.703287551265262</v>
      </c>
      <c r="G113" s="783">
        <f t="shared" si="32"/>
        <v>0</v>
      </c>
      <c r="H113" s="783">
        <f t="shared" si="32"/>
        <v>0</v>
      </c>
      <c r="I113" s="783">
        <f t="shared" si="32"/>
        <v>0</v>
      </c>
      <c r="J113" s="783">
        <f t="shared" si="32"/>
        <v>0</v>
      </c>
      <c r="K113" s="783">
        <f t="shared" si="32"/>
        <v>0</v>
      </c>
      <c r="L113" s="783">
        <f t="shared" si="32"/>
        <v>0</v>
      </c>
      <c r="M113" s="783">
        <f t="shared" si="32"/>
        <v>0</v>
      </c>
      <c r="N113" s="783">
        <f t="shared" si="32"/>
        <v>0</v>
      </c>
      <c r="O113" s="783">
        <f t="shared" si="31"/>
        <v>69.323288837867892</v>
      </c>
      <c r="P113" s="1228"/>
      <c r="Q113" s="738"/>
      <c r="R113" s="738"/>
      <c r="S113" s="738"/>
      <c r="T113" s="738"/>
    </row>
    <row r="114" spans="1:20" s="747" customFormat="1" x14ac:dyDescent="0.25">
      <c r="A114" s="59"/>
      <c r="B114" s="807" t="s">
        <v>71</v>
      </c>
      <c r="C114" s="1223">
        <f>44.6202917166027-0.000290430000063679</f>
        <v>44.620001286602637</v>
      </c>
      <c r="D114" s="1223">
        <v>0</v>
      </c>
      <c r="E114" s="1223">
        <v>0</v>
      </c>
      <c r="F114" s="1223">
        <f>24.7029971212652+0.000290430000063679</f>
        <v>24.703287551265262</v>
      </c>
      <c r="G114" s="769">
        <v>0</v>
      </c>
      <c r="H114" s="769">
        <v>0</v>
      </c>
      <c r="I114" s="769">
        <v>0</v>
      </c>
      <c r="J114" s="769">
        <v>0</v>
      </c>
      <c r="K114" s="769">
        <v>0</v>
      </c>
      <c r="L114" s="769">
        <v>0</v>
      </c>
      <c r="M114" s="769">
        <v>0</v>
      </c>
      <c r="N114" s="769">
        <v>0</v>
      </c>
      <c r="O114" s="769">
        <f t="shared" si="31"/>
        <v>69.323288837867892</v>
      </c>
      <c r="P114" s="1228"/>
      <c r="Q114" s="738"/>
      <c r="R114" s="738"/>
      <c r="S114" s="738"/>
      <c r="T114" s="738"/>
    </row>
    <row r="115" spans="1:20" s="747" customFormat="1" x14ac:dyDescent="0.25">
      <c r="A115" s="59"/>
      <c r="B115" s="777" t="s">
        <v>69</v>
      </c>
      <c r="C115" s="1232">
        <v>0</v>
      </c>
      <c r="D115" s="1232">
        <v>0</v>
      </c>
      <c r="E115" s="1232">
        <v>0</v>
      </c>
      <c r="F115" s="1232">
        <v>0</v>
      </c>
      <c r="G115" s="809">
        <v>0</v>
      </c>
      <c r="H115" s="809">
        <v>0</v>
      </c>
      <c r="I115" s="809">
        <v>0</v>
      </c>
      <c r="J115" s="809">
        <v>0</v>
      </c>
      <c r="K115" s="809">
        <v>0</v>
      </c>
      <c r="L115" s="809">
        <v>0</v>
      </c>
      <c r="M115" s="809">
        <v>0</v>
      </c>
      <c r="N115" s="809">
        <v>0</v>
      </c>
      <c r="O115" s="809">
        <f t="shared" si="31"/>
        <v>0</v>
      </c>
      <c r="P115" s="1228"/>
      <c r="Q115" s="738"/>
      <c r="R115" s="738"/>
      <c r="S115" s="738"/>
      <c r="T115" s="738"/>
    </row>
    <row r="116" spans="1:20" s="747" customFormat="1" x14ac:dyDescent="0.25">
      <c r="A116" s="59"/>
      <c r="B116" s="784" t="s">
        <v>335</v>
      </c>
      <c r="C116" s="783">
        <f t="shared" ref="C116" si="33">+C117+C122</f>
        <v>10.718687232734325</v>
      </c>
      <c r="D116" s="783">
        <f t="shared" ref="D116:N116" si="34">+D117+D122</f>
        <v>0.22165024719466217</v>
      </c>
      <c r="E116" s="783">
        <f t="shared" si="34"/>
        <v>0.23941032544100538</v>
      </c>
      <c r="F116" s="783">
        <f t="shared" si="34"/>
        <v>10.225975335525966</v>
      </c>
      <c r="G116" s="783">
        <f t="shared" si="34"/>
        <v>0.1965404856944504</v>
      </c>
      <c r="H116" s="783">
        <f t="shared" si="34"/>
        <v>0.18817056770155224</v>
      </c>
      <c r="I116" s="783">
        <f t="shared" si="34"/>
        <v>8.1762560553534218</v>
      </c>
      <c r="J116" s="783">
        <f t="shared" si="34"/>
        <v>0.17143072795499728</v>
      </c>
      <c r="K116" s="783">
        <f t="shared" si="34"/>
        <v>0.18919080996209908</v>
      </c>
      <c r="L116" s="783">
        <f t="shared" si="34"/>
        <v>6.0795927124420199</v>
      </c>
      <c r="M116" s="783">
        <f t="shared" si="34"/>
        <v>0.14632097021554413</v>
      </c>
      <c r="N116" s="783">
        <f t="shared" si="34"/>
        <v>0.13795105222264595</v>
      </c>
      <c r="O116" s="783">
        <f t="shared" si="31"/>
        <v>36.691176522442689</v>
      </c>
      <c r="P116" s="1228"/>
      <c r="Q116" s="738"/>
      <c r="R116" s="738"/>
      <c r="S116" s="738"/>
      <c r="T116" s="738"/>
    </row>
    <row r="117" spans="1:20" s="747" customFormat="1" x14ac:dyDescent="0.25">
      <c r="A117" s="59"/>
      <c r="B117" s="774" t="s">
        <v>71</v>
      </c>
      <c r="C117" s="825">
        <f t="shared" ref="C117" si="35">+C118+C120</f>
        <v>10.718687232734325</v>
      </c>
      <c r="D117" s="825">
        <f t="shared" ref="D117:N117" si="36">+D118+D120</f>
        <v>0.22165024719466217</v>
      </c>
      <c r="E117" s="825">
        <f t="shared" si="36"/>
        <v>0.21328032544100536</v>
      </c>
      <c r="F117" s="825">
        <f t="shared" si="36"/>
        <v>10.225975335525966</v>
      </c>
      <c r="G117" s="825">
        <f t="shared" si="36"/>
        <v>0.1965404856944504</v>
      </c>
      <c r="H117" s="825">
        <f t="shared" si="36"/>
        <v>0.18817056770155224</v>
      </c>
      <c r="I117" s="825">
        <f t="shared" si="36"/>
        <v>8.1762560553534218</v>
      </c>
      <c r="J117" s="825">
        <f t="shared" si="36"/>
        <v>0.17143072795499728</v>
      </c>
      <c r="K117" s="825">
        <f t="shared" si="36"/>
        <v>0.1630608099620991</v>
      </c>
      <c r="L117" s="825">
        <f t="shared" si="36"/>
        <v>6.0795927124420199</v>
      </c>
      <c r="M117" s="825">
        <f t="shared" si="36"/>
        <v>0.14632097021554413</v>
      </c>
      <c r="N117" s="825">
        <f t="shared" si="36"/>
        <v>0.13795105222264595</v>
      </c>
      <c r="O117" s="825">
        <f t="shared" si="31"/>
        <v>36.638916522442685</v>
      </c>
      <c r="P117" s="1228"/>
      <c r="Q117" s="738"/>
      <c r="R117" s="738"/>
      <c r="S117" s="738"/>
      <c r="T117" s="738"/>
    </row>
    <row r="118" spans="1:20" s="747" customFormat="1" x14ac:dyDescent="0.25">
      <c r="A118" s="59"/>
      <c r="B118" s="826" t="s">
        <v>583</v>
      </c>
      <c r="C118" s="827">
        <f>+C119</f>
        <v>0.23003442222337556</v>
      </c>
      <c r="D118" s="827">
        <f t="shared" ref="D118:N118" si="37">+D119</f>
        <v>0.22165024719466217</v>
      </c>
      <c r="E118" s="827">
        <f t="shared" si="37"/>
        <v>0.21328032544100536</v>
      </c>
      <c r="F118" s="827">
        <f t="shared" si="37"/>
        <v>0.20491040744810721</v>
      </c>
      <c r="G118" s="827">
        <f t="shared" si="37"/>
        <v>0.1965404856944504</v>
      </c>
      <c r="H118" s="827">
        <f t="shared" si="37"/>
        <v>0.18817056770155224</v>
      </c>
      <c r="I118" s="827">
        <f t="shared" si="37"/>
        <v>0.17980064970865406</v>
      </c>
      <c r="J118" s="827">
        <f t="shared" si="37"/>
        <v>0.17143072795499728</v>
      </c>
      <c r="K118" s="827">
        <f t="shared" si="37"/>
        <v>0.1630608099620991</v>
      </c>
      <c r="L118" s="827">
        <f t="shared" si="37"/>
        <v>0.15469088820844232</v>
      </c>
      <c r="M118" s="827">
        <f t="shared" si="37"/>
        <v>0.14632097021554413</v>
      </c>
      <c r="N118" s="827">
        <f t="shared" si="37"/>
        <v>0.13795105222264595</v>
      </c>
      <c r="O118" s="828">
        <f t="shared" si="31"/>
        <v>2.2078415539755358</v>
      </c>
      <c r="P118" s="1228"/>
      <c r="Q118" s="738"/>
      <c r="R118" s="738"/>
      <c r="S118" s="738"/>
      <c r="T118" s="738"/>
    </row>
    <row r="119" spans="1:20" s="747" customFormat="1" x14ac:dyDescent="0.25">
      <c r="A119" s="59"/>
      <c r="B119" s="829" t="s">
        <v>669</v>
      </c>
      <c r="C119" s="827">
        <v>0.23003442222337556</v>
      </c>
      <c r="D119" s="827">
        <v>0.22165024719466217</v>
      </c>
      <c r="E119" s="827">
        <v>0.21328032544100536</v>
      </c>
      <c r="F119" s="827">
        <v>0.20491040744810721</v>
      </c>
      <c r="G119" s="827">
        <v>0.1965404856944504</v>
      </c>
      <c r="H119" s="827">
        <v>0.18817056770155224</v>
      </c>
      <c r="I119" s="827">
        <v>0.17980064970865406</v>
      </c>
      <c r="J119" s="827">
        <v>0.17143072795499728</v>
      </c>
      <c r="K119" s="827">
        <v>0.1630608099620991</v>
      </c>
      <c r="L119" s="827">
        <v>0.15469088820844232</v>
      </c>
      <c r="M119" s="827">
        <v>0.14632097021554413</v>
      </c>
      <c r="N119" s="827">
        <v>0.13795105222264595</v>
      </c>
      <c r="O119" s="787">
        <f t="shared" si="31"/>
        <v>2.2078415539755358</v>
      </c>
      <c r="P119" s="1228"/>
      <c r="Q119" s="738"/>
      <c r="R119" s="738"/>
      <c r="S119" s="738"/>
      <c r="T119" s="738"/>
    </row>
    <row r="120" spans="1:20" s="747" customFormat="1" x14ac:dyDescent="0.25">
      <c r="A120" s="290"/>
      <c r="B120" s="826" t="s">
        <v>584</v>
      </c>
      <c r="C120" s="827">
        <f t="shared" ref="C120:N120" si="38">+C121</f>
        <v>10.488652810510949</v>
      </c>
      <c r="D120" s="827">
        <f t="shared" si="38"/>
        <v>0</v>
      </c>
      <c r="E120" s="827">
        <f t="shared" si="38"/>
        <v>0</v>
      </c>
      <c r="F120" s="827">
        <f t="shared" si="38"/>
        <v>10.021064928077859</v>
      </c>
      <c r="G120" s="827">
        <f t="shared" si="38"/>
        <v>0</v>
      </c>
      <c r="H120" s="827">
        <f t="shared" si="38"/>
        <v>0</v>
      </c>
      <c r="I120" s="827">
        <f t="shared" si="38"/>
        <v>7.9964554056447676</v>
      </c>
      <c r="J120" s="827">
        <f t="shared" si="38"/>
        <v>0</v>
      </c>
      <c r="K120" s="827">
        <f t="shared" si="38"/>
        <v>0</v>
      </c>
      <c r="L120" s="827">
        <f t="shared" si="38"/>
        <v>5.9249018242335776</v>
      </c>
      <c r="M120" s="827">
        <f t="shared" si="38"/>
        <v>0</v>
      </c>
      <c r="N120" s="827">
        <f t="shared" si="38"/>
        <v>0</v>
      </c>
      <c r="O120" s="828">
        <f t="shared" si="31"/>
        <v>34.431074968467151</v>
      </c>
      <c r="P120" s="1228"/>
      <c r="Q120" s="738"/>
      <c r="R120" s="738"/>
      <c r="S120" s="738"/>
      <c r="T120" s="738"/>
    </row>
    <row r="121" spans="1:20" x14ac:dyDescent="0.25">
      <c r="A121" s="737"/>
      <c r="B121" s="829" t="s">
        <v>669</v>
      </c>
      <c r="C121" s="827">
        <v>10.488652810510949</v>
      </c>
      <c r="D121" s="827">
        <v>0</v>
      </c>
      <c r="E121" s="827">
        <v>0</v>
      </c>
      <c r="F121" s="827">
        <v>10.021064928077859</v>
      </c>
      <c r="G121" s="827">
        <v>0</v>
      </c>
      <c r="H121" s="827">
        <v>0</v>
      </c>
      <c r="I121" s="827">
        <v>7.9964554056447676</v>
      </c>
      <c r="J121" s="827">
        <v>0</v>
      </c>
      <c r="K121" s="827">
        <v>0</v>
      </c>
      <c r="L121" s="827">
        <v>5.9249018242335776</v>
      </c>
      <c r="M121" s="827">
        <v>0</v>
      </c>
      <c r="N121" s="827">
        <v>0</v>
      </c>
      <c r="O121" s="787">
        <f t="shared" si="31"/>
        <v>34.431074968467151</v>
      </c>
      <c r="P121" s="1228"/>
      <c r="Q121" s="738"/>
      <c r="R121" s="738"/>
      <c r="S121" s="738"/>
      <c r="T121" s="738"/>
    </row>
    <row r="122" spans="1:20" x14ac:dyDescent="0.25">
      <c r="A122" s="737"/>
      <c r="B122" s="774" t="s">
        <v>69</v>
      </c>
      <c r="C122" s="825">
        <f>+C123+C124</f>
        <v>0</v>
      </c>
      <c r="D122" s="825">
        <f t="shared" ref="D122:N122" si="39">+D123+D124</f>
        <v>0</v>
      </c>
      <c r="E122" s="825">
        <f t="shared" si="39"/>
        <v>2.613E-2</v>
      </c>
      <c r="F122" s="825">
        <f t="shared" si="39"/>
        <v>0</v>
      </c>
      <c r="G122" s="825">
        <f t="shared" si="39"/>
        <v>0</v>
      </c>
      <c r="H122" s="825">
        <f t="shared" si="39"/>
        <v>0</v>
      </c>
      <c r="I122" s="825">
        <f t="shared" si="39"/>
        <v>0</v>
      </c>
      <c r="J122" s="825">
        <f t="shared" si="39"/>
        <v>0</v>
      </c>
      <c r="K122" s="825">
        <f t="shared" si="39"/>
        <v>2.613E-2</v>
      </c>
      <c r="L122" s="825">
        <f t="shared" si="39"/>
        <v>0</v>
      </c>
      <c r="M122" s="825">
        <f t="shared" si="39"/>
        <v>0</v>
      </c>
      <c r="N122" s="825">
        <f t="shared" si="39"/>
        <v>0</v>
      </c>
      <c r="O122" s="825">
        <f t="shared" si="31"/>
        <v>5.2260000000000001E-2</v>
      </c>
      <c r="P122" s="1228"/>
      <c r="Q122" s="738"/>
      <c r="R122" s="738"/>
      <c r="S122" s="738"/>
      <c r="T122" s="738"/>
    </row>
    <row r="123" spans="1:20" x14ac:dyDescent="0.25">
      <c r="A123" s="737"/>
      <c r="B123" s="1216" t="s">
        <v>851</v>
      </c>
      <c r="C123" s="828">
        <v>0</v>
      </c>
      <c r="D123" s="827">
        <v>0</v>
      </c>
      <c r="E123" s="827">
        <v>0</v>
      </c>
      <c r="F123" s="827">
        <v>0</v>
      </c>
      <c r="G123" s="827">
        <v>0</v>
      </c>
      <c r="H123" s="827">
        <v>0</v>
      </c>
      <c r="I123" s="827">
        <v>0</v>
      </c>
      <c r="J123" s="827">
        <v>0</v>
      </c>
      <c r="K123" s="827">
        <v>0</v>
      </c>
      <c r="L123" s="827">
        <v>0</v>
      </c>
      <c r="M123" s="827">
        <v>0</v>
      </c>
      <c r="N123" s="827">
        <v>0</v>
      </c>
      <c r="O123" s="787">
        <f t="shared" si="31"/>
        <v>0</v>
      </c>
      <c r="P123" s="1228"/>
      <c r="Q123" s="738"/>
      <c r="R123" s="738"/>
      <c r="S123" s="738"/>
      <c r="T123" s="738"/>
    </row>
    <row r="124" spans="1:20" x14ac:dyDescent="0.25">
      <c r="A124" s="737"/>
      <c r="B124" s="829" t="s">
        <v>762</v>
      </c>
      <c r="C124" s="787">
        <v>0</v>
      </c>
      <c r="D124" s="827">
        <v>0</v>
      </c>
      <c r="E124" s="827">
        <v>2.613E-2</v>
      </c>
      <c r="F124" s="827">
        <v>0</v>
      </c>
      <c r="G124" s="827">
        <v>0</v>
      </c>
      <c r="H124" s="827">
        <v>0</v>
      </c>
      <c r="I124" s="827">
        <v>0</v>
      </c>
      <c r="J124" s="827">
        <v>0</v>
      </c>
      <c r="K124" s="827">
        <v>2.613E-2</v>
      </c>
      <c r="L124" s="827">
        <v>0</v>
      </c>
      <c r="M124" s="827">
        <v>0</v>
      </c>
      <c r="N124" s="827">
        <v>0</v>
      </c>
      <c r="O124" s="1217">
        <f t="shared" si="31"/>
        <v>5.2260000000000001E-2</v>
      </c>
      <c r="P124" s="1228"/>
      <c r="Q124" s="738"/>
      <c r="R124" s="738"/>
      <c r="S124" s="738"/>
      <c r="T124" s="738"/>
    </row>
    <row r="125" spans="1:20" x14ac:dyDescent="0.25">
      <c r="B125" s="794"/>
      <c r="C125" s="795"/>
      <c r="D125" s="795"/>
      <c r="E125" s="795"/>
      <c r="F125" s="795"/>
      <c r="G125" s="795"/>
      <c r="H125" s="795"/>
      <c r="I125" s="795"/>
      <c r="J125" s="795"/>
      <c r="K125" s="795"/>
      <c r="L125" s="795"/>
      <c r="M125" s="795"/>
      <c r="N125" s="795"/>
      <c r="O125" s="795"/>
      <c r="Q125" s="738"/>
      <c r="R125" s="738"/>
      <c r="S125" s="738"/>
      <c r="T125" s="738"/>
    </row>
    <row r="126" spans="1:20" x14ac:dyDescent="0.25">
      <c r="B126" s="796" t="s">
        <v>104</v>
      </c>
      <c r="C126" s="797">
        <f t="shared" ref="C126:N126" si="40">+C127+C128</f>
        <v>143.53428046235015</v>
      </c>
      <c r="D126" s="797">
        <f t="shared" si="40"/>
        <v>111.04888943310692</v>
      </c>
      <c r="E126" s="797">
        <f t="shared" si="40"/>
        <v>203.91979453033014</v>
      </c>
      <c r="F126" s="797">
        <f t="shared" si="40"/>
        <v>260.78276717968868</v>
      </c>
      <c r="G126" s="797">
        <f t="shared" si="40"/>
        <v>527.60302753721987</v>
      </c>
      <c r="H126" s="797">
        <f t="shared" si="40"/>
        <v>251.36302408771977</v>
      </c>
      <c r="I126" s="797">
        <f t="shared" si="40"/>
        <v>33.637590047734165</v>
      </c>
      <c r="J126" s="797">
        <f t="shared" si="40"/>
        <v>110.27919134063123</v>
      </c>
      <c r="K126" s="797">
        <f t="shared" si="40"/>
        <v>174.77686645804178</v>
      </c>
      <c r="L126" s="797">
        <f t="shared" si="40"/>
        <v>169.78616263721548</v>
      </c>
      <c r="M126" s="797">
        <f t="shared" si="40"/>
        <v>133.62673154551368</v>
      </c>
      <c r="N126" s="797">
        <f t="shared" si="40"/>
        <v>251.02104017212173</v>
      </c>
      <c r="O126" s="797">
        <f t="shared" ref="O126:O129" si="41">+SUM(C126:N126)</f>
        <v>2371.3793654316742</v>
      </c>
    </row>
    <row r="127" spans="1:20" x14ac:dyDescent="0.25">
      <c r="B127" s="784" t="s">
        <v>105</v>
      </c>
      <c r="C127" s="783">
        <v>16.703339888335559</v>
      </c>
      <c r="D127" s="783">
        <v>40.081304558265053</v>
      </c>
      <c r="E127" s="783">
        <v>195.96288842054912</v>
      </c>
      <c r="F127" s="783">
        <v>27.307268008204478</v>
      </c>
      <c r="G127" s="783">
        <v>62.099933114908481</v>
      </c>
      <c r="H127" s="783">
        <v>243.40020185871734</v>
      </c>
      <c r="I127" s="783">
        <v>15.065540330751197</v>
      </c>
      <c r="J127" s="783">
        <v>40.031085039025392</v>
      </c>
      <c r="K127" s="783">
        <v>166.89905194660625</v>
      </c>
      <c r="L127" s="783">
        <v>27.179750379648585</v>
      </c>
      <c r="M127" s="783">
        <v>62.127046706365242</v>
      </c>
      <c r="N127" s="783">
        <v>243.27268423392221</v>
      </c>
      <c r="O127" s="783">
        <f t="shared" si="41"/>
        <v>1140.130094485299</v>
      </c>
    </row>
    <row r="128" spans="1:20" x14ac:dyDescent="0.25">
      <c r="B128" s="784" t="s">
        <v>499</v>
      </c>
      <c r="C128" s="783">
        <v>126.83094057401459</v>
      </c>
      <c r="D128" s="783">
        <v>70.967584874841862</v>
      </c>
      <c r="E128" s="783">
        <v>7.9569061097810216</v>
      </c>
      <c r="F128" s="783">
        <v>233.47549917148419</v>
      </c>
      <c r="G128" s="783">
        <v>465.50309442231139</v>
      </c>
      <c r="H128" s="783">
        <v>7.9628222290024331</v>
      </c>
      <c r="I128" s="783">
        <v>18.572049716982967</v>
      </c>
      <c r="J128" s="783">
        <v>70.248106301605844</v>
      </c>
      <c r="K128" s="783">
        <v>7.8778145114355231</v>
      </c>
      <c r="L128" s="783">
        <v>142.60641225756689</v>
      </c>
      <c r="M128" s="783">
        <v>71.499684839148429</v>
      </c>
      <c r="N128" s="783">
        <v>7.7483559381995128</v>
      </c>
      <c r="O128" s="783">
        <f t="shared" si="41"/>
        <v>1231.2492709463745</v>
      </c>
    </row>
    <row r="129" spans="2:16" x14ac:dyDescent="0.25">
      <c r="B129" s="796" t="s">
        <v>106</v>
      </c>
      <c r="C129" s="797">
        <v>749.80907415950003</v>
      </c>
      <c r="D129" s="797">
        <v>389.81515680286742</v>
      </c>
      <c r="E129" s="797">
        <v>98.091861783397178</v>
      </c>
      <c r="F129" s="797">
        <v>52.811991513149025</v>
      </c>
      <c r="G129" s="797">
        <v>711.94227911240944</v>
      </c>
      <c r="H129" s="797">
        <v>57.41086754563613</v>
      </c>
      <c r="I129" s="797">
        <v>748.11911263015782</v>
      </c>
      <c r="J129" s="797">
        <v>320.11464645099801</v>
      </c>
      <c r="K129" s="797">
        <v>99.7334129301601</v>
      </c>
      <c r="L129" s="797">
        <v>43.681249331538481</v>
      </c>
      <c r="M129" s="797">
        <v>303.19878814653299</v>
      </c>
      <c r="N129" s="797">
        <v>54.32978744887437</v>
      </c>
      <c r="O129" s="797">
        <f t="shared" si="41"/>
        <v>3629.0582278552206</v>
      </c>
      <c r="P129" s="978"/>
    </row>
    <row r="131" spans="2:16" x14ac:dyDescent="0.25">
      <c r="B131" s="742" t="s">
        <v>336</v>
      </c>
      <c r="C131" s="738"/>
      <c r="D131" s="738"/>
      <c r="E131" s="738"/>
      <c r="F131" s="738"/>
      <c r="G131" s="738"/>
      <c r="H131" s="738"/>
      <c r="I131" s="738"/>
      <c r="J131" s="738"/>
      <c r="K131" s="738"/>
      <c r="L131" s="738"/>
      <c r="M131" s="738"/>
      <c r="N131" s="738"/>
      <c r="O131" s="738"/>
    </row>
    <row r="132" spans="2:16" x14ac:dyDescent="0.25">
      <c r="C132" s="738"/>
      <c r="D132" s="738"/>
      <c r="E132" s="738"/>
      <c r="F132" s="738"/>
      <c r="G132" s="738"/>
      <c r="H132" s="738"/>
      <c r="I132" s="738"/>
      <c r="J132" s="738"/>
      <c r="K132" s="738"/>
      <c r="L132" s="738"/>
      <c r="M132" s="738"/>
      <c r="N132" s="738"/>
      <c r="O132" s="738"/>
    </row>
    <row r="133" spans="2:16" x14ac:dyDescent="0.25">
      <c r="C133" s="738"/>
      <c r="D133" s="738"/>
      <c r="E133" s="738"/>
      <c r="F133" s="738"/>
      <c r="G133" s="738"/>
      <c r="H133" s="738"/>
      <c r="I133" s="738"/>
      <c r="J133" s="738"/>
      <c r="K133" s="738"/>
      <c r="L133" s="738"/>
      <c r="M133" s="738"/>
      <c r="N133" s="738"/>
      <c r="O133" s="738"/>
    </row>
    <row r="134" spans="2:16" x14ac:dyDescent="0.25">
      <c r="C134" s="738"/>
      <c r="D134" s="738"/>
      <c r="E134" s="738"/>
      <c r="F134" s="738"/>
      <c r="G134" s="738"/>
      <c r="H134" s="738"/>
      <c r="I134" s="738"/>
      <c r="J134" s="738"/>
      <c r="K134" s="738"/>
      <c r="L134" s="738"/>
      <c r="M134" s="738"/>
      <c r="N134" s="738"/>
      <c r="O134" s="738"/>
    </row>
    <row r="135" spans="2:16" x14ac:dyDescent="0.25">
      <c r="C135" s="738"/>
      <c r="D135" s="738"/>
      <c r="E135" s="738"/>
      <c r="F135" s="738"/>
      <c r="G135" s="738"/>
      <c r="H135" s="738"/>
      <c r="I135" s="738"/>
      <c r="J135" s="738"/>
      <c r="K135" s="738"/>
      <c r="L135" s="738"/>
      <c r="M135" s="738"/>
      <c r="N135" s="738"/>
      <c r="O135" s="738"/>
    </row>
    <row r="136" spans="2:16" x14ac:dyDescent="0.25">
      <c r="C136" s="738"/>
      <c r="D136" s="738"/>
      <c r="E136" s="738"/>
      <c r="F136" s="738"/>
      <c r="G136" s="738"/>
      <c r="H136" s="738"/>
      <c r="I136" s="738"/>
      <c r="J136" s="738"/>
      <c r="K136" s="738"/>
      <c r="L136" s="738"/>
      <c r="M136" s="738"/>
      <c r="N136" s="738"/>
      <c r="O136" s="738"/>
    </row>
    <row r="141" spans="2:16" x14ac:dyDescent="0.25">
      <c r="C141" s="738"/>
      <c r="D141" s="738"/>
      <c r="E141" s="738"/>
      <c r="F141" s="738"/>
      <c r="G141" s="738"/>
      <c r="H141" s="738"/>
      <c r="I141" s="738"/>
      <c r="J141" s="738"/>
      <c r="K141" s="738"/>
      <c r="L141" s="738"/>
      <c r="M141" s="738"/>
      <c r="N141" s="738"/>
      <c r="O141" s="738"/>
    </row>
    <row r="142" spans="2:16" x14ac:dyDescent="0.25">
      <c r="C142" s="738"/>
      <c r="D142" s="738"/>
      <c r="E142" s="738"/>
      <c r="F142" s="738"/>
      <c r="G142" s="738"/>
      <c r="H142" s="738"/>
      <c r="I142" s="738"/>
      <c r="J142" s="738"/>
      <c r="K142" s="738"/>
      <c r="L142" s="738"/>
      <c r="M142" s="738"/>
      <c r="N142" s="738"/>
      <c r="O142" s="738"/>
    </row>
    <row r="143" spans="2:16" x14ac:dyDescent="0.25">
      <c r="C143" s="738"/>
      <c r="D143" s="738"/>
      <c r="E143" s="738"/>
      <c r="F143" s="738"/>
      <c r="G143" s="738"/>
      <c r="H143" s="738"/>
      <c r="I143" s="738"/>
      <c r="J143" s="738"/>
      <c r="K143" s="738"/>
      <c r="L143" s="738"/>
      <c r="M143" s="738"/>
      <c r="N143" s="738"/>
      <c r="O143" s="738"/>
    </row>
    <row r="144" spans="2:16" x14ac:dyDescent="0.25">
      <c r="C144" s="738"/>
      <c r="D144" s="738"/>
      <c r="E144" s="738"/>
      <c r="F144" s="738"/>
      <c r="G144" s="738"/>
      <c r="H144" s="738"/>
      <c r="I144" s="738"/>
      <c r="J144" s="738"/>
      <c r="K144" s="738"/>
      <c r="L144" s="738"/>
      <c r="M144" s="738"/>
      <c r="N144" s="738"/>
      <c r="O144" s="738"/>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B116"/>
  <sheetViews>
    <sheetView showGridLines="0" zoomScale="85" zoomScaleNormal="85" zoomScaleSheetLayoutView="80" workbookViewId="0"/>
  </sheetViews>
  <sheetFormatPr baseColWidth="10" defaultColWidth="11.44140625" defaultRowHeight="14.4" x14ac:dyDescent="0.3"/>
  <cols>
    <col min="1" max="1" width="10.44140625" style="288" bestFit="1" customWidth="1"/>
    <col min="2" max="2" width="38.5546875" style="833" customWidth="1"/>
    <col min="3" max="15" width="16.44140625" style="843" customWidth="1"/>
    <col min="16" max="16" width="16.44140625" style="833" bestFit="1" customWidth="1"/>
    <col min="17" max="24" width="11.44140625" style="833" customWidth="1"/>
    <col min="25" max="16384" width="11.44140625" style="833"/>
  </cols>
  <sheetData>
    <row r="1" spans="1:28" ht="15" x14ac:dyDescent="0.3">
      <c r="A1" s="1" t="s">
        <v>216</v>
      </c>
      <c r="B1" s="831"/>
      <c r="C1" s="832"/>
      <c r="D1" s="832"/>
      <c r="E1" s="832"/>
      <c r="F1" s="832"/>
      <c r="G1" s="832"/>
      <c r="H1" s="832"/>
      <c r="I1" s="832"/>
      <c r="J1" s="832"/>
      <c r="K1" s="832"/>
      <c r="L1" s="832"/>
      <c r="M1" s="832"/>
      <c r="N1" s="832"/>
      <c r="O1" s="832"/>
    </row>
    <row r="2" spans="1:28" ht="15" x14ac:dyDescent="0.3">
      <c r="A2" s="133"/>
      <c r="B2" s="4" t="s">
        <v>693</v>
      </c>
      <c r="C2" s="835"/>
      <c r="D2" s="1233"/>
      <c r="E2" s="1233"/>
      <c r="F2" s="1233"/>
      <c r="G2" s="1233"/>
      <c r="H2" s="1233"/>
      <c r="I2" s="1233"/>
      <c r="J2" s="1233"/>
      <c r="K2" s="1233"/>
      <c r="L2" s="1233"/>
      <c r="M2" s="1233"/>
      <c r="N2" s="1233"/>
      <c r="O2" s="1233"/>
    </row>
    <row r="3" spans="1:28" ht="15" x14ac:dyDescent="0.3">
      <c r="A3" s="133"/>
      <c r="B3" s="4" t="s">
        <v>299</v>
      </c>
      <c r="C3" s="835"/>
      <c r="D3" s="1233"/>
      <c r="E3" s="1233"/>
      <c r="F3" s="1233"/>
      <c r="G3" s="1233"/>
      <c r="H3" s="1233"/>
      <c r="I3" s="1233"/>
      <c r="J3" s="1233"/>
      <c r="K3" s="1233"/>
      <c r="L3" s="1233"/>
      <c r="M3" s="1233"/>
      <c r="N3" s="1233"/>
      <c r="O3" s="1233"/>
    </row>
    <row r="4" spans="1:28" s="836" customFormat="1" ht="15" x14ac:dyDescent="0.3">
      <c r="A4" s="9"/>
      <c r="B4" s="834"/>
      <c r="C4" s="835"/>
      <c r="D4" s="835"/>
      <c r="E4" s="835"/>
      <c r="F4" s="835"/>
      <c r="G4" s="835"/>
      <c r="H4" s="835"/>
      <c r="I4" s="835"/>
      <c r="J4" s="835"/>
      <c r="K4" s="835"/>
      <c r="L4" s="835"/>
      <c r="M4" s="835"/>
      <c r="N4" s="835"/>
      <c r="O4" s="835"/>
      <c r="P4" s="833"/>
      <c r="Q4" s="833"/>
      <c r="R4" s="833"/>
      <c r="S4" s="833"/>
      <c r="T4" s="833"/>
      <c r="U4" s="833"/>
      <c r="V4" s="833"/>
      <c r="W4" s="833"/>
      <c r="X4" s="833"/>
      <c r="Y4" s="833"/>
    </row>
    <row r="5" spans="1:28" s="836" customFormat="1" ht="15" thickBot="1" x14ac:dyDescent="0.35">
      <c r="A5" s="9"/>
      <c r="B5" s="834"/>
      <c r="C5" s="834"/>
      <c r="D5" s="834"/>
      <c r="E5" s="834"/>
      <c r="F5" s="834"/>
      <c r="G5" s="834"/>
      <c r="H5" s="834"/>
      <c r="I5" s="834"/>
      <c r="J5" s="834"/>
      <c r="K5" s="834"/>
      <c r="L5" s="834"/>
      <c r="M5" s="834"/>
      <c r="N5" s="834"/>
      <c r="O5" s="834"/>
      <c r="P5" s="833"/>
      <c r="Q5" s="833"/>
      <c r="R5" s="833"/>
      <c r="S5" s="833"/>
      <c r="T5" s="833"/>
      <c r="U5" s="833"/>
      <c r="V5" s="833"/>
      <c r="W5" s="833"/>
      <c r="X5" s="833"/>
      <c r="Y5" s="833"/>
    </row>
    <row r="6" spans="1:28" s="836" customFormat="1" ht="18.600000000000001" thickBot="1" x14ac:dyDescent="0.35">
      <c r="A6" s="9"/>
      <c r="B6" s="1432" t="s">
        <v>651</v>
      </c>
      <c r="C6" s="1433"/>
      <c r="D6" s="1433"/>
      <c r="E6" s="1433"/>
      <c r="F6" s="1433"/>
      <c r="G6" s="1433"/>
      <c r="H6" s="1433"/>
      <c r="I6" s="1433"/>
      <c r="J6" s="1433"/>
      <c r="K6" s="1433"/>
      <c r="L6" s="1433"/>
      <c r="M6" s="1433"/>
      <c r="N6" s="1433"/>
      <c r="O6" s="1434"/>
      <c r="P6" s="833"/>
      <c r="Q6" s="833"/>
      <c r="R6" s="833"/>
      <c r="S6" s="833"/>
      <c r="T6" s="833"/>
      <c r="U6" s="833"/>
      <c r="V6" s="833"/>
      <c r="W6" s="833"/>
      <c r="X6" s="833"/>
      <c r="Y6" s="833"/>
    </row>
    <row r="7" spans="1:28" s="836" customFormat="1" x14ac:dyDescent="0.3">
      <c r="A7" s="9"/>
      <c r="B7" s="9"/>
      <c r="C7" s="9"/>
      <c r="D7" s="9"/>
      <c r="E7" s="9"/>
      <c r="F7" s="9"/>
      <c r="G7" s="9"/>
      <c r="H7" s="9"/>
      <c r="I7" s="9"/>
      <c r="J7" s="9"/>
      <c r="K7" s="9"/>
      <c r="L7" s="9"/>
      <c r="M7" s="9"/>
      <c r="N7" s="9"/>
      <c r="O7" s="9"/>
      <c r="P7" s="833"/>
      <c r="Q7" s="833"/>
      <c r="R7" s="833"/>
      <c r="S7" s="833"/>
      <c r="T7" s="833"/>
      <c r="U7" s="833"/>
      <c r="V7" s="833"/>
      <c r="W7" s="833"/>
      <c r="X7" s="833"/>
      <c r="Y7" s="833"/>
    </row>
    <row r="8" spans="1:28" s="836" customFormat="1" ht="15" thickBot="1" x14ac:dyDescent="0.35">
      <c r="A8" s="9"/>
      <c r="B8" s="290" t="s">
        <v>908</v>
      </c>
      <c r="C8" s="9"/>
      <c r="D8" s="9"/>
      <c r="E8" s="9"/>
      <c r="F8" s="9"/>
      <c r="G8" s="9"/>
      <c r="H8" s="9"/>
      <c r="I8" s="9"/>
      <c r="J8" s="9"/>
      <c r="K8" s="9"/>
      <c r="L8" s="9"/>
      <c r="M8" s="9"/>
      <c r="N8" s="9"/>
      <c r="O8" s="837"/>
      <c r="P8" s="833"/>
      <c r="Q8" s="833"/>
      <c r="R8" s="833"/>
      <c r="S8" s="833"/>
      <c r="T8" s="833"/>
      <c r="U8" s="833"/>
      <c r="V8" s="833"/>
      <c r="W8" s="833"/>
      <c r="X8" s="833"/>
      <c r="Y8" s="833"/>
    </row>
    <row r="9" spans="1:28" s="836" customFormat="1" ht="15.6" thickTop="1" thickBot="1" x14ac:dyDescent="0.35">
      <c r="A9" s="9"/>
      <c r="B9" s="838"/>
      <c r="C9" s="743">
        <v>44927</v>
      </c>
      <c r="D9" s="743">
        <v>44958</v>
      </c>
      <c r="E9" s="743">
        <v>44986</v>
      </c>
      <c r="F9" s="743">
        <v>45017</v>
      </c>
      <c r="G9" s="743">
        <v>45047</v>
      </c>
      <c r="H9" s="743">
        <v>45078</v>
      </c>
      <c r="I9" s="743">
        <v>45108</v>
      </c>
      <c r="J9" s="743">
        <v>45139</v>
      </c>
      <c r="K9" s="743">
        <v>45170</v>
      </c>
      <c r="L9" s="743">
        <v>45200</v>
      </c>
      <c r="M9" s="743">
        <v>45231</v>
      </c>
      <c r="N9" s="743">
        <v>45261</v>
      </c>
      <c r="O9" s="744">
        <v>2023</v>
      </c>
      <c r="P9" s="833"/>
      <c r="Q9" s="833"/>
      <c r="R9" s="833"/>
      <c r="S9" s="833"/>
      <c r="T9" s="833"/>
      <c r="U9" s="833"/>
      <c r="V9" s="833"/>
      <c r="W9" s="833"/>
      <c r="X9" s="833"/>
      <c r="Y9" s="833"/>
    </row>
    <row r="10" spans="1:28" s="836" customFormat="1" ht="15.6" thickTop="1" thickBot="1" x14ac:dyDescent="0.35">
      <c r="A10" s="9"/>
      <c r="B10" s="9"/>
      <c r="C10" s="9"/>
      <c r="D10" s="9"/>
      <c r="E10" s="9"/>
      <c r="F10" s="630"/>
      <c r="G10" s="630"/>
      <c r="H10" s="630"/>
      <c r="I10" s="630"/>
      <c r="J10" s="630"/>
      <c r="K10" s="630"/>
      <c r="L10" s="630"/>
      <c r="M10" s="630"/>
      <c r="N10" s="630"/>
      <c r="O10" s="630"/>
      <c r="P10" s="833"/>
      <c r="Q10" s="833"/>
      <c r="R10" s="833"/>
      <c r="S10" s="833"/>
      <c r="T10" s="833"/>
      <c r="U10" s="833"/>
      <c r="V10" s="833"/>
      <c r="W10" s="833"/>
      <c r="X10" s="833"/>
      <c r="Y10" s="833"/>
      <c r="Z10" s="833"/>
      <c r="AA10" s="833"/>
      <c r="AB10" s="833"/>
    </row>
    <row r="11" spans="1:28" s="836" customFormat="1" ht="15" thickBot="1" x14ac:dyDescent="0.35">
      <c r="A11" s="9"/>
      <c r="B11" s="1429" t="s">
        <v>621</v>
      </c>
      <c r="C11" s="1430"/>
      <c r="D11" s="1430"/>
      <c r="E11" s="1430"/>
      <c r="F11" s="1430"/>
      <c r="G11" s="1430"/>
      <c r="H11" s="1430"/>
      <c r="I11" s="1430"/>
      <c r="J11" s="1430"/>
      <c r="K11" s="1430"/>
      <c r="L11" s="1430"/>
      <c r="M11" s="1430"/>
      <c r="N11" s="1430"/>
      <c r="O11" s="1431"/>
      <c r="P11" s="833"/>
      <c r="Q11" s="833"/>
      <c r="R11" s="833"/>
      <c r="S11" s="833"/>
      <c r="T11" s="833"/>
      <c r="U11" s="833"/>
      <c r="V11" s="833"/>
      <c r="W11" s="833"/>
      <c r="X11" s="833"/>
      <c r="Y11" s="833"/>
      <c r="Z11" s="833"/>
      <c r="AA11" s="833"/>
      <c r="AB11" s="833"/>
    </row>
    <row r="12" spans="1:28" s="747" customFormat="1" ht="15" thickBot="1" x14ac:dyDescent="0.35">
      <c r="A12" s="839"/>
      <c r="B12" s="840"/>
      <c r="C12" s="630"/>
      <c r="D12" s="630"/>
      <c r="E12" s="630"/>
      <c r="F12" s="630"/>
      <c r="G12" s="630"/>
      <c r="H12" s="630"/>
      <c r="I12" s="630"/>
      <c r="J12" s="630"/>
      <c r="K12" s="630"/>
      <c r="L12" s="630"/>
      <c r="M12" s="630"/>
      <c r="N12" s="630"/>
      <c r="O12" s="630"/>
      <c r="P12" s="833"/>
      <c r="Q12" s="833"/>
      <c r="R12" s="833"/>
      <c r="S12" s="833"/>
      <c r="T12" s="833"/>
      <c r="U12" s="833"/>
      <c r="V12" s="833"/>
      <c r="W12" s="833"/>
      <c r="X12" s="833"/>
      <c r="Y12" s="833"/>
    </row>
    <row r="13" spans="1:28" ht="15.6" thickBot="1" x14ac:dyDescent="0.35">
      <c r="B13" s="748" t="s">
        <v>59</v>
      </c>
      <c r="C13" s="749">
        <f t="shared" ref="C13:O13" si="0">+C14+C15</f>
        <v>10294.138617954908</v>
      </c>
      <c r="D13" s="749">
        <f t="shared" si="0"/>
        <v>1574.1173331413322</v>
      </c>
      <c r="E13" s="749">
        <f t="shared" si="0"/>
        <v>10994.466891098216</v>
      </c>
      <c r="F13" s="749">
        <f t="shared" si="0"/>
        <v>5237.6507419430291</v>
      </c>
      <c r="G13" s="749">
        <f t="shared" si="0"/>
        <v>194.06869043756583</v>
      </c>
      <c r="H13" s="749">
        <f t="shared" si="0"/>
        <v>5786.8637578142079</v>
      </c>
      <c r="I13" s="749">
        <f t="shared" si="0"/>
        <v>3158.218537338124</v>
      </c>
      <c r="J13" s="749">
        <f t="shared" si="0"/>
        <v>7525.0598066875045</v>
      </c>
      <c r="K13" s="749">
        <f t="shared" si="0"/>
        <v>1230.2039042399474</v>
      </c>
      <c r="L13" s="749">
        <f t="shared" si="0"/>
        <v>3631.090346437325</v>
      </c>
      <c r="M13" s="749">
        <f t="shared" si="0"/>
        <v>205.23059165006183</v>
      </c>
      <c r="N13" s="749">
        <f t="shared" si="0"/>
        <v>1458.0458558969472</v>
      </c>
      <c r="O13" s="749">
        <f t="shared" si="0"/>
        <v>51289.155074639166</v>
      </c>
      <c r="P13" s="841"/>
      <c r="Q13" s="841"/>
      <c r="R13" s="841"/>
      <c r="S13" s="841"/>
      <c r="T13" s="841"/>
      <c r="U13" s="841"/>
      <c r="V13" s="841"/>
      <c r="W13" s="841"/>
      <c r="X13" s="841"/>
    </row>
    <row r="14" spans="1:28" x14ac:dyDescent="0.3">
      <c r="A14" s="9"/>
      <c r="B14" s="751" t="s">
        <v>60</v>
      </c>
      <c r="C14" s="842">
        <v>0</v>
      </c>
      <c r="D14" s="842">
        <v>0</v>
      </c>
      <c r="E14" s="803">
        <v>0</v>
      </c>
      <c r="F14" s="803">
        <v>0</v>
      </c>
      <c r="G14" s="803">
        <v>0</v>
      </c>
      <c r="H14" s="842">
        <v>0</v>
      </c>
      <c r="I14" s="842">
        <v>0</v>
      </c>
      <c r="J14" s="842">
        <v>0</v>
      </c>
      <c r="K14" s="842">
        <v>0</v>
      </c>
      <c r="L14" s="842">
        <v>0</v>
      </c>
      <c r="M14" s="842">
        <v>0</v>
      </c>
      <c r="N14" s="842">
        <v>0</v>
      </c>
      <c r="O14" s="842">
        <f>SUM(C14:N14)</f>
        <v>0</v>
      </c>
      <c r="P14" s="841"/>
      <c r="Q14" s="841"/>
      <c r="R14" s="841"/>
      <c r="S14" s="841"/>
      <c r="T14" s="841"/>
      <c r="U14" s="841"/>
      <c r="V14" s="841"/>
      <c r="W14" s="841"/>
      <c r="X14" s="841"/>
    </row>
    <row r="15" spans="1:28" x14ac:dyDescent="0.3">
      <c r="A15" s="9"/>
      <c r="B15" s="751" t="s">
        <v>61</v>
      </c>
      <c r="C15" s="842">
        <v>10294.138617954908</v>
      </c>
      <c r="D15" s="842">
        <v>1574.1173331413322</v>
      </c>
      <c r="E15" s="803">
        <v>10994.466891098216</v>
      </c>
      <c r="F15" s="803">
        <v>5237.6507419430291</v>
      </c>
      <c r="G15" s="803">
        <v>194.06869043756583</v>
      </c>
      <c r="H15" s="842">
        <v>5786.8637578142079</v>
      </c>
      <c r="I15" s="842">
        <v>3158.218537338124</v>
      </c>
      <c r="J15" s="842">
        <v>7525.0598066875045</v>
      </c>
      <c r="K15" s="842">
        <v>1230.2039042399474</v>
      </c>
      <c r="L15" s="842">
        <v>3631.090346437325</v>
      </c>
      <c r="M15" s="842">
        <v>205.23059165006183</v>
      </c>
      <c r="N15" s="842">
        <v>1458.0458558969472</v>
      </c>
      <c r="O15" s="842">
        <f>SUM(C15:N15)</f>
        <v>51289.155074639166</v>
      </c>
      <c r="P15" s="841"/>
      <c r="Q15" s="841"/>
      <c r="R15" s="841"/>
      <c r="S15" s="841"/>
      <c r="T15" s="841"/>
      <c r="U15" s="841"/>
      <c r="V15" s="841"/>
      <c r="W15" s="841"/>
      <c r="X15" s="841"/>
    </row>
    <row r="16" spans="1:28" s="747" customFormat="1" ht="15" thickBot="1" x14ac:dyDescent="0.35">
      <c r="A16" s="9"/>
      <c r="B16" s="9"/>
      <c r="C16" s="753"/>
      <c r="D16" s="804"/>
      <c r="E16" s="804"/>
      <c r="F16" s="804"/>
      <c r="G16" s="804"/>
      <c r="H16" s="804"/>
      <c r="I16" s="804"/>
      <c r="J16" s="804"/>
      <c r="K16" s="804"/>
      <c r="L16" s="804"/>
      <c r="M16" s="804"/>
      <c r="N16" s="804"/>
      <c r="O16" s="804"/>
      <c r="P16" s="841"/>
      <c r="Q16" s="841"/>
      <c r="R16" s="841"/>
      <c r="S16" s="841"/>
      <c r="T16" s="841"/>
      <c r="U16" s="841"/>
      <c r="V16" s="841"/>
      <c r="W16" s="841"/>
      <c r="X16" s="841"/>
      <c r="Y16" s="833"/>
    </row>
    <row r="17" spans="1:28" s="843" customFormat="1" ht="15" thickBot="1" x14ac:dyDescent="0.35">
      <c r="A17" s="9"/>
      <c r="B17" s="754" t="s">
        <v>52</v>
      </c>
      <c r="C17" s="755">
        <f t="shared" ref="C17:N17" si="1">+C18+C23+C25+C26</f>
        <v>3039.2609645888338</v>
      </c>
      <c r="D17" s="755">
        <f t="shared" si="1"/>
        <v>150.22824354588965</v>
      </c>
      <c r="E17" s="755">
        <f t="shared" si="1"/>
        <v>3079.8843759227234</v>
      </c>
      <c r="F17" s="755">
        <f t="shared" si="1"/>
        <v>2893.7673551658836</v>
      </c>
      <c r="G17" s="755">
        <f t="shared" si="1"/>
        <v>177.49350095331539</v>
      </c>
      <c r="H17" s="755">
        <f t="shared" si="1"/>
        <v>2954.3065662178892</v>
      </c>
      <c r="I17" s="755">
        <f t="shared" si="1"/>
        <v>3020.7567795953328</v>
      </c>
      <c r="J17" s="755">
        <f t="shared" si="1"/>
        <v>140.73010242987692</v>
      </c>
      <c r="K17" s="755">
        <f t="shared" si="1"/>
        <v>1219.9720219099063</v>
      </c>
      <c r="L17" s="755">
        <f t="shared" si="1"/>
        <v>2886.3164579830013</v>
      </c>
      <c r="M17" s="755">
        <f t="shared" si="1"/>
        <v>193.74148840216176</v>
      </c>
      <c r="N17" s="755">
        <f t="shared" si="1"/>
        <v>1096.2150796967353</v>
      </c>
      <c r="O17" s="780">
        <f>+SUM(C17:N17)</f>
        <v>20852.672936411545</v>
      </c>
      <c r="P17" s="841"/>
      <c r="Q17" s="841"/>
      <c r="R17" s="841"/>
      <c r="S17" s="841"/>
      <c r="T17" s="841"/>
      <c r="U17" s="841"/>
      <c r="V17" s="841"/>
      <c r="W17" s="841"/>
      <c r="X17" s="841"/>
      <c r="Y17" s="841"/>
      <c r="Z17" s="841"/>
      <c r="AA17" s="841"/>
      <c r="AB17" s="841"/>
    </row>
    <row r="18" spans="1:28" s="843" customFormat="1" x14ac:dyDescent="0.3">
      <c r="A18" s="9"/>
      <c r="B18" s="806" t="s">
        <v>62</v>
      </c>
      <c r="C18" s="757">
        <f t="shared" ref="C18:O18" si="2">SUM(C19:C22)</f>
        <v>2849.5417560793671</v>
      </c>
      <c r="D18" s="757">
        <f t="shared" si="2"/>
        <v>129.55348779100001</v>
      </c>
      <c r="E18" s="757">
        <f t="shared" si="2"/>
        <v>3065.4533067158181</v>
      </c>
      <c r="F18" s="757">
        <f t="shared" si="2"/>
        <v>2875.6113597879562</v>
      </c>
      <c r="G18" s="757">
        <f t="shared" si="2"/>
        <v>144.56038175800001</v>
      </c>
      <c r="H18" s="757">
        <f t="shared" si="2"/>
        <v>2948.2277052540226</v>
      </c>
      <c r="I18" s="757">
        <f t="shared" si="2"/>
        <v>2850.4847278793668</v>
      </c>
      <c r="J18" s="757">
        <f t="shared" si="2"/>
        <v>129.447726531</v>
      </c>
      <c r="K18" s="757">
        <f t="shared" si="2"/>
        <v>1208.8623449990203</v>
      </c>
      <c r="L18" s="757">
        <f t="shared" si="2"/>
        <v>2875.5970400659562</v>
      </c>
      <c r="M18" s="757">
        <f t="shared" si="2"/>
        <v>160.292132568</v>
      </c>
      <c r="N18" s="757">
        <f t="shared" si="2"/>
        <v>1093.7365355232246</v>
      </c>
      <c r="O18" s="757">
        <f t="shared" si="2"/>
        <v>20331.36850495273</v>
      </c>
      <c r="P18" s="841"/>
      <c r="Q18" s="841"/>
      <c r="R18" s="841"/>
      <c r="S18" s="841"/>
      <c r="T18" s="841"/>
      <c r="U18" s="841"/>
      <c r="V18" s="841"/>
      <c r="W18" s="841"/>
      <c r="X18" s="841"/>
      <c r="Y18" s="841"/>
      <c r="Z18" s="841"/>
      <c r="AA18" s="841"/>
      <c r="AB18" s="841"/>
    </row>
    <row r="19" spans="1:28" s="843" customFormat="1" x14ac:dyDescent="0.3">
      <c r="A19" s="9"/>
      <c r="B19" s="774" t="s">
        <v>63</v>
      </c>
      <c r="C19" s="759">
        <v>0.15132000000000001</v>
      </c>
      <c r="D19" s="759">
        <v>3.2351617510000001</v>
      </c>
      <c r="E19" s="759">
        <v>57.255740586000016</v>
      </c>
      <c r="F19" s="759">
        <v>30.926526229999997</v>
      </c>
      <c r="G19" s="759">
        <v>13.548826029999997</v>
      </c>
      <c r="H19" s="759">
        <v>31.038925587000001</v>
      </c>
      <c r="I19" s="759">
        <v>0.15132000000000001</v>
      </c>
      <c r="J19" s="759">
        <v>3.2351617510000001</v>
      </c>
      <c r="K19" s="759">
        <v>57.255740586000016</v>
      </c>
      <c r="L19" s="759">
        <v>30.912206507999997</v>
      </c>
      <c r="M19" s="759">
        <v>24.776649599999999</v>
      </c>
      <c r="N19" s="759">
        <v>31.038925587000001</v>
      </c>
      <c r="O19" s="759">
        <f>SUM(C19:N19)</f>
        <v>283.52650421599998</v>
      </c>
      <c r="P19" s="841"/>
      <c r="Q19" s="841"/>
      <c r="R19" s="841"/>
      <c r="S19" s="841"/>
      <c r="T19" s="841"/>
      <c r="U19" s="841"/>
      <c r="V19" s="841"/>
      <c r="W19" s="841"/>
      <c r="X19" s="841"/>
      <c r="Y19" s="833"/>
    </row>
    <row r="20" spans="1:28" s="843" customFormat="1" x14ac:dyDescent="0.3">
      <c r="A20" s="9"/>
      <c r="B20" s="807" t="s">
        <v>64</v>
      </c>
      <c r="C20" s="769">
        <v>49.149379012000004</v>
      </c>
      <c r="D20" s="769">
        <v>38.164353930000004</v>
      </c>
      <c r="E20" s="769">
        <v>141.48219807000001</v>
      </c>
      <c r="F20" s="769">
        <v>61.333314189999996</v>
      </c>
      <c r="G20" s="769">
        <v>109.37848747</v>
      </c>
      <c r="H20" s="769">
        <v>26.737114550000005</v>
      </c>
      <c r="I20" s="769">
        <v>50.092350812000006</v>
      </c>
      <c r="J20" s="769">
        <v>38.164354020000005</v>
      </c>
      <c r="K20" s="769">
        <v>140.63119487999998</v>
      </c>
      <c r="L20" s="761">
        <v>61.333314189999996</v>
      </c>
      <c r="M20" s="769">
        <v>118.75348747</v>
      </c>
      <c r="N20" s="769">
        <v>29.088142160000004</v>
      </c>
      <c r="O20" s="761">
        <f>SUM(C20:N20)</f>
        <v>864.30769075399985</v>
      </c>
      <c r="P20" s="841"/>
      <c r="Q20" s="841"/>
      <c r="R20" s="841"/>
      <c r="S20" s="841"/>
      <c r="T20" s="841"/>
      <c r="U20" s="841"/>
      <c r="V20" s="841"/>
      <c r="W20" s="841"/>
      <c r="X20" s="841"/>
      <c r="Y20" s="833"/>
    </row>
    <row r="21" spans="1:28" s="843" customFormat="1" x14ac:dyDescent="0.3">
      <c r="A21" s="9"/>
      <c r="B21" s="807" t="s">
        <v>578</v>
      </c>
      <c r="C21" s="808">
        <v>2764.170748775367</v>
      </c>
      <c r="D21" s="808">
        <v>0</v>
      </c>
      <c r="E21" s="808">
        <v>2819.053533939818</v>
      </c>
      <c r="F21" s="808">
        <v>2764.170748775367</v>
      </c>
      <c r="G21" s="808">
        <v>0</v>
      </c>
      <c r="H21" s="808">
        <v>2819.053533939818</v>
      </c>
      <c r="I21" s="808">
        <v>2764.170748775367</v>
      </c>
      <c r="J21" s="808">
        <v>0</v>
      </c>
      <c r="K21" s="808">
        <v>962.21133659902023</v>
      </c>
      <c r="L21" s="762">
        <v>2764.170748775367</v>
      </c>
      <c r="M21" s="808">
        <v>0</v>
      </c>
      <c r="N21" s="808">
        <v>962.21133659902023</v>
      </c>
      <c r="O21" s="761">
        <f>SUM(C21:N21)</f>
        <v>18619.212736179143</v>
      </c>
      <c r="P21" s="841"/>
      <c r="Q21" s="841"/>
      <c r="R21" s="841"/>
      <c r="S21" s="841"/>
      <c r="T21" s="841"/>
      <c r="U21" s="841"/>
      <c r="V21" s="841"/>
      <c r="W21" s="841"/>
      <c r="X21" s="841"/>
      <c r="Y21" s="833"/>
    </row>
    <row r="22" spans="1:28" s="843" customFormat="1" x14ac:dyDescent="0.3">
      <c r="A22" s="9"/>
      <c r="B22" s="763" t="s">
        <v>65</v>
      </c>
      <c r="C22" s="808">
        <v>36.070308292</v>
      </c>
      <c r="D22" s="808">
        <v>88.153972110000012</v>
      </c>
      <c r="E22" s="808">
        <v>47.661834120000002</v>
      </c>
      <c r="F22" s="808">
        <v>19.180770592589219</v>
      </c>
      <c r="G22" s="808">
        <v>21.633068258000002</v>
      </c>
      <c r="H22" s="808">
        <v>71.398131177204476</v>
      </c>
      <c r="I22" s="808">
        <v>36.070308292</v>
      </c>
      <c r="J22" s="808">
        <v>88.048210760000003</v>
      </c>
      <c r="K22" s="808">
        <v>48.764072934000005</v>
      </c>
      <c r="L22" s="762">
        <v>19.180770592589219</v>
      </c>
      <c r="M22" s="808">
        <v>16.761995498000001</v>
      </c>
      <c r="N22" s="808">
        <v>71.398131177204476</v>
      </c>
      <c r="O22" s="762">
        <f>SUM(C22:N22)</f>
        <v>564.3215738035874</v>
      </c>
      <c r="P22" s="841"/>
      <c r="Q22" s="841"/>
      <c r="R22" s="841"/>
      <c r="S22" s="841"/>
      <c r="T22" s="841"/>
      <c r="U22" s="841"/>
      <c r="V22" s="841"/>
      <c r="W22" s="841"/>
      <c r="X22" s="841"/>
      <c r="Y22" s="833"/>
    </row>
    <row r="23" spans="1:28" s="843" customFormat="1" x14ac:dyDescent="0.3">
      <c r="A23" s="9"/>
      <c r="B23" s="784" t="s">
        <v>68</v>
      </c>
      <c r="C23" s="765">
        <f>+C24</f>
        <v>0.92683066713058704</v>
      </c>
      <c r="D23" s="765">
        <f t="shared" ref="D23:N23" si="3">+D24</f>
        <v>2.5737640655628078</v>
      </c>
      <c r="E23" s="765">
        <f t="shared" si="3"/>
        <v>1.4523278630753594E-2</v>
      </c>
      <c r="F23" s="765">
        <f t="shared" si="3"/>
        <v>5.1678606624114956</v>
      </c>
      <c r="G23" s="765">
        <f t="shared" si="3"/>
        <v>24.671987088050876</v>
      </c>
      <c r="H23" s="765">
        <f t="shared" si="3"/>
        <v>0.651440090785538</v>
      </c>
      <c r="I23" s="765">
        <f t="shared" si="3"/>
        <v>0.91524649007816949</v>
      </c>
      <c r="J23" s="765">
        <f t="shared" si="3"/>
        <v>2.5621120457544735</v>
      </c>
      <c r="K23" s="765">
        <f t="shared" si="3"/>
        <v>2.7850660665021056E-3</v>
      </c>
      <c r="L23" s="765">
        <f t="shared" si="3"/>
        <v>5.1679553843513819</v>
      </c>
      <c r="M23" s="765">
        <f t="shared" si="3"/>
        <v>24.672082361754956</v>
      </c>
      <c r="N23" s="765">
        <f t="shared" si="3"/>
        <v>0.65153590899375646</v>
      </c>
      <c r="O23" s="762">
        <f>SUM(C23:N23)</f>
        <v>67.978123109571285</v>
      </c>
      <c r="P23" s="841"/>
      <c r="Q23" s="841"/>
      <c r="R23" s="841"/>
      <c r="S23" s="841"/>
      <c r="T23" s="841"/>
      <c r="U23" s="841"/>
      <c r="V23" s="841"/>
      <c r="W23" s="841"/>
      <c r="X23" s="841"/>
      <c r="Y23" s="833"/>
    </row>
    <row r="24" spans="1:28" s="843" customFormat="1" x14ac:dyDescent="0.3">
      <c r="A24" s="9"/>
      <c r="B24" s="807" t="s">
        <v>69</v>
      </c>
      <c r="C24" s="769">
        <v>0.92683066713058704</v>
      </c>
      <c r="D24" s="769">
        <v>2.5737640655628078</v>
      </c>
      <c r="E24" s="769">
        <v>1.4523278630753594E-2</v>
      </c>
      <c r="F24" s="769">
        <v>5.1678606624114956</v>
      </c>
      <c r="G24" s="769">
        <v>24.671987088050876</v>
      </c>
      <c r="H24" s="769">
        <v>0.651440090785538</v>
      </c>
      <c r="I24" s="769">
        <v>0.91524649007816949</v>
      </c>
      <c r="J24" s="769">
        <v>2.5621120457544735</v>
      </c>
      <c r="K24" s="769">
        <v>2.7850660665021056E-3</v>
      </c>
      <c r="L24" s="769">
        <v>5.1679553843513819</v>
      </c>
      <c r="M24" s="769">
        <v>24.672082361754956</v>
      </c>
      <c r="N24" s="769">
        <v>0.65153590899375646</v>
      </c>
      <c r="O24" s="761">
        <f t="shared" ref="O24:O25" si="4">SUM(C24:N24)</f>
        <v>67.978123109571285</v>
      </c>
      <c r="P24" s="841"/>
      <c r="Q24" s="841"/>
      <c r="R24" s="841"/>
      <c r="S24" s="841"/>
      <c r="T24" s="841"/>
      <c r="U24" s="841"/>
      <c r="V24" s="841"/>
      <c r="W24" s="841"/>
      <c r="X24" s="841"/>
      <c r="Y24" s="833"/>
    </row>
    <row r="25" spans="1:28" s="9" customFormat="1" x14ac:dyDescent="0.3">
      <c r="B25" s="784" t="s">
        <v>70</v>
      </c>
      <c r="C25" s="765">
        <v>181.33624205999999</v>
      </c>
      <c r="D25" s="765">
        <v>0.18579546098132113</v>
      </c>
      <c r="E25" s="765">
        <v>0.33258921197285674</v>
      </c>
      <c r="F25" s="765">
        <v>4.5101276435694011</v>
      </c>
      <c r="G25" s="765">
        <v>7.3004243908898161</v>
      </c>
      <c r="H25" s="765">
        <v>0.82262133159713535</v>
      </c>
      <c r="I25" s="765">
        <v>161.80755029999997</v>
      </c>
      <c r="J25" s="765">
        <v>0.43579546098132116</v>
      </c>
      <c r="K25" s="765">
        <v>0.33258921197285674</v>
      </c>
      <c r="L25" s="765">
        <v>4.5101276435694011</v>
      </c>
      <c r="M25" s="765">
        <v>7.4998866611416055</v>
      </c>
      <c r="N25" s="765">
        <v>0.75563533159713536</v>
      </c>
      <c r="O25" s="773">
        <f t="shared" si="4"/>
        <v>369.82938470827276</v>
      </c>
      <c r="P25" s="841"/>
      <c r="Q25" s="841"/>
      <c r="R25" s="841"/>
      <c r="S25" s="841"/>
      <c r="T25" s="841"/>
      <c r="U25" s="841"/>
      <c r="V25" s="841"/>
      <c r="W25" s="841"/>
      <c r="X25" s="841"/>
      <c r="Y25" s="833"/>
    </row>
    <row r="26" spans="1:28" s="844" customFormat="1" x14ac:dyDescent="0.3">
      <c r="A26" s="9"/>
      <c r="B26" s="774" t="s">
        <v>677</v>
      </c>
      <c r="C26" s="766">
        <f t="shared" ref="C26:O26" si="5">+C27+C28</f>
        <v>7.4561357823357666</v>
      </c>
      <c r="D26" s="766">
        <f t="shared" si="5"/>
        <v>17.915196228345501</v>
      </c>
      <c r="E26" s="766">
        <f t="shared" si="5"/>
        <v>14.083956716301703</v>
      </c>
      <c r="F26" s="766">
        <f t="shared" si="5"/>
        <v>8.4780070719464717</v>
      </c>
      <c r="G26" s="766">
        <f t="shared" si="5"/>
        <v>0.96070771637469587</v>
      </c>
      <c r="H26" s="766">
        <f t="shared" si="5"/>
        <v>4.6047995414841854</v>
      </c>
      <c r="I26" s="766">
        <f t="shared" si="5"/>
        <v>7.5492549258880777</v>
      </c>
      <c r="J26" s="766">
        <f t="shared" si="5"/>
        <v>8.28446839214112</v>
      </c>
      <c r="K26" s="766">
        <f t="shared" si="5"/>
        <v>10.774302632846714</v>
      </c>
      <c r="L26" s="766">
        <f t="shared" si="5"/>
        <v>1.0413348891240877</v>
      </c>
      <c r="M26" s="766">
        <f t="shared" si="5"/>
        <v>1.2773868112652069</v>
      </c>
      <c r="N26" s="766">
        <f t="shared" si="5"/>
        <v>1.0713729329197079</v>
      </c>
      <c r="O26" s="759">
        <f t="shared" si="5"/>
        <v>83.496923640973208</v>
      </c>
      <c r="P26" s="841"/>
      <c r="Q26" s="841"/>
      <c r="R26" s="841"/>
      <c r="S26" s="841"/>
      <c r="T26" s="841"/>
      <c r="U26" s="841"/>
      <c r="V26" s="841"/>
      <c r="W26" s="841"/>
      <c r="X26" s="841"/>
      <c r="Y26" s="833"/>
    </row>
    <row r="27" spans="1:28" s="843" customFormat="1" x14ac:dyDescent="0.3">
      <c r="A27" s="9"/>
      <c r="B27" s="774" t="s">
        <v>71</v>
      </c>
      <c r="C27" s="766">
        <v>0.80364064233576649</v>
      </c>
      <c r="D27" s="766">
        <v>0.8190458783454988</v>
      </c>
      <c r="E27" s="766">
        <v>0.8345703163017032</v>
      </c>
      <c r="F27" s="766">
        <v>0.84959920194647209</v>
      </c>
      <c r="G27" s="766">
        <v>0.86504558637469586</v>
      </c>
      <c r="H27" s="766">
        <v>0.88078249148418497</v>
      </c>
      <c r="I27" s="766">
        <v>0.89675978588807781</v>
      </c>
      <c r="J27" s="766">
        <v>0.91291592214111916</v>
      </c>
      <c r="K27" s="766">
        <v>0.92923953284671534</v>
      </c>
      <c r="L27" s="766">
        <v>0.94567275912408766</v>
      </c>
      <c r="M27" s="766">
        <v>1.1817246812652069</v>
      </c>
      <c r="N27" s="766">
        <v>0.97571080291970802</v>
      </c>
      <c r="O27" s="759">
        <f>SUM(C27:N27)</f>
        <v>10.894707600973236</v>
      </c>
      <c r="P27" s="841"/>
      <c r="Q27" s="841"/>
      <c r="R27" s="841"/>
      <c r="S27" s="841"/>
      <c r="T27" s="841"/>
      <c r="U27" s="841"/>
      <c r="V27" s="841"/>
      <c r="W27" s="841"/>
      <c r="X27" s="841"/>
      <c r="Y27" s="833"/>
    </row>
    <row r="28" spans="1:28" s="843" customFormat="1" x14ac:dyDescent="0.3">
      <c r="A28" s="9"/>
      <c r="B28" s="775" t="s">
        <v>69</v>
      </c>
      <c r="C28" s="811">
        <v>6.6524951400000001</v>
      </c>
      <c r="D28" s="811">
        <v>17.096150350000002</v>
      </c>
      <c r="E28" s="811">
        <v>13.249386400000001</v>
      </c>
      <c r="F28" s="811">
        <v>7.6284078700000002</v>
      </c>
      <c r="G28" s="811">
        <v>9.5662129999999998E-2</v>
      </c>
      <c r="H28" s="811">
        <v>3.7240170500000001</v>
      </c>
      <c r="I28" s="811">
        <v>6.6524951400000001</v>
      </c>
      <c r="J28" s="811">
        <v>7.3715524700000001</v>
      </c>
      <c r="K28" s="811">
        <v>9.8450630999999991</v>
      </c>
      <c r="L28" s="811">
        <v>9.5662129999999998E-2</v>
      </c>
      <c r="M28" s="811">
        <v>9.5662129999999998E-2</v>
      </c>
      <c r="N28" s="811">
        <v>9.5662129999999998E-2</v>
      </c>
      <c r="O28" s="776">
        <f>SUM(C28:N28)</f>
        <v>72.602216039999973</v>
      </c>
      <c r="P28" s="841"/>
      <c r="Q28" s="841"/>
      <c r="R28" s="841"/>
      <c r="S28" s="841"/>
      <c r="T28" s="841"/>
      <c r="U28" s="841"/>
      <c r="V28" s="841"/>
      <c r="W28" s="841"/>
      <c r="X28" s="841"/>
      <c r="Y28" s="833"/>
    </row>
    <row r="29" spans="1:28" s="843" customFormat="1" ht="15" thickBot="1" x14ac:dyDescent="0.35">
      <c r="A29" s="9"/>
      <c r="B29" s="777"/>
      <c r="C29" s="777"/>
      <c r="D29" s="777"/>
      <c r="E29" s="777"/>
      <c r="F29" s="778"/>
      <c r="G29" s="778"/>
      <c r="H29" s="778"/>
      <c r="I29" s="778"/>
      <c r="J29" s="778"/>
      <c r="K29" s="778"/>
      <c r="L29" s="778"/>
      <c r="M29" s="778"/>
      <c r="N29" s="778"/>
      <c r="O29" s="778"/>
      <c r="P29" s="841"/>
      <c r="Q29" s="841"/>
      <c r="R29" s="841"/>
      <c r="S29" s="841"/>
      <c r="T29" s="841"/>
      <c r="U29" s="841"/>
      <c r="V29" s="841"/>
      <c r="W29" s="841"/>
      <c r="X29" s="841"/>
      <c r="Y29" s="833"/>
    </row>
    <row r="30" spans="1:28" s="747" customFormat="1" ht="15" thickBot="1" x14ac:dyDescent="0.35">
      <c r="A30" s="9"/>
      <c r="B30" s="779" t="s">
        <v>235</v>
      </c>
      <c r="C30" s="755">
        <v>19.464720194647199</v>
      </c>
      <c r="D30" s="755">
        <v>846.71532846715331</v>
      </c>
      <c r="E30" s="755">
        <v>1012.1654501216545</v>
      </c>
      <c r="F30" s="755">
        <v>0</v>
      </c>
      <c r="G30" s="755">
        <v>0</v>
      </c>
      <c r="H30" s="755">
        <v>2822.3844282238447</v>
      </c>
      <c r="I30" s="755">
        <v>0</v>
      </c>
      <c r="J30" s="755">
        <v>0</v>
      </c>
      <c r="K30" s="755">
        <v>0</v>
      </c>
      <c r="L30" s="755">
        <v>0</v>
      </c>
      <c r="M30" s="755">
        <v>0</v>
      </c>
      <c r="N30" s="755">
        <v>0</v>
      </c>
      <c r="O30" s="780">
        <f>SUM(C30:N30)</f>
        <v>4700.7299270072999</v>
      </c>
      <c r="P30" s="841"/>
      <c r="Q30" s="841"/>
      <c r="R30" s="841"/>
      <c r="S30" s="841"/>
      <c r="T30" s="841"/>
      <c r="U30" s="841"/>
      <c r="V30" s="841"/>
      <c r="W30" s="841"/>
      <c r="X30" s="841"/>
      <c r="Y30" s="833"/>
    </row>
    <row r="31" spans="1:28" s="843" customFormat="1" ht="15" thickBot="1" x14ac:dyDescent="0.35">
      <c r="A31" s="288"/>
      <c r="B31" s="777"/>
      <c r="C31" s="845"/>
      <c r="D31" s="845"/>
      <c r="E31" s="845"/>
      <c r="F31" s="845"/>
      <c r="G31" s="845"/>
      <c r="H31" s="845"/>
      <c r="I31" s="845"/>
      <c r="J31" s="845"/>
      <c r="K31" s="845"/>
      <c r="L31" s="845"/>
      <c r="M31" s="845"/>
      <c r="N31" s="845"/>
      <c r="O31" s="845"/>
      <c r="P31" s="841"/>
      <c r="Q31" s="841"/>
      <c r="R31" s="841"/>
      <c r="S31" s="841"/>
      <c r="T31" s="841"/>
      <c r="U31" s="841"/>
      <c r="V31" s="841"/>
      <c r="W31" s="841"/>
      <c r="X31" s="841"/>
      <c r="Y31" s="833"/>
    </row>
    <row r="32" spans="1:28" s="843" customFormat="1" ht="15" thickBot="1" x14ac:dyDescent="0.35">
      <c r="A32" s="288"/>
      <c r="B32" s="754" t="s">
        <v>302</v>
      </c>
      <c r="C32" s="755">
        <f t="shared" ref="C32:N32" si="6">+SUM(C33:C56)+C59</f>
        <v>7235.4129331714284</v>
      </c>
      <c r="D32" s="755">
        <f t="shared" si="6"/>
        <v>577.17376112828936</v>
      </c>
      <c r="E32" s="755">
        <f t="shared" si="6"/>
        <v>6902.4170650538399</v>
      </c>
      <c r="F32" s="755">
        <f t="shared" si="6"/>
        <v>2343.8833867771459</v>
      </c>
      <c r="G32" s="755">
        <f t="shared" si="6"/>
        <v>16.575189484250451</v>
      </c>
      <c r="H32" s="755">
        <f t="shared" si="6"/>
        <v>10.172763372474293</v>
      </c>
      <c r="I32" s="755">
        <f t="shared" si="6"/>
        <v>137.46175774279061</v>
      </c>
      <c r="J32" s="755">
        <f t="shared" si="6"/>
        <v>7384.3297042576269</v>
      </c>
      <c r="K32" s="755">
        <f t="shared" si="6"/>
        <v>10.231882330041204</v>
      </c>
      <c r="L32" s="755">
        <f t="shared" si="6"/>
        <v>744.77388845432358</v>
      </c>
      <c r="M32" s="755">
        <f t="shared" si="6"/>
        <v>11.489103247900086</v>
      </c>
      <c r="N32" s="755">
        <f t="shared" si="6"/>
        <v>361.83077620021146</v>
      </c>
      <c r="O32" s="780">
        <f>SUM(C32:N32)</f>
        <v>25735.752211220319</v>
      </c>
      <c r="P32" s="841"/>
      <c r="Q32" s="841"/>
      <c r="R32" s="841"/>
      <c r="S32" s="841"/>
      <c r="T32" s="841"/>
      <c r="U32" s="841"/>
      <c r="V32" s="841"/>
      <c r="W32" s="841"/>
      <c r="X32" s="841"/>
      <c r="Y32" s="833"/>
    </row>
    <row r="33" spans="1:25" s="843" customFormat="1" x14ac:dyDescent="0.3">
      <c r="A33" s="288"/>
      <c r="B33" s="782" t="s">
        <v>592</v>
      </c>
      <c r="C33" s="765">
        <v>3.3986888518734788</v>
      </c>
      <c r="D33" s="765">
        <v>3.5288413608759126</v>
      </c>
      <c r="E33" s="765">
        <v>3.3826374816545015</v>
      </c>
      <c r="F33" s="765">
        <v>3.4564914275425793</v>
      </c>
      <c r="G33" s="765">
        <v>3.4758697842335766</v>
      </c>
      <c r="H33" s="765">
        <v>3.4953567830656933</v>
      </c>
      <c r="I33" s="765">
        <v>3.5149530331873482</v>
      </c>
      <c r="J33" s="765">
        <v>3.5346591471532847</v>
      </c>
      <c r="K33" s="765">
        <v>3.5544757406326033</v>
      </c>
      <c r="L33" s="765">
        <v>3.5744034332846715</v>
      </c>
      <c r="M33" s="765">
        <v>3.594442847883212</v>
      </c>
      <c r="N33" s="765">
        <v>3.6145946108029197</v>
      </c>
      <c r="O33" s="773">
        <f t="shared" ref="O33:O70" si="7">SUM(C33:N33)</f>
        <v>42.125414502189784</v>
      </c>
      <c r="P33" s="841"/>
      <c r="Q33" s="841"/>
      <c r="R33" s="841"/>
      <c r="S33" s="841"/>
      <c r="T33" s="841"/>
      <c r="U33" s="841"/>
      <c r="V33" s="841"/>
      <c r="W33" s="841"/>
      <c r="X33" s="841"/>
      <c r="Y33" s="833"/>
    </row>
    <row r="34" spans="1:25" s="843" customFormat="1" x14ac:dyDescent="0.3">
      <c r="A34" s="288"/>
      <c r="B34" s="782" t="s">
        <v>557</v>
      </c>
      <c r="C34" s="765">
        <v>0</v>
      </c>
      <c r="D34" s="765">
        <v>0</v>
      </c>
      <c r="E34" s="765">
        <v>0</v>
      </c>
      <c r="F34" s="765">
        <v>0</v>
      </c>
      <c r="G34" s="765">
        <v>0</v>
      </c>
      <c r="H34" s="765">
        <v>0</v>
      </c>
      <c r="I34" s="765">
        <v>0</v>
      </c>
      <c r="J34" s="765">
        <v>0</v>
      </c>
      <c r="K34" s="765">
        <v>0</v>
      </c>
      <c r="L34" s="765">
        <v>0</v>
      </c>
      <c r="M34" s="765">
        <v>0</v>
      </c>
      <c r="N34" s="765">
        <v>0</v>
      </c>
      <c r="O34" s="773">
        <f t="shared" si="7"/>
        <v>0</v>
      </c>
      <c r="P34" s="841"/>
      <c r="Q34" s="841"/>
      <c r="R34" s="841"/>
      <c r="S34" s="841"/>
      <c r="T34" s="841"/>
      <c r="U34" s="841"/>
      <c r="V34" s="841"/>
      <c r="W34" s="841"/>
      <c r="X34" s="841"/>
      <c r="Y34" s="833"/>
    </row>
    <row r="35" spans="1:25" s="843" customFormat="1" x14ac:dyDescent="0.3">
      <c r="A35" s="288"/>
      <c r="B35" s="782" t="s">
        <v>802</v>
      </c>
      <c r="C35" s="765">
        <v>0</v>
      </c>
      <c r="D35" s="765">
        <v>0</v>
      </c>
      <c r="E35" s="765">
        <v>0</v>
      </c>
      <c r="F35" s="765">
        <v>0</v>
      </c>
      <c r="G35" s="765">
        <v>0</v>
      </c>
      <c r="H35" s="765">
        <v>0</v>
      </c>
      <c r="I35" s="765">
        <v>0</v>
      </c>
      <c r="J35" s="765">
        <v>0</v>
      </c>
      <c r="K35" s="765">
        <v>0</v>
      </c>
      <c r="L35" s="765">
        <v>0</v>
      </c>
      <c r="M35" s="765">
        <v>0</v>
      </c>
      <c r="N35" s="765">
        <v>0</v>
      </c>
      <c r="O35" s="773">
        <f t="shared" si="7"/>
        <v>0</v>
      </c>
      <c r="P35" s="841"/>
      <c r="Q35" s="841"/>
      <c r="R35" s="841"/>
      <c r="S35" s="841"/>
      <c r="T35" s="841"/>
      <c r="U35" s="841"/>
      <c r="V35" s="841"/>
      <c r="W35" s="841"/>
      <c r="X35" s="841"/>
      <c r="Y35" s="833"/>
    </row>
    <row r="36" spans="1:25" s="843" customFormat="1" x14ac:dyDescent="0.3">
      <c r="A36" s="288"/>
      <c r="B36" s="782" t="s">
        <v>743</v>
      </c>
      <c r="C36" s="765">
        <v>0</v>
      </c>
      <c r="D36" s="765">
        <v>0</v>
      </c>
      <c r="E36" s="765">
        <v>0</v>
      </c>
      <c r="F36" s="765">
        <v>0</v>
      </c>
      <c r="G36" s="765">
        <v>0</v>
      </c>
      <c r="H36" s="765">
        <v>0</v>
      </c>
      <c r="I36" s="765">
        <v>0</v>
      </c>
      <c r="J36" s="765">
        <v>24.998895000000001</v>
      </c>
      <c r="K36" s="765">
        <v>0</v>
      </c>
      <c r="L36" s="765">
        <v>0</v>
      </c>
      <c r="M36" s="765">
        <v>0</v>
      </c>
      <c r="N36" s="765">
        <v>0</v>
      </c>
      <c r="O36" s="773">
        <f t="shared" si="7"/>
        <v>24.998895000000001</v>
      </c>
      <c r="P36" s="841"/>
      <c r="Q36" s="841"/>
      <c r="R36" s="841"/>
      <c r="S36" s="841"/>
      <c r="T36" s="841"/>
      <c r="U36" s="841"/>
      <c r="V36" s="841"/>
      <c r="W36" s="841"/>
      <c r="X36" s="841"/>
      <c r="Y36" s="833"/>
    </row>
    <row r="37" spans="1:25" s="843" customFormat="1" x14ac:dyDescent="0.3">
      <c r="A37" s="288"/>
      <c r="B37" s="782" t="s">
        <v>497</v>
      </c>
      <c r="C37" s="765">
        <v>0</v>
      </c>
      <c r="D37" s="765">
        <v>0</v>
      </c>
      <c r="E37" s="765">
        <v>0</v>
      </c>
      <c r="F37" s="765">
        <v>0.64706664000000003</v>
      </c>
      <c r="G37" s="765">
        <v>0</v>
      </c>
      <c r="H37" s="765">
        <v>0</v>
      </c>
      <c r="I37" s="765">
        <v>0</v>
      </c>
      <c r="J37" s="765">
        <v>0</v>
      </c>
      <c r="K37" s="765">
        <v>0</v>
      </c>
      <c r="L37" s="765">
        <v>0</v>
      </c>
      <c r="M37" s="765">
        <v>0</v>
      </c>
      <c r="N37" s="765">
        <v>0</v>
      </c>
      <c r="O37" s="773">
        <f t="shared" si="7"/>
        <v>0.64706664000000003</v>
      </c>
      <c r="P37" s="841"/>
      <c r="Q37" s="841"/>
      <c r="R37" s="841"/>
      <c r="S37" s="841"/>
      <c r="T37" s="841"/>
      <c r="U37" s="841"/>
      <c r="V37" s="841"/>
      <c r="W37" s="841"/>
      <c r="X37" s="841"/>
      <c r="Y37" s="833"/>
    </row>
    <row r="38" spans="1:25" x14ac:dyDescent="0.3">
      <c r="B38" s="782" t="s">
        <v>742</v>
      </c>
      <c r="C38" s="765">
        <v>0</v>
      </c>
      <c r="D38" s="765">
        <v>0</v>
      </c>
      <c r="E38" s="765">
        <v>0</v>
      </c>
      <c r="F38" s="765">
        <v>0</v>
      </c>
      <c r="G38" s="765">
        <v>0</v>
      </c>
      <c r="H38" s="765">
        <v>0</v>
      </c>
      <c r="I38" s="765">
        <v>0</v>
      </c>
      <c r="J38" s="765">
        <v>0</v>
      </c>
      <c r="K38" s="765">
        <v>0</v>
      </c>
      <c r="L38" s="765">
        <v>0</v>
      </c>
      <c r="M38" s="765">
        <v>0</v>
      </c>
      <c r="N38" s="765">
        <v>0</v>
      </c>
      <c r="O38" s="773">
        <f t="shared" si="7"/>
        <v>0</v>
      </c>
      <c r="P38" s="841"/>
      <c r="Q38" s="841"/>
      <c r="R38" s="841"/>
      <c r="S38" s="841"/>
      <c r="T38" s="841"/>
      <c r="U38" s="841"/>
      <c r="V38" s="841"/>
      <c r="W38" s="841"/>
      <c r="X38" s="841"/>
    </row>
    <row r="39" spans="1:25" s="843" customFormat="1" x14ac:dyDescent="0.3">
      <c r="A39" s="288"/>
      <c r="B39" s="782" t="s">
        <v>559</v>
      </c>
      <c r="C39" s="765">
        <v>0</v>
      </c>
      <c r="D39" s="765">
        <v>0</v>
      </c>
      <c r="E39" s="765">
        <v>0</v>
      </c>
      <c r="F39" s="765">
        <v>0</v>
      </c>
      <c r="G39" s="765">
        <v>5.2046592999999994</v>
      </c>
      <c r="H39" s="765">
        <v>0</v>
      </c>
      <c r="I39" s="765">
        <v>0</v>
      </c>
      <c r="J39" s="765">
        <v>0</v>
      </c>
      <c r="K39" s="765">
        <v>0</v>
      </c>
      <c r="L39" s="765">
        <v>0</v>
      </c>
      <c r="M39" s="765">
        <v>0</v>
      </c>
      <c r="N39" s="765">
        <v>0</v>
      </c>
      <c r="O39" s="773">
        <f t="shared" si="7"/>
        <v>5.2046592999999994</v>
      </c>
      <c r="P39" s="841"/>
      <c r="Q39" s="841"/>
      <c r="R39" s="841"/>
      <c r="S39" s="841"/>
      <c r="T39" s="841"/>
      <c r="U39" s="841"/>
      <c r="V39" s="841"/>
      <c r="W39" s="841"/>
      <c r="X39" s="841"/>
      <c r="Y39" s="833"/>
    </row>
    <row r="40" spans="1:25" s="843" customFormat="1" x14ac:dyDescent="0.3">
      <c r="A40" s="288"/>
      <c r="B40" s="782" t="s">
        <v>697</v>
      </c>
      <c r="C40" s="765">
        <v>0</v>
      </c>
      <c r="D40" s="765">
        <v>0</v>
      </c>
      <c r="E40" s="765">
        <v>0</v>
      </c>
      <c r="F40" s="765">
        <v>0</v>
      </c>
      <c r="G40" s="765">
        <v>0</v>
      </c>
      <c r="H40" s="765">
        <v>0</v>
      </c>
      <c r="I40" s="765">
        <v>0</v>
      </c>
      <c r="J40" s="765">
        <v>0</v>
      </c>
      <c r="K40" s="765">
        <v>0</v>
      </c>
      <c r="L40" s="765">
        <v>0</v>
      </c>
      <c r="M40" s="765">
        <v>0</v>
      </c>
      <c r="N40" s="765">
        <v>0</v>
      </c>
      <c r="O40" s="773">
        <f t="shared" si="7"/>
        <v>0</v>
      </c>
      <c r="P40" s="841"/>
      <c r="Q40" s="841"/>
      <c r="R40" s="841"/>
      <c r="S40" s="841"/>
      <c r="T40" s="841"/>
      <c r="U40" s="841"/>
      <c r="V40" s="841"/>
      <c r="W40" s="841"/>
      <c r="X40" s="841"/>
      <c r="Y40" s="833"/>
    </row>
    <row r="41" spans="1:25" s="843" customFormat="1" x14ac:dyDescent="0.3">
      <c r="A41" s="288"/>
      <c r="B41" s="782" t="s">
        <v>795</v>
      </c>
      <c r="C41" s="765">
        <v>0</v>
      </c>
      <c r="D41" s="765">
        <v>0</v>
      </c>
      <c r="E41" s="765">
        <v>0</v>
      </c>
      <c r="F41" s="765">
        <v>0</v>
      </c>
      <c r="G41" s="765">
        <v>0</v>
      </c>
      <c r="H41" s="765">
        <v>0</v>
      </c>
      <c r="I41" s="765">
        <v>0</v>
      </c>
      <c r="J41" s="765">
        <v>5055.6047222604575</v>
      </c>
      <c r="K41" s="765">
        <v>0</v>
      </c>
      <c r="L41" s="765">
        <v>0</v>
      </c>
      <c r="M41" s="765">
        <v>0</v>
      </c>
      <c r="N41" s="765">
        <v>0</v>
      </c>
      <c r="O41" s="773">
        <f t="shared" si="7"/>
        <v>5055.6047222604575</v>
      </c>
      <c r="P41" s="841"/>
      <c r="Q41" s="841"/>
      <c r="R41" s="841"/>
      <c r="S41" s="841"/>
      <c r="T41" s="841"/>
      <c r="U41" s="841"/>
      <c r="V41" s="841"/>
      <c r="W41" s="841"/>
      <c r="X41" s="841"/>
      <c r="Y41" s="833"/>
    </row>
    <row r="42" spans="1:25" s="843" customFormat="1" x14ac:dyDescent="0.3">
      <c r="A42" s="288"/>
      <c r="B42" s="782" t="s">
        <v>794</v>
      </c>
      <c r="C42" s="765">
        <v>0</v>
      </c>
      <c r="D42" s="765">
        <v>0</v>
      </c>
      <c r="E42" s="765">
        <v>0</v>
      </c>
      <c r="F42" s="765">
        <v>0</v>
      </c>
      <c r="G42" s="765">
        <v>0</v>
      </c>
      <c r="H42" s="765">
        <v>0</v>
      </c>
      <c r="I42" s="765">
        <v>0</v>
      </c>
      <c r="J42" s="765">
        <v>0</v>
      </c>
      <c r="K42" s="765">
        <v>0</v>
      </c>
      <c r="L42" s="765">
        <v>0</v>
      </c>
      <c r="M42" s="765">
        <v>0</v>
      </c>
      <c r="N42" s="765">
        <v>0</v>
      </c>
      <c r="O42" s="773">
        <f t="shared" si="7"/>
        <v>0</v>
      </c>
      <c r="P42" s="841"/>
      <c r="Q42" s="841"/>
      <c r="R42" s="841"/>
      <c r="S42" s="841"/>
      <c r="T42" s="841"/>
      <c r="U42" s="841"/>
      <c r="V42" s="841"/>
      <c r="W42" s="841"/>
      <c r="X42" s="841"/>
      <c r="Y42" s="833"/>
    </row>
    <row r="43" spans="1:25" s="843" customFormat="1" x14ac:dyDescent="0.3">
      <c r="A43" s="288"/>
      <c r="B43" s="782" t="s">
        <v>792</v>
      </c>
      <c r="C43" s="765">
        <v>0</v>
      </c>
      <c r="D43" s="765">
        <v>0</v>
      </c>
      <c r="E43" s="765">
        <v>5684.8714311754857</v>
      </c>
      <c r="F43" s="765">
        <v>0</v>
      </c>
      <c r="G43" s="765">
        <v>0</v>
      </c>
      <c r="H43" s="765">
        <v>0</v>
      </c>
      <c r="I43" s="765">
        <v>0</v>
      </c>
      <c r="J43" s="765">
        <v>0</v>
      </c>
      <c r="K43" s="765">
        <v>0</v>
      </c>
      <c r="L43" s="765">
        <v>0</v>
      </c>
      <c r="M43" s="765">
        <v>0</v>
      </c>
      <c r="N43" s="765">
        <v>0</v>
      </c>
      <c r="O43" s="773">
        <f t="shared" si="7"/>
        <v>5684.8714311754857</v>
      </c>
      <c r="P43" s="841"/>
      <c r="Q43" s="841"/>
      <c r="R43" s="841"/>
      <c r="S43" s="841"/>
      <c r="T43" s="841"/>
      <c r="U43" s="841"/>
      <c r="V43" s="841"/>
      <c r="W43" s="841"/>
      <c r="X43" s="841"/>
      <c r="Y43" s="833"/>
    </row>
    <row r="44" spans="1:25" s="843" customFormat="1" x14ac:dyDescent="0.3">
      <c r="A44" s="288"/>
      <c r="B44" s="782" t="s">
        <v>585</v>
      </c>
      <c r="C44" s="765">
        <v>0</v>
      </c>
      <c r="D44" s="765">
        <v>0</v>
      </c>
      <c r="E44" s="765">
        <v>1207.4855898072913</v>
      </c>
      <c r="F44" s="765">
        <v>0</v>
      </c>
      <c r="G44" s="765">
        <v>0</v>
      </c>
      <c r="H44" s="765">
        <v>0</v>
      </c>
      <c r="I44" s="765">
        <v>0</v>
      </c>
      <c r="J44" s="765">
        <v>0</v>
      </c>
      <c r="K44" s="765">
        <v>0</v>
      </c>
      <c r="L44" s="765">
        <v>0</v>
      </c>
      <c r="M44" s="765">
        <v>0</v>
      </c>
      <c r="N44" s="765">
        <v>0</v>
      </c>
      <c r="O44" s="773">
        <f t="shared" si="7"/>
        <v>1207.4855898072913</v>
      </c>
      <c r="P44" s="841"/>
      <c r="Q44" s="841"/>
      <c r="R44" s="841"/>
      <c r="S44" s="841"/>
      <c r="T44" s="841"/>
      <c r="U44" s="841"/>
      <c r="V44" s="841"/>
      <c r="W44" s="841"/>
      <c r="X44" s="841"/>
      <c r="Y44" s="833"/>
    </row>
    <row r="45" spans="1:25" s="843" customFormat="1" x14ac:dyDescent="0.3">
      <c r="A45" s="288"/>
      <c r="B45" s="782" t="s">
        <v>597</v>
      </c>
      <c r="C45" s="765">
        <v>0</v>
      </c>
      <c r="D45" s="765">
        <v>0</v>
      </c>
      <c r="E45" s="765">
        <v>0</v>
      </c>
      <c r="F45" s="765">
        <v>0</v>
      </c>
      <c r="G45" s="765">
        <v>0</v>
      </c>
      <c r="H45" s="765">
        <v>0</v>
      </c>
      <c r="I45" s="765">
        <v>0</v>
      </c>
      <c r="J45" s="765">
        <v>0</v>
      </c>
      <c r="K45" s="765">
        <v>0</v>
      </c>
      <c r="L45" s="765">
        <v>0</v>
      </c>
      <c r="M45" s="765">
        <v>0</v>
      </c>
      <c r="N45" s="765">
        <v>0</v>
      </c>
      <c r="O45" s="773">
        <f t="shared" si="7"/>
        <v>0</v>
      </c>
      <c r="P45" s="841"/>
      <c r="Q45" s="841"/>
      <c r="R45" s="841"/>
      <c r="S45" s="841"/>
      <c r="T45" s="841"/>
      <c r="U45" s="841"/>
      <c r="V45" s="841"/>
      <c r="W45" s="841"/>
      <c r="X45" s="841"/>
      <c r="Y45" s="833"/>
    </row>
    <row r="46" spans="1:25" s="843" customFormat="1" x14ac:dyDescent="0.3">
      <c r="A46" s="288"/>
      <c r="B46" s="782" t="s">
        <v>889</v>
      </c>
      <c r="C46" s="765">
        <v>0</v>
      </c>
      <c r="D46" s="765">
        <v>0</v>
      </c>
      <c r="E46" s="765">
        <v>1.6554548798053528</v>
      </c>
      <c r="F46" s="765">
        <v>0</v>
      </c>
      <c r="G46" s="765">
        <v>0</v>
      </c>
      <c r="H46" s="765">
        <v>1.6554548798053528</v>
      </c>
      <c r="I46" s="765">
        <v>0</v>
      </c>
      <c r="J46" s="765">
        <v>0</v>
      </c>
      <c r="K46" s="765">
        <v>1.6554548798053528</v>
      </c>
      <c r="L46" s="765">
        <v>0</v>
      </c>
      <c r="M46" s="765">
        <v>0</v>
      </c>
      <c r="N46" s="765">
        <v>1.6554548798053528</v>
      </c>
      <c r="O46" s="773">
        <f t="shared" si="7"/>
        <v>6.6218195192214111</v>
      </c>
      <c r="P46" s="841"/>
      <c r="Q46" s="841"/>
      <c r="R46" s="841"/>
      <c r="S46" s="841"/>
      <c r="T46" s="841"/>
      <c r="U46" s="841"/>
      <c r="V46" s="841"/>
      <c r="W46" s="841"/>
      <c r="X46" s="841"/>
      <c r="Y46" s="833"/>
    </row>
    <row r="47" spans="1:25" s="843" customFormat="1" x14ac:dyDescent="0.3">
      <c r="A47" s="288"/>
      <c r="B47" s="782" t="s">
        <v>741</v>
      </c>
      <c r="C47" s="765">
        <v>0</v>
      </c>
      <c r="D47" s="765">
        <v>0</v>
      </c>
      <c r="E47" s="765">
        <v>0</v>
      </c>
      <c r="F47" s="765">
        <v>0</v>
      </c>
      <c r="G47" s="765">
        <v>0</v>
      </c>
      <c r="H47" s="765">
        <v>0</v>
      </c>
      <c r="I47" s="765">
        <v>0</v>
      </c>
      <c r="J47" s="765">
        <v>0</v>
      </c>
      <c r="K47" s="765">
        <v>0</v>
      </c>
      <c r="L47" s="765">
        <v>0</v>
      </c>
      <c r="M47" s="765">
        <v>0</v>
      </c>
      <c r="N47" s="765">
        <v>0</v>
      </c>
      <c r="O47" s="773">
        <f t="shared" si="7"/>
        <v>0</v>
      </c>
      <c r="P47" s="841"/>
      <c r="Q47" s="841"/>
      <c r="R47" s="841"/>
      <c r="S47" s="841"/>
      <c r="T47" s="841"/>
      <c r="U47" s="841"/>
      <c r="V47" s="841"/>
      <c r="W47" s="841"/>
      <c r="X47" s="841"/>
      <c r="Y47" s="833"/>
    </row>
    <row r="48" spans="1:25" s="843" customFormat="1" x14ac:dyDescent="0.3">
      <c r="A48" s="288"/>
      <c r="B48" s="782" t="s">
        <v>804</v>
      </c>
      <c r="C48" s="765">
        <v>0</v>
      </c>
      <c r="D48" s="765">
        <v>0</v>
      </c>
      <c r="E48" s="765">
        <v>0</v>
      </c>
      <c r="F48" s="765">
        <v>0</v>
      </c>
      <c r="G48" s="765">
        <v>0</v>
      </c>
      <c r="H48" s="765">
        <v>0</v>
      </c>
      <c r="I48" s="765">
        <v>0</v>
      </c>
      <c r="J48" s="765">
        <v>0</v>
      </c>
      <c r="K48" s="765">
        <v>0</v>
      </c>
      <c r="L48" s="765">
        <v>0</v>
      </c>
      <c r="M48" s="765">
        <v>0</v>
      </c>
      <c r="N48" s="765">
        <v>0</v>
      </c>
      <c r="O48" s="773">
        <f t="shared" si="7"/>
        <v>0</v>
      </c>
      <c r="P48" s="841"/>
      <c r="Q48" s="841"/>
      <c r="R48" s="841"/>
      <c r="S48" s="841"/>
      <c r="T48" s="841"/>
      <c r="U48" s="841"/>
      <c r="V48" s="841"/>
      <c r="W48" s="841"/>
      <c r="X48" s="841"/>
      <c r="Y48" s="833"/>
    </row>
    <row r="49" spans="1:25" s="843" customFormat="1" x14ac:dyDescent="0.3">
      <c r="A49" s="288"/>
      <c r="B49" s="782" t="s">
        <v>841</v>
      </c>
      <c r="C49" s="765">
        <v>0</v>
      </c>
      <c r="D49" s="765">
        <v>2.8727086904136256</v>
      </c>
      <c r="E49" s="765">
        <v>0</v>
      </c>
      <c r="F49" s="765">
        <v>0</v>
      </c>
      <c r="G49" s="765">
        <v>2.8727086904136256</v>
      </c>
      <c r="H49" s="765">
        <v>0</v>
      </c>
      <c r="I49" s="765">
        <v>0</v>
      </c>
      <c r="J49" s="765">
        <v>2.8727086904136256</v>
      </c>
      <c r="K49" s="765">
        <v>0</v>
      </c>
      <c r="L49" s="765">
        <v>0</v>
      </c>
      <c r="M49" s="765">
        <v>2.8727086904136256</v>
      </c>
      <c r="N49" s="765">
        <v>0</v>
      </c>
      <c r="O49" s="773">
        <f t="shared" si="7"/>
        <v>11.490834761654503</v>
      </c>
      <c r="P49" s="841"/>
      <c r="Q49" s="841"/>
      <c r="R49" s="841"/>
      <c r="S49" s="841"/>
      <c r="T49" s="841"/>
      <c r="U49" s="841"/>
      <c r="V49" s="841"/>
      <c r="W49" s="841"/>
      <c r="X49" s="841"/>
      <c r="Y49" s="833"/>
    </row>
    <row r="50" spans="1:25" s="843" customFormat="1" x14ac:dyDescent="0.3">
      <c r="A50" s="288"/>
      <c r="B50" s="782" t="s">
        <v>813</v>
      </c>
      <c r="C50" s="765">
        <v>0</v>
      </c>
      <c r="D50" s="765">
        <v>565.75025936739655</v>
      </c>
      <c r="E50" s="765">
        <v>0</v>
      </c>
      <c r="F50" s="765">
        <v>0</v>
      </c>
      <c r="G50" s="765">
        <v>0</v>
      </c>
      <c r="H50" s="765">
        <v>0</v>
      </c>
      <c r="I50" s="765">
        <v>0</v>
      </c>
      <c r="J50" s="765">
        <v>0</v>
      </c>
      <c r="K50" s="765">
        <v>0</v>
      </c>
      <c r="L50" s="765">
        <v>0</v>
      </c>
      <c r="M50" s="765">
        <v>0</v>
      </c>
      <c r="N50" s="765">
        <v>0</v>
      </c>
      <c r="O50" s="773">
        <f t="shared" si="7"/>
        <v>565.75025936739655</v>
      </c>
      <c r="P50" s="841"/>
      <c r="Q50" s="841"/>
      <c r="R50" s="841"/>
      <c r="S50" s="841"/>
      <c r="T50" s="841"/>
      <c r="U50" s="841"/>
      <c r="V50" s="841"/>
      <c r="W50" s="841"/>
      <c r="X50" s="841"/>
      <c r="Y50" s="833"/>
    </row>
    <row r="51" spans="1:25" s="843" customFormat="1" x14ac:dyDescent="0.3">
      <c r="A51" s="288"/>
      <c r="B51" s="782" t="s">
        <v>838</v>
      </c>
      <c r="C51" s="765">
        <v>0</v>
      </c>
      <c r="D51" s="765">
        <v>0</v>
      </c>
      <c r="E51" s="765">
        <v>0</v>
      </c>
      <c r="F51" s="765">
        <v>0</v>
      </c>
      <c r="G51" s="765">
        <v>0</v>
      </c>
      <c r="H51" s="765">
        <v>0</v>
      </c>
      <c r="I51" s="765">
        <v>0</v>
      </c>
      <c r="J51" s="765">
        <v>0</v>
      </c>
      <c r="K51" s="765">
        <v>0</v>
      </c>
      <c r="L51" s="765">
        <v>0</v>
      </c>
      <c r="M51" s="765">
        <v>0</v>
      </c>
      <c r="N51" s="765">
        <v>0</v>
      </c>
      <c r="O51" s="773">
        <f t="shared" si="7"/>
        <v>0</v>
      </c>
      <c r="P51" s="841"/>
      <c r="Q51" s="841"/>
      <c r="R51" s="841"/>
      <c r="S51" s="841"/>
      <c r="T51" s="841"/>
      <c r="U51" s="841"/>
      <c r="V51" s="841"/>
      <c r="W51" s="841"/>
      <c r="X51" s="841"/>
      <c r="Y51" s="833"/>
    </row>
    <row r="52" spans="1:25" s="843" customFormat="1" x14ac:dyDescent="0.3">
      <c r="A52" s="288"/>
      <c r="B52" s="782" t="s">
        <v>850</v>
      </c>
      <c r="C52" s="765">
        <v>0</v>
      </c>
      <c r="D52" s="765">
        <v>0</v>
      </c>
      <c r="E52" s="765">
        <v>0</v>
      </c>
      <c r="F52" s="765">
        <v>2221.7516380000002</v>
      </c>
      <c r="G52" s="765">
        <v>0</v>
      </c>
      <c r="H52" s="765">
        <v>0</v>
      </c>
      <c r="I52" s="765">
        <v>0</v>
      </c>
      <c r="J52" s="765">
        <v>0</v>
      </c>
      <c r="K52" s="765">
        <v>0</v>
      </c>
      <c r="L52" s="765">
        <v>0</v>
      </c>
      <c r="M52" s="765">
        <v>0</v>
      </c>
      <c r="N52" s="765">
        <v>0</v>
      </c>
      <c r="O52" s="773">
        <f t="shared" si="7"/>
        <v>2221.7516380000002</v>
      </c>
      <c r="P52" s="841"/>
      <c r="Q52" s="841"/>
      <c r="R52" s="841"/>
      <c r="S52" s="841"/>
      <c r="T52" s="841"/>
      <c r="U52" s="841"/>
      <c r="V52" s="841"/>
      <c r="W52" s="841"/>
      <c r="X52" s="841"/>
      <c r="Y52" s="833"/>
    </row>
    <row r="53" spans="1:25" s="843" customFormat="1" x14ac:dyDescent="0.3">
      <c r="A53" s="288"/>
      <c r="B53" s="782" t="s">
        <v>478</v>
      </c>
      <c r="C53" s="765">
        <v>0</v>
      </c>
      <c r="D53" s="765">
        <v>0</v>
      </c>
      <c r="E53" s="765">
        <v>0</v>
      </c>
      <c r="F53" s="765">
        <v>0</v>
      </c>
      <c r="G53" s="765">
        <v>0</v>
      </c>
      <c r="H53" s="765">
        <v>0</v>
      </c>
      <c r="I53" s="765">
        <v>0</v>
      </c>
      <c r="J53" s="765">
        <v>0</v>
      </c>
      <c r="K53" s="765">
        <v>0</v>
      </c>
      <c r="L53" s="765">
        <v>624.33433631143555</v>
      </c>
      <c r="M53" s="765">
        <v>0</v>
      </c>
      <c r="N53" s="765">
        <v>0</v>
      </c>
      <c r="O53" s="773">
        <f t="shared" si="7"/>
        <v>624.33433631143555</v>
      </c>
      <c r="P53" s="841"/>
      <c r="Q53" s="841"/>
      <c r="R53" s="841"/>
      <c r="S53" s="841"/>
      <c r="T53" s="841"/>
      <c r="U53" s="841"/>
      <c r="V53" s="841"/>
      <c r="W53" s="841"/>
      <c r="X53" s="841"/>
      <c r="Y53" s="833"/>
    </row>
    <row r="54" spans="1:25" s="843" customFormat="1" x14ac:dyDescent="0.3">
      <c r="A54" s="288"/>
      <c r="B54" s="782" t="s">
        <v>78</v>
      </c>
      <c r="C54" s="765">
        <v>7132.6550123900006</v>
      </c>
      <c r="D54" s="765">
        <v>0</v>
      </c>
      <c r="E54" s="765">
        <v>0</v>
      </c>
      <c r="F54" s="765">
        <v>0</v>
      </c>
      <c r="G54" s="765">
        <v>0</v>
      </c>
      <c r="H54" s="765">
        <v>0</v>
      </c>
      <c r="I54" s="765">
        <v>0</v>
      </c>
      <c r="J54" s="765">
        <v>2292.2967674499996</v>
      </c>
      <c r="K54" s="765">
        <v>0</v>
      </c>
      <c r="L54" s="765">
        <v>0</v>
      </c>
      <c r="M54" s="765">
        <v>0</v>
      </c>
      <c r="N54" s="765">
        <v>0</v>
      </c>
      <c r="O54" s="773">
        <f t="shared" si="7"/>
        <v>9424.9517798400011</v>
      </c>
      <c r="P54" s="841"/>
      <c r="Q54" s="841"/>
      <c r="R54" s="841"/>
      <c r="S54" s="841"/>
      <c r="T54" s="841"/>
      <c r="U54" s="841"/>
      <c r="V54" s="841"/>
      <c r="W54" s="841"/>
      <c r="X54" s="841"/>
      <c r="Y54" s="833"/>
    </row>
    <row r="55" spans="1:25" s="843" customFormat="1" x14ac:dyDescent="0.3">
      <c r="A55" s="288"/>
      <c r="B55" s="782" t="s">
        <v>521</v>
      </c>
      <c r="C55" s="765">
        <v>0</v>
      </c>
      <c r="D55" s="765">
        <v>0</v>
      </c>
      <c r="E55" s="765">
        <v>0</v>
      </c>
      <c r="F55" s="765">
        <v>0</v>
      </c>
      <c r="G55" s="765">
        <v>0</v>
      </c>
      <c r="H55" s="765">
        <v>0</v>
      </c>
      <c r="I55" s="765">
        <v>0</v>
      </c>
      <c r="J55" s="765">
        <v>0</v>
      </c>
      <c r="K55" s="765">
        <v>0</v>
      </c>
      <c r="L55" s="765">
        <v>0</v>
      </c>
      <c r="M55" s="765">
        <v>0</v>
      </c>
      <c r="N55" s="765">
        <v>351.53877499999993</v>
      </c>
      <c r="O55" s="773">
        <f t="shared" si="7"/>
        <v>351.53877499999993</v>
      </c>
      <c r="P55" s="841"/>
      <c r="Q55" s="841"/>
      <c r="R55" s="841"/>
      <c r="S55" s="841"/>
      <c r="T55" s="841"/>
      <c r="U55" s="841"/>
      <c r="V55" s="841"/>
      <c r="W55" s="841"/>
      <c r="X55" s="841"/>
      <c r="Y55" s="833"/>
    </row>
    <row r="56" spans="1:25" s="843" customFormat="1" x14ac:dyDescent="0.3">
      <c r="A56" s="288"/>
      <c r="B56" s="784" t="s">
        <v>217</v>
      </c>
      <c r="C56" s="783">
        <f>+C57+C58</f>
        <v>94.251492999999996</v>
      </c>
      <c r="D56" s="783">
        <f t="shared" ref="D56:O56" si="8">+D57+D58</f>
        <v>0</v>
      </c>
      <c r="E56" s="783">
        <f t="shared" si="8"/>
        <v>0</v>
      </c>
      <c r="F56" s="783">
        <f t="shared" si="8"/>
        <v>113.00623899999999</v>
      </c>
      <c r="G56" s="783">
        <f t="shared" si="8"/>
        <v>0</v>
      </c>
      <c r="H56" s="783">
        <f t="shared" si="8"/>
        <v>0</v>
      </c>
      <c r="I56" s="783">
        <f t="shared" si="8"/>
        <v>128.92485300000001</v>
      </c>
      <c r="J56" s="783">
        <f t="shared" si="8"/>
        <v>0</v>
      </c>
      <c r="K56" s="783">
        <f t="shared" si="8"/>
        <v>0</v>
      </c>
      <c r="L56" s="783">
        <f t="shared" si="8"/>
        <v>111.843197</v>
      </c>
      <c r="M56" s="783">
        <f t="shared" si="8"/>
        <v>0</v>
      </c>
      <c r="N56" s="783">
        <f t="shared" si="8"/>
        <v>0</v>
      </c>
      <c r="O56" s="783">
        <f t="shared" si="8"/>
        <v>448.02578200000005</v>
      </c>
      <c r="P56" s="841"/>
      <c r="Q56" s="841"/>
      <c r="R56" s="841"/>
      <c r="S56" s="841"/>
      <c r="T56" s="841"/>
      <c r="U56" s="841"/>
      <c r="V56" s="841"/>
      <c r="W56" s="841"/>
      <c r="X56" s="841"/>
      <c r="Y56" s="833"/>
    </row>
    <row r="57" spans="1:25" s="843" customFormat="1" x14ac:dyDescent="0.3">
      <c r="A57" s="288"/>
      <c r="B57" s="777" t="s">
        <v>71</v>
      </c>
      <c r="C57" s="787">
        <v>0</v>
      </c>
      <c r="D57" s="787">
        <v>0</v>
      </c>
      <c r="E57" s="787">
        <v>0</v>
      </c>
      <c r="F57" s="787">
        <v>0</v>
      </c>
      <c r="G57" s="787">
        <v>0</v>
      </c>
      <c r="H57" s="787">
        <v>0</v>
      </c>
      <c r="I57" s="787">
        <v>0</v>
      </c>
      <c r="J57" s="787">
        <v>0</v>
      </c>
      <c r="K57" s="787">
        <v>0</v>
      </c>
      <c r="L57" s="787">
        <v>0</v>
      </c>
      <c r="M57" s="787">
        <v>0</v>
      </c>
      <c r="N57" s="787">
        <v>0</v>
      </c>
      <c r="O57" s="778">
        <f t="shared" si="7"/>
        <v>0</v>
      </c>
      <c r="P57" s="841"/>
      <c r="Q57" s="841"/>
      <c r="R57" s="841"/>
      <c r="S57" s="841"/>
      <c r="T57" s="841"/>
      <c r="U57" s="841"/>
      <c r="V57" s="841"/>
      <c r="W57" s="841"/>
      <c r="X57" s="841"/>
      <c r="Y57" s="833"/>
    </row>
    <row r="58" spans="1:25" s="843" customFormat="1" x14ac:dyDescent="0.3">
      <c r="A58" s="288"/>
      <c r="B58" s="777" t="s">
        <v>69</v>
      </c>
      <c r="C58" s="787">
        <v>94.251492999999996</v>
      </c>
      <c r="D58" s="787">
        <v>0</v>
      </c>
      <c r="E58" s="787">
        <v>0</v>
      </c>
      <c r="F58" s="787">
        <v>113.00623899999999</v>
      </c>
      <c r="G58" s="787">
        <v>0</v>
      </c>
      <c r="H58" s="787">
        <v>0</v>
      </c>
      <c r="I58" s="787">
        <v>128.92485300000001</v>
      </c>
      <c r="J58" s="787">
        <v>0</v>
      </c>
      <c r="K58" s="787">
        <v>0</v>
      </c>
      <c r="L58" s="787">
        <v>111.843197</v>
      </c>
      <c r="M58" s="787">
        <v>0</v>
      </c>
      <c r="N58" s="787">
        <v>0</v>
      </c>
      <c r="O58" s="778">
        <f t="shared" si="7"/>
        <v>448.02578200000005</v>
      </c>
      <c r="P58" s="841"/>
      <c r="Q58" s="841"/>
      <c r="R58" s="841"/>
      <c r="S58" s="841"/>
      <c r="T58" s="841"/>
      <c r="U58" s="841"/>
      <c r="V58" s="841"/>
      <c r="W58" s="841"/>
      <c r="X58" s="841"/>
      <c r="Y58" s="833"/>
    </row>
    <row r="59" spans="1:25" s="843" customFormat="1" x14ac:dyDescent="0.3">
      <c r="A59" s="288"/>
      <c r="B59" s="784" t="s">
        <v>335</v>
      </c>
      <c r="C59" s="783">
        <f>+C60</f>
        <v>5.1077389295545856</v>
      </c>
      <c r="D59" s="783">
        <f t="shared" ref="D59:N59" si="9">+D60</f>
        <v>5.0219517096032478</v>
      </c>
      <c r="E59" s="783">
        <f t="shared" si="9"/>
        <v>5.0219517096032478</v>
      </c>
      <c r="F59" s="783">
        <f t="shared" si="9"/>
        <v>5.0219517096032478</v>
      </c>
      <c r="G59" s="783">
        <f t="shared" si="9"/>
        <v>5.0219517096032478</v>
      </c>
      <c r="H59" s="783">
        <f t="shared" si="9"/>
        <v>5.0219517096032478</v>
      </c>
      <c r="I59" s="783">
        <f t="shared" si="9"/>
        <v>5.0219517096032478</v>
      </c>
      <c r="J59" s="783">
        <f t="shared" si="9"/>
        <v>5.0219517096032478</v>
      </c>
      <c r="K59" s="783">
        <f t="shared" si="9"/>
        <v>5.0219517096032478</v>
      </c>
      <c r="L59" s="783">
        <f t="shared" si="9"/>
        <v>5.0219517096032478</v>
      </c>
      <c r="M59" s="783">
        <f t="shared" si="9"/>
        <v>5.0219517096032478</v>
      </c>
      <c r="N59" s="783">
        <f t="shared" si="9"/>
        <v>5.0219517096032478</v>
      </c>
      <c r="O59" s="773">
        <f t="shared" si="7"/>
        <v>60.349207735190319</v>
      </c>
      <c r="P59" s="841"/>
      <c r="Q59" s="841"/>
      <c r="R59" s="841"/>
      <c r="S59" s="841"/>
      <c r="T59" s="841"/>
      <c r="U59" s="841"/>
      <c r="V59" s="841"/>
      <c r="W59" s="841"/>
      <c r="X59" s="841"/>
      <c r="Y59" s="833"/>
    </row>
    <row r="60" spans="1:25" s="843" customFormat="1" x14ac:dyDescent="0.3">
      <c r="A60" s="288"/>
      <c r="B60" s="785" t="s">
        <v>79</v>
      </c>
      <c r="C60" s="786">
        <f t="shared" ref="C60:N60" si="10">+C61+C63</f>
        <v>5.1077389295545856</v>
      </c>
      <c r="D60" s="786">
        <f t="shared" si="10"/>
        <v>5.0219517096032478</v>
      </c>
      <c r="E60" s="786">
        <f t="shared" si="10"/>
        <v>5.0219517096032478</v>
      </c>
      <c r="F60" s="786">
        <f t="shared" si="10"/>
        <v>5.0219517096032478</v>
      </c>
      <c r="G60" s="786">
        <f t="shared" si="10"/>
        <v>5.0219517096032478</v>
      </c>
      <c r="H60" s="786">
        <f t="shared" si="10"/>
        <v>5.0219517096032478</v>
      </c>
      <c r="I60" s="786">
        <f t="shared" si="10"/>
        <v>5.0219517096032478</v>
      </c>
      <c r="J60" s="786">
        <f t="shared" si="10"/>
        <v>5.0219517096032478</v>
      </c>
      <c r="K60" s="786">
        <f t="shared" si="10"/>
        <v>5.0219517096032478</v>
      </c>
      <c r="L60" s="786">
        <f t="shared" si="10"/>
        <v>5.0219517096032478</v>
      </c>
      <c r="M60" s="786">
        <f t="shared" si="10"/>
        <v>5.0219517096032478</v>
      </c>
      <c r="N60" s="786">
        <f t="shared" si="10"/>
        <v>5.0219517096032478</v>
      </c>
      <c r="O60" s="771">
        <f t="shared" si="7"/>
        <v>60.349207735190319</v>
      </c>
      <c r="P60" s="841"/>
      <c r="Q60" s="841"/>
      <c r="R60" s="841"/>
      <c r="S60" s="841"/>
      <c r="T60" s="841"/>
      <c r="U60" s="841"/>
      <c r="V60" s="841"/>
      <c r="W60" s="841"/>
      <c r="X60" s="841"/>
      <c r="Y60" s="833"/>
    </row>
    <row r="61" spans="1:25" s="843" customFormat="1" x14ac:dyDescent="0.3">
      <c r="A61" s="288"/>
      <c r="B61" s="777" t="s">
        <v>81</v>
      </c>
      <c r="C61" s="787">
        <f>+C62</f>
        <v>5.0219517096032478</v>
      </c>
      <c r="D61" s="787">
        <f t="shared" ref="D61:N61" si="11">+D62</f>
        <v>5.0219517096032478</v>
      </c>
      <c r="E61" s="787">
        <f t="shared" si="11"/>
        <v>5.0219517096032478</v>
      </c>
      <c r="F61" s="787">
        <f t="shared" si="11"/>
        <v>5.0219517096032478</v>
      </c>
      <c r="G61" s="787">
        <f t="shared" si="11"/>
        <v>5.0219517096032478</v>
      </c>
      <c r="H61" s="787">
        <f t="shared" si="11"/>
        <v>5.0219517096032478</v>
      </c>
      <c r="I61" s="787">
        <f t="shared" si="11"/>
        <v>5.0219517096032478</v>
      </c>
      <c r="J61" s="787">
        <f t="shared" si="11"/>
        <v>5.0219517096032478</v>
      </c>
      <c r="K61" s="787">
        <f t="shared" si="11"/>
        <v>5.0219517096032478</v>
      </c>
      <c r="L61" s="787">
        <f t="shared" si="11"/>
        <v>5.0219517096032478</v>
      </c>
      <c r="M61" s="787">
        <f t="shared" si="11"/>
        <v>5.0219517096032478</v>
      </c>
      <c r="N61" s="787">
        <f t="shared" si="11"/>
        <v>5.0219517096032478</v>
      </c>
      <c r="O61" s="778">
        <f t="shared" si="7"/>
        <v>60.263420515238984</v>
      </c>
      <c r="P61" s="841"/>
      <c r="Q61" s="841"/>
      <c r="R61" s="841"/>
      <c r="S61" s="841"/>
      <c r="T61" s="841"/>
      <c r="U61" s="841"/>
      <c r="V61" s="841"/>
      <c r="W61" s="841"/>
      <c r="X61" s="841"/>
      <c r="Y61" s="833"/>
    </row>
    <row r="62" spans="1:25" s="843" customFormat="1" x14ac:dyDescent="0.3">
      <c r="A62" s="288"/>
      <c r="B62" s="777" t="s">
        <v>667</v>
      </c>
      <c r="C62" s="787">
        <v>5.0219517096032478</v>
      </c>
      <c r="D62" s="787">
        <v>5.0219517096032478</v>
      </c>
      <c r="E62" s="787">
        <v>5.0219517096032478</v>
      </c>
      <c r="F62" s="787">
        <v>5.0219517096032478</v>
      </c>
      <c r="G62" s="787">
        <v>5.0219517096032478</v>
      </c>
      <c r="H62" s="787">
        <v>5.0219517096032478</v>
      </c>
      <c r="I62" s="787">
        <v>5.0219517096032478</v>
      </c>
      <c r="J62" s="787">
        <v>5.0219517096032478</v>
      </c>
      <c r="K62" s="787">
        <v>5.0219517096032478</v>
      </c>
      <c r="L62" s="787">
        <v>5.0219517096032478</v>
      </c>
      <c r="M62" s="787">
        <v>5.0219517096032478</v>
      </c>
      <c r="N62" s="787">
        <v>5.0219517096032478</v>
      </c>
      <c r="O62" s="778">
        <f t="shared" si="7"/>
        <v>60.263420515238984</v>
      </c>
      <c r="P62" s="841"/>
      <c r="Q62" s="841"/>
      <c r="R62" s="841"/>
      <c r="S62" s="841"/>
      <c r="T62" s="841"/>
      <c r="U62" s="841"/>
      <c r="V62" s="841"/>
      <c r="W62" s="841"/>
      <c r="X62" s="841"/>
      <c r="Y62" s="833"/>
    </row>
    <row r="63" spans="1:25" s="843" customFormat="1" x14ac:dyDescent="0.3">
      <c r="A63" s="288"/>
      <c r="B63" s="790" t="s">
        <v>85</v>
      </c>
      <c r="C63" s="787">
        <f>+C64+C65</f>
        <v>8.5787219951338187E-2</v>
      </c>
      <c r="D63" s="787">
        <f t="shared" ref="D63:N63" si="12">+D64+D65</f>
        <v>0</v>
      </c>
      <c r="E63" s="787">
        <f t="shared" si="12"/>
        <v>0</v>
      </c>
      <c r="F63" s="787">
        <f t="shared" si="12"/>
        <v>0</v>
      </c>
      <c r="G63" s="787">
        <f t="shared" si="12"/>
        <v>0</v>
      </c>
      <c r="H63" s="787">
        <f t="shared" si="12"/>
        <v>0</v>
      </c>
      <c r="I63" s="787">
        <f t="shared" si="12"/>
        <v>0</v>
      </c>
      <c r="J63" s="787">
        <f t="shared" si="12"/>
        <v>0</v>
      </c>
      <c r="K63" s="787">
        <f t="shared" si="12"/>
        <v>0</v>
      </c>
      <c r="L63" s="787">
        <f t="shared" si="12"/>
        <v>0</v>
      </c>
      <c r="M63" s="787">
        <f t="shared" si="12"/>
        <v>0</v>
      </c>
      <c r="N63" s="787">
        <f t="shared" si="12"/>
        <v>0</v>
      </c>
      <c r="O63" s="778">
        <f t="shared" si="7"/>
        <v>8.5787219951338187E-2</v>
      </c>
      <c r="P63" s="841"/>
      <c r="Q63" s="841"/>
      <c r="R63" s="841"/>
      <c r="S63" s="841"/>
      <c r="T63" s="841"/>
      <c r="U63" s="841"/>
      <c r="V63" s="841"/>
      <c r="W63" s="841"/>
      <c r="X63" s="841"/>
      <c r="Y63" s="833"/>
    </row>
    <row r="64" spans="1:25" s="843" customFormat="1" x14ac:dyDescent="0.3">
      <c r="A64" s="9"/>
      <c r="B64" s="777" t="s">
        <v>667</v>
      </c>
      <c r="C64" s="787">
        <v>0</v>
      </c>
      <c r="D64" s="787">
        <v>0</v>
      </c>
      <c r="E64" s="787">
        <v>0</v>
      </c>
      <c r="F64" s="787">
        <v>0</v>
      </c>
      <c r="G64" s="787">
        <v>0</v>
      </c>
      <c r="H64" s="787">
        <v>0</v>
      </c>
      <c r="I64" s="787">
        <v>0</v>
      </c>
      <c r="J64" s="787">
        <v>0</v>
      </c>
      <c r="K64" s="787">
        <v>0</v>
      </c>
      <c r="L64" s="787">
        <v>0</v>
      </c>
      <c r="M64" s="787">
        <v>0</v>
      </c>
      <c r="N64" s="787">
        <v>0</v>
      </c>
      <c r="O64" s="778">
        <f t="shared" si="7"/>
        <v>0</v>
      </c>
      <c r="P64" s="841"/>
      <c r="Q64" s="841"/>
      <c r="R64" s="841"/>
      <c r="S64" s="841"/>
      <c r="T64" s="841"/>
      <c r="U64" s="841"/>
      <c r="V64" s="841"/>
      <c r="W64" s="841"/>
      <c r="X64" s="841"/>
      <c r="Y64" s="833"/>
    </row>
    <row r="65" spans="1:25" s="843" customFormat="1" x14ac:dyDescent="0.3">
      <c r="A65" s="9"/>
      <c r="B65" s="846" t="s">
        <v>763</v>
      </c>
      <c r="C65" s="787">
        <v>8.5787219951338187E-2</v>
      </c>
      <c r="D65" s="787">
        <v>0</v>
      </c>
      <c r="E65" s="787">
        <v>0</v>
      </c>
      <c r="F65" s="787">
        <v>0</v>
      </c>
      <c r="G65" s="787">
        <v>0</v>
      </c>
      <c r="H65" s="787">
        <v>0</v>
      </c>
      <c r="I65" s="787">
        <v>0</v>
      </c>
      <c r="J65" s="787">
        <v>0</v>
      </c>
      <c r="K65" s="787">
        <v>0</v>
      </c>
      <c r="L65" s="787">
        <v>0</v>
      </c>
      <c r="M65" s="787">
        <v>0</v>
      </c>
      <c r="N65" s="787">
        <v>0</v>
      </c>
      <c r="O65" s="778">
        <f t="shared" si="7"/>
        <v>8.5787219951338187E-2</v>
      </c>
      <c r="P65" s="841"/>
      <c r="Q65" s="841"/>
      <c r="R65" s="841"/>
      <c r="S65" s="841"/>
      <c r="T65" s="841"/>
      <c r="U65" s="841"/>
      <c r="V65" s="841"/>
      <c r="W65" s="841"/>
      <c r="X65" s="841"/>
      <c r="Y65" s="833"/>
    </row>
    <row r="66" spans="1:25" s="843" customFormat="1" x14ac:dyDescent="0.3">
      <c r="A66" s="9"/>
      <c r="B66" s="777"/>
      <c r="C66" s="787"/>
      <c r="D66" s="787"/>
      <c r="E66" s="787"/>
      <c r="F66" s="787"/>
      <c r="G66" s="787"/>
      <c r="H66" s="787"/>
      <c r="I66" s="787"/>
      <c r="J66" s="787"/>
      <c r="K66" s="787"/>
      <c r="L66" s="787"/>
      <c r="M66" s="787"/>
      <c r="N66" s="787"/>
      <c r="O66" s="778"/>
      <c r="P66" s="841"/>
      <c r="Q66" s="841"/>
      <c r="R66" s="841"/>
      <c r="S66" s="841"/>
      <c r="T66" s="841"/>
      <c r="U66" s="841"/>
      <c r="V66" s="841"/>
      <c r="W66" s="841"/>
      <c r="X66" s="841"/>
      <c r="Y66" s="833"/>
    </row>
    <row r="67" spans="1:25" s="843" customFormat="1" x14ac:dyDescent="0.3">
      <c r="A67" s="9"/>
      <c r="B67" s="796" t="s">
        <v>104</v>
      </c>
      <c r="C67" s="797">
        <f t="shared" ref="C67:N67" si="13">+C68+C69</f>
        <v>28.774788618411034</v>
      </c>
      <c r="D67" s="797">
        <f t="shared" si="13"/>
        <v>1424.7081354737882</v>
      </c>
      <c r="E67" s="797">
        <f t="shared" si="13"/>
        <v>7915.4170854917957</v>
      </c>
      <c r="F67" s="797">
        <f t="shared" si="13"/>
        <v>2231.0796803390926</v>
      </c>
      <c r="G67" s="797">
        <f t="shared" si="13"/>
        <v>12.235575770625147</v>
      </c>
      <c r="H67" s="797">
        <f t="shared" si="13"/>
        <v>2833.4379740878035</v>
      </c>
      <c r="I67" s="797">
        <f t="shared" si="13"/>
        <v>9.4336645286786727</v>
      </c>
      <c r="J67" s="797">
        <f t="shared" si="13"/>
        <v>5067.9469577297687</v>
      </c>
      <c r="K67" s="797">
        <f t="shared" si="13"/>
        <v>11.161121862887919</v>
      </c>
      <c r="L67" s="797">
        <f t="shared" si="13"/>
        <v>633.87636421344757</v>
      </c>
      <c r="M67" s="797">
        <f t="shared" si="13"/>
        <v>12.670827929165291</v>
      </c>
      <c r="N67" s="797">
        <f t="shared" si="13"/>
        <v>11.267712003131228</v>
      </c>
      <c r="O67" s="798">
        <f t="shared" si="7"/>
        <v>20192.009888048597</v>
      </c>
      <c r="P67" s="841"/>
      <c r="Q67" s="841"/>
      <c r="R67" s="841"/>
      <c r="S67" s="841"/>
      <c r="T67" s="841"/>
      <c r="U67" s="841"/>
      <c r="V67" s="841"/>
      <c r="W67" s="841"/>
      <c r="X67" s="841"/>
      <c r="Y67" s="833"/>
    </row>
    <row r="68" spans="1:25" s="843" customFormat="1" x14ac:dyDescent="0.3">
      <c r="A68" s="9"/>
      <c r="B68" s="784" t="s">
        <v>105</v>
      </c>
      <c r="C68" s="783">
        <v>5.0219517096032478</v>
      </c>
      <c r="D68" s="783">
        <v>5.0219517096032478</v>
      </c>
      <c r="E68" s="783">
        <v>6897.3789726923796</v>
      </c>
      <c r="F68" s="783">
        <v>5.0219517096032478</v>
      </c>
      <c r="G68" s="783">
        <v>5.0219517096032478</v>
      </c>
      <c r="H68" s="783">
        <v>5.0219517096032478</v>
      </c>
      <c r="I68" s="783">
        <v>5.0219517096032478</v>
      </c>
      <c r="J68" s="783">
        <v>5060.6266739700604</v>
      </c>
      <c r="K68" s="783">
        <v>5.0219517096032478</v>
      </c>
      <c r="L68" s="783">
        <v>5.0219517096032478</v>
      </c>
      <c r="M68" s="783">
        <v>5.0219517096032478</v>
      </c>
      <c r="N68" s="783">
        <v>5.0219517096032478</v>
      </c>
      <c r="O68" s="773">
        <f t="shared" si="7"/>
        <v>12008.22516375847</v>
      </c>
      <c r="P68" s="841"/>
      <c r="Q68" s="841"/>
      <c r="R68" s="841"/>
      <c r="S68" s="841"/>
      <c r="T68" s="841"/>
      <c r="U68" s="841"/>
      <c r="V68" s="841"/>
      <c r="W68" s="841"/>
      <c r="X68" s="841"/>
      <c r="Y68" s="833"/>
    </row>
    <row r="69" spans="1:25" s="843" customFormat="1" x14ac:dyDescent="0.3">
      <c r="A69" s="9"/>
      <c r="B69" s="784" t="s">
        <v>499</v>
      </c>
      <c r="C69" s="783">
        <v>23.752836908807787</v>
      </c>
      <c r="D69" s="783">
        <v>1419.686183764185</v>
      </c>
      <c r="E69" s="783">
        <v>1018.038112799416</v>
      </c>
      <c r="F69" s="783">
        <v>2226.0577286294892</v>
      </c>
      <c r="G69" s="783">
        <v>7.213624061021898</v>
      </c>
      <c r="H69" s="783">
        <v>2828.4160223782001</v>
      </c>
      <c r="I69" s="783">
        <v>4.4117128190754258</v>
      </c>
      <c r="J69" s="783">
        <v>7.3202837597080297</v>
      </c>
      <c r="K69" s="783">
        <v>6.1391701532846712</v>
      </c>
      <c r="L69" s="783">
        <v>628.85441250384429</v>
      </c>
      <c r="M69" s="783">
        <v>7.6488762195620446</v>
      </c>
      <c r="N69" s="783">
        <v>6.2457602935279803</v>
      </c>
      <c r="O69" s="773">
        <f t="shared" si="7"/>
        <v>8183.7847242901234</v>
      </c>
      <c r="P69" s="841"/>
      <c r="Q69" s="841"/>
      <c r="R69" s="841"/>
      <c r="S69" s="841"/>
      <c r="T69" s="841"/>
      <c r="U69" s="841"/>
      <c r="V69" s="841"/>
      <c r="W69" s="841"/>
      <c r="X69" s="841"/>
      <c r="Y69" s="833"/>
    </row>
    <row r="70" spans="1:25" s="843" customFormat="1" x14ac:dyDescent="0.3">
      <c r="A70" s="9"/>
      <c r="B70" s="796" t="s">
        <v>106</v>
      </c>
      <c r="C70" s="797">
        <v>10265.363829336497</v>
      </c>
      <c r="D70" s="797">
        <v>149.40919766754413</v>
      </c>
      <c r="E70" s="797">
        <v>3079.0498056064212</v>
      </c>
      <c r="F70" s="797">
        <v>3006.5710616039373</v>
      </c>
      <c r="G70" s="797">
        <v>181.83311466694067</v>
      </c>
      <c r="H70" s="797">
        <v>2953.4257837264049</v>
      </c>
      <c r="I70" s="797">
        <v>3148.784872809445</v>
      </c>
      <c r="J70" s="797">
        <v>2457.1128489577354</v>
      </c>
      <c r="K70" s="797">
        <v>1219.0427823770594</v>
      </c>
      <c r="L70" s="797">
        <v>2997.2139822238773</v>
      </c>
      <c r="M70" s="797">
        <v>192.55976372089654</v>
      </c>
      <c r="N70" s="797">
        <v>1446.7781438938159</v>
      </c>
      <c r="O70" s="798">
        <f t="shared" si="7"/>
        <v>31097.145186590569</v>
      </c>
      <c r="P70" s="841"/>
      <c r="Q70" s="841"/>
      <c r="R70" s="841"/>
      <c r="S70" s="841"/>
      <c r="T70" s="841"/>
      <c r="U70" s="841"/>
      <c r="V70" s="841"/>
      <c r="W70" s="841"/>
      <c r="X70" s="841"/>
      <c r="Y70" s="833"/>
    </row>
    <row r="71" spans="1:25" s="747" customFormat="1" x14ac:dyDescent="0.3">
      <c r="A71" s="9"/>
      <c r="B71" s="737"/>
      <c r="C71" s="737"/>
      <c r="D71" s="737"/>
      <c r="E71" s="737"/>
      <c r="F71" s="737"/>
      <c r="G71" s="737"/>
      <c r="H71" s="737"/>
      <c r="I71" s="737"/>
      <c r="J71" s="737"/>
      <c r="K71" s="737"/>
      <c r="L71" s="737"/>
      <c r="M71" s="737"/>
      <c r="N71" s="737"/>
      <c r="O71" s="737"/>
      <c r="P71" s="841"/>
      <c r="Q71" s="841"/>
      <c r="R71" s="841"/>
      <c r="S71" s="841"/>
      <c r="T71" s="841"/>
      <c r="U71" s="841"/>
      <c r="V71" s="841"/>
      <c r="W71" s="841"/>
      <c r="X71" s="841"/>
      <c r="Y71" s="833"/>
    </row>
    <row r="72" spans="1:25" s="843" customFormat="1" x14ac:dyDescent="0.3">
      <c r="A72" s="9"/>
      <c r="B72" s="799" t="s">
        <v>336</v>
      </c>
      <c r="C72" s="847"/>
      <c r="D72" s="738"/>
      <c r="E72" s="738"/>
      <c r="F72" s="738"/>
      <c r="G72" s="738"/>
      <c r="H72" s="738"/>
      <c r="I72" s="738"/>
      <c r="J72" s="738"/>
      <c r="K72" s="738"/>
      <c r="L72" s="738"/>
      <c r="M72" s="738"/>
      <c r="N72" s="738"/>
      <c r="O72" s="737"/>
      <c r="P72" s="841"/>
      <c r="Q72" s="841"/>
      <c r="R72" s="841"/>
      <c r="S72" s="841"/>
      <c r="T72" s="841"/>
      <c r="U72" s="841"/>
      <c r="V72" s="841"/>
      <c r="W72" s="841"/>
      <c r="X72" s="841"/>
      <c r="Y72" s="833"/>
    </row>
    <row r="73" spans="1:25" s="843" customFormat="1" x14ac:dyDescent="0.3">
      <c r="A73" s="288"/>
      <c r="B73" s="833"/>
      <c r="C73" s="848"/>
      <c r="D73" s="848"/>
      <c r="E73" s="848"/>
      <c r="F73" s="848"/>
      <c r="G73" s="848"/>
      <c r="H73" s="848"/>
      <c r="I73" s="848"/>
      <c r="J73" s="848"/>
      <c r="K73" s="848"/>
      <c r="L73" s="848"/>
      <c r="M73" s="848"/>
      <c r="N73" s="848"/>
      <c r="O73" s="848"/>
      <c r="P73" s="841"/>
      <c r="Q73" s="841"/>
      <c r="R73" s="841"/>
      <c r="S73" s="841"/>
      <c r="T73" s="841"/>
      <c r="U73" s="841"/>
      <c r="V73" s="841"/>
      <c r="W73" s="841"/>
      <c r="X73" s="841"/>
      <c r="Y73" s="833"/>
    </row>
    <row r="74" spans="1:25" s="843" customFormat="1" x14ac:dyDescent="0.3">
      <c r="A74" s="288"/>
      <c r="B74" s="833"/>
      <c r="C74" s="848"/>
      <c r="D74" s="848"/>
      <c r="E74" s="848"/>
      <c r="F74" s="848"/>
      <c r="G74" s="848"/>
      <c r="H74" s="848"/>
      <c r="I74" s="848"/>
      <c r="J74" s="848"/>
      <c r="K74" s="848"/>
      <c r="L74" s="848"/>
      <c r="M74" s="848"/>
      <c r="N74" s="848"/>
      <c r="O74" s="848"/>
      <c r="P74" s="841"/>
      <c r="Q74" s="841"/>
      <c r="R74" s="841"/>
      <c r="S74" s="841"/>
      <c r="T74" s="841"/>
      <c r="U74" s="841"/>
      <c r="V74" s="841"/>
      <c r="W74" s="841"/>
      <c r="X74" s="841"/>
      <c r="Y74" s="833"/>
    </row>
    <row r="75" spans="1:25" s="843" customFormat="1" x14ac:dyDescent="0.3">
      <c r="A75" s="288"/>
      <c r="B75" s="833"/>
      <c r="C75" s="841"/>
      <c r="D75" s="841"/>
      <c r="E75" s="841"/>
      <c r="F75" s="841"/>
      <c r="G75" s="841"/>
      <c r="H75" s="841"/>
      <c r="I75" s="841"/>
      <c r="J75" s="841"/>
      <c r="K75" s="841"/>
      <c r="L75" s="841"/>
      <c r="M75" s="841"/>
      <c r="N75" s="841"/>
      <c r="O75" s="841"/>
      <c r="P75" s="841"/>
      <c r="Q75" s="841"/>
      <c r="R75" s="841"/>
      <c r="S75" s="841"/>
      <c r="T75" s="841"/>
      <c r="U75" s="841"/>
      <c r="V75" s="841"/>
      <c r="W75" s="841"/>
      <c r="X75" s="841"/>
      <c r="Y75" s="833"/>
    </row>
    <row r="76" spans="1:25" s="843" customFormat="1" x14ac:dyDescent="0.3">
      <c r="A76" s="288"/>
      <c r="B76" s="833"/>
      <c r="C76" s="841"/>
      <c r="D76" s="841"/>
      <c r="E76" s="841"/>
      <c r="F76" s="841"/>
      <c r="G76" s="841"/>
      <c r="H76" s="841"/>
      <c r="I76" s="841"/>
      <c r="J76" s="841"/>
      <c r="K76" s="841"/>
      <c r="L76" s="841"/>
      <c r="M76" s="841"/>
      <c r="N76" s="841"/>
      <c r="O76" s="841"/>
      <c r="P76" s="841"/>
      <c r="Q76" s="841"/>
      <c r="R76" s="841"/>
      <c r="S76" s="841"/>
      <c r="T76" s="841"/>
      <c r="U76" s="841"/>
      <c r="V76" s="841"/>
      <c r="W76" s="841"/>
      <c r="X76" s="841"/>
      <c r="Y76" s="833"/>
    </row>
    <row r="77" spans="1:25" s="843" customFormat="1" x14ac:dyDescent="0.3">
      <c r="A77" s="288"/>
      <c r="B77" s="833"/>
      <c r="C77" s="848"/>
      <c r="D77" s="833"/>
      <c r="E77" s="833"/>
      <c r="F77" s="833"/>
      <c r="G77" s="833"/>
      <c r="H77" s="833"/>
      <c r="I77" s="833"/>
      <c r="J77" s="833"/>
      <c r="K77" s="833"/>
      <c r="L77" s="833"/>
      <c r="M77" s="833"/>
      <c r="N77" s="833"/>
      <c r="O77" s="833"/>
      <c r="P77" s="841"/>
      <c r="Q77" s="841"/>
      <c r="R77" s="841"/>
      <c r="S77" s="841"/>
      <c r="T77" s="841"/>
      <c r="U77" s="841"/>
      <c r="V77" s="841"/>
      <c r="W77" s="841"/>
      <c r="X77" s="841"/>
      <c r="Y77" s="833"/>
    </row>
    <row r="78" spans="1:25" s="843" customFormat="1" x14ac:dyDescent="0.3">
      <c r="A78" s="288"/>
      <c r="B78" s="833"/>
      <c r="C78" s="848"/>
      <c r="D78" s="833"/>
      <c r="E78" s="833"/>
      <c r="F78" s="833"/>
      <c r="G78" s="833"/>
      <c r="H78" s="833"/>
      <c r="I78" s="833"/>
      <c r="J78" s="833"/>
      <c r="K78" s="833"/>
      <c r="L78" s="833"/>
      <c r="M78" s="833"/>
      <c r="N78" s="833"/>
      <c r="O78" s="833"/>
      <c r="P78" s="841"/>
      <c r="Q78" s="841"/>
      <c r="R78" s="841"/>
      <c r="S78" s="841"/>
      <c r="T78" s="841"/>
      <c r="U78" s="841"/>
      <c r="V78" s="841"/>
      <c r="W78" s="841"/>
      <c r="X78" s="841"/>
      <c r="Y78" s="833"/>
    </row>
    <row r="79" spans="1:25" s="843" customFormat="1" x14ac:dyDescent="0.3">
      <c r="A79" s="288"/>
      <c r="B79" s="833"/>
      <c r="C79" s="848"/>
      <c r="D79" s="833"/>
      <c r="E79" s="833"/>
      <c r="F79" s="833"/>
      <c r="G79" s="833"/>
      <c r="H79" s="833"/>
      <c r="I79" s="833"/>
      <c r="J79" s="833"/>
      <c r="K79" s="833"/>
      <c r="L79" s="833"/>
      <c r="M79" s="833"/>
      <c r="N79" s="833"/>
      <c r="O79" s="833"/>
      <c r="P79" s="841"/>
      <c r="Q79" s="841"/>
      <c r="R79" s="841"/>
      <c r="S79" s="841"/>
      <c r="T79" s="841"/>
      <c r="U79" s="841"/>
      <c r="V79" s="841"/>
      <c r="W79" s="841"/>
      <c r="X79" s="841"/>
      <c r="Y79" s="833"/>
    </row>
    <row r="80" spans="1:25" s="843" customFormat="1" x14ac:dyDescent="0.3">
      <c r="A80" s="288"/>
      <c r="B80" s="833"/>
      <c r="C80" s="833"/>
      <c r="D80" s="833"/>
      <c r="E80" s="833"/>
      <c r="F80" s="833"/>
      <c r="G80" s="833"/>
      <c r="H80" s="833"/>
      <c r="I80" s="833"/>
      <c r="J80" s="833"/>
      <c r="K80" s="833"/>
      <c r="L80" s="833"/>
      <c r="M80" s="833"/>
      <c r="N80" s="833"/>
      <c r="O80" s="833"/>
      <c r="P80" s="841"/>
      <c r="Q80" s="841"/>
      <c r="R80" s="841"/>
      <c r="S80" s="841"/>
      <c r="T80" s="841"/>
      <c r="U80" s="841"/>
      <c r="V80" s="841"/>
      <c r="W80" s="841"/>
      <c r="X80" s="841"/>
      <c r="Y80" s="833"/>
    </row>
    <row r="81" spans="1:25" s="843" customFormat="1" x14ac:dyDescent="0.3">
      <c r="A81" s="288"/>
      <c r="B81" s="833"/>
      <c r="C81" s="833"/>
      <c r="D81" s="833"/>
      <c r="E81" s="833"/>
      <c r="F81" s="833"/>
      <c r="G81" s="833"/>
      <c r="H81" s="833"/>
      <c r="I81" s="833"/>
      <c r="J81" s="833"/>
      <c r="K81" s="833"/>
      <c r="L81" s="833"/>
      <c r="M81" s="833"/>
      <c r="N81" s="833"/>
      <c r="O81" s="833"/>
      <c r="P81" s="841"/>
      <c r="Q81" s="841"/>
      <c r="R81" s="841"/>
      <c r="S81" s="841"/>
      <c r="T81" s="841"/>
      <c r="U81" s="841"/>
      <c r="V81" s="841"/>
      <c r="W81" s="841"/>
      <c r="X81" s="841"/>
      <c r="Y81" s="833"/>
    </row>
    <row r="82" spans="1:25" s="843" customFormat="1" x14ac:dyDescent="0.3">
      <c r="A82" s="288"/>
      <c r="B82" s="833"/>
      <c r="C82" s="833"/>
      <c r="D82" s="833"/>
      <c r="E82" s="833"/>
      <c r="F82" s="833"/>
      <c r="G82" s="833"/>
      <c r="H82" s="833"/>
      <c r="I82" s="833"/>
      <c r="J82" s="833"/>
      <c r="K82" s="833"/>
      <c r="L82" s="833"/>
      <c r="M82" s="833"/>
      <c r="N82" s="833"/>
      <c r="O82" s="833"/>
      <c r="P82" s="841"/>
      <c r="Q82" s="841"/>
      <c r="R82" s="841"/>
      <c r="S82" s="841"/>
      <c r="T82" s="841"/>
      <c r="U82" s="841"/>
      <c r="V82" s="841"/>
      <c r="W82" s="841"/>
      <c r="X82" s="841"/>
      <c r="Y82" s="833"/>
    </row>
    <row r="83" spans="1:25" s="843" customFormat="1" x14ac:dyDescent="0.3">
      <c r="A83" s="288"/>
      <c r="B83" s="833"/>
      <c r="C83" s="833"/>
      <c r="D83" s="833"/>
      <c r="E83" s="833"/>
      <c r="F83" s="833"/>
      <c r="G83" s="833"/>
      <c r="H83" s="833"/>
      <c r="I83" s="833"/>
      <c r="J83" s="833"/>
      <c r="K83" s="833"/>
      <c r="L83" s="833"/>
      <c r="M83" s="833"/>
      <c r="N83" s="833"/>
      <c r="O83" s="833"/>
      <c r="P83" s="841"/>
      <c r="Q83" s="841"/>
      <c r="R83" s="841"/>
      <c r="S83" s="841"/>
      <c r="T83" s="841"/>
      <c r="U83" s="841"/>
      <c r="V83" s="841"/>
      <c r="W83" s="841"/>
      <c r="X83" s="841"/>
      <c r="Y83" s="833"/>
    </row>
    <row r="84" spans="1:25" s="843" customFormat="1" x14ac:dyDescent="0.3">
      <c r="A84" s="288"/>
      <c r="B84" s="833"/>
      <c r="C84" s="833"/>
      <c r="D84" s="833"/>
      <c r="E84" s="833"/>
      <c r="F84" s="833"/>
      <c r="G84" s="833"/>
      <c r="H84" s="833"/>
      <c r="I84" s="833"/>
      <c r="J84" s="833"/>
      <c r="K84" s="833"/>
      <c r="L84" s="833"/>
      <c r="M84" s="833"/>
      <c r="N84" s="833"/>
      <c r="O84" s="833"/>
      <c r="P84" s="841"/>
      <c r="Q84" s="841"/>
      <c r="R84" s="841"/>
      <c r="S84" s="841"/>
      <c r="T84" s="841"/>
      <c r="U84" s="841"/>
      <c r="V84" s="841"/>
      <c r="W84" s="841"/>
      <c r="X84" s="841"/>
      <c r="Y84" s="833"/>
    </row>
    <row r="85" spans="1:25" s="843" customFormat="1" x14ac:dyDescent="0.3">
      <c r="A85" s="288"/>
      <c r="B85" s="833"/>
      <c r="C85" s="833"/>
      <c r="D85" s="833"/>
      <c r="E85" s="833"/>
      <c r="F85" s="833"/>
      <c r="G85" s="833"/>
      <c r="H85" s="833"/>
      <c r="I85" s="833"/>
      <c r="J85" s="833"/>
      <c r="K85" s="833"/>
      <c r="L85" s="833"/>
      <c r="M85" s="833"/>
      <c r="N85" s="833"/>
      <c r="O85" s="833"/>
      <c r="P85" s="841"/>
      <c r="Q85" s="841"/>
      <c r="R85" s="841"/>
      <c r="S85" s="841"/>
      <c r="T85" s="841"/>
      <c r="U85" s="841"/>
      <c r="V85" s="841"/>
      <c r="W85" s="841"/>
      <c r="X85" s="841"/>
      <c r="Y85" s="833"/>
    </row>
    <row r="86" spans="1:25" s="843" customFormat="1" x14ac:dyDescent="0.3">
      <c r="A86" s="288"/>
      <c r="B86" s="833"/>
      <c r="C86" s="833"/>
      <c r="D86" s="833"/>
      <c r="E86" s="833"/>
      <c r="F86" s="833"/>
      <c r="G86" s="833"/>
      <c r="H86" s="833"/>
      <c r="I86" s="833"/>
      <c r="J86" s="833"/>
      <c r="K86" s="833"/>
      <c r="L86" s="833"/>
      <c r="M86" s="833"/>
      <c r="N86" s="833"/>
      <c r="O86" s="833"/>
      <c r="P86" s="841"/>
      <c r="Q86" s="841"/>
      <c r="R86" s="841"/>
      <c r="S86" s="841"/>
      <c r="T86" s="841"/>
      <c r="U86" s="841"/>
      <c r="V86" s="841"/>
      <c r="W86" s="841"/>
      <c r="X86" s="841"/>
      <c r="Y86" s="833"/>
    </row>
    <row r="87" spans="1:25" s="843" customFormat="1" x14ac:dyDescent="0.3">
      <c r="A87" s="288"/>
      <c r="B87" s="833"/>
      <c r="P87" s="841"/>
      <c r="Q87" s="841"/>
      <c r="R87" s="841"/>
      <c r="S87" s="841"/>
      <c r="T87" s="841"/>
      <c r="U87" s="841"/>
      <c r="V87" s="841"/>
      <c r="W87" s="841"/>
      <c r="X87" s="841"/>
      <c r="Y87" s="833"/>
    </row>
    <row r="88" spans="1:25" s="843" customFormat="1" x14ac:dyDescent="0.3">
      <c r="A88" s="288"/>
      <c r="B88" s="833"/>
      <c r="D88" s="849"/>
      <c r="P88" s="841"/>
      <c r="Q88" s="841"/>
      <c r="R88" s="841"/>
      <c r="S88" s="841"/>
      <c r="T88" s="841"/>
      <c r="U88" s="841"/>
      <c r="V88" s="841"/>
      <c r="W88" s="841"/>
      <c r="X88" s="841"/>
      <c r="Y88" s="833"/>
    </row>
    <row r="89" spans="1:25" s="843" customFormat="1" x14ac:dyDescent="0.3">
      <c r="A89" s="288"/>
      <c r="B89" s="833"/>
      <c r="P89" s="841"/>
      <c r="Q89" s="841"/>
      <c r="R89" s="841"/>
      <c r="S89" s="841"/>
      <c r="T89" s="841"/>
      <c r="U89" s="841"/>
      <c r="V89" s="841"/>
      <c r="W89" s="841"/>
      <c r="X89" s="841"/>
      <c r="Y89" s="833"/>
    </row>
    <row r="90" spans="1:25" s="843" customFormat="1" x14ac:dyDescent="0.3">
      <c r="A90" s="288"/>
      <c r="B90" s="833"/>
      <c r="P90" s="841"/>
      <c r="Q90" s="841"/>
      <c r="R90" s="841"/>
      <c r="S90" s="841"/>
      <c r="T90" s="841"/>
      <c r="U90" s="841"/>
      <c r="V90" s="841"/>
      <c r="W90" s="841"/>
      <c r="X90" s="841"/>
      <c r="Y90" s="833"/>
    </row>
    <row r="91" spans="1:25" s="843" customFormat="1" x14ac:dyDescent="0.3">
      <c r="A91" s="288"/>
      <c r="B91" s="833"/>
      <c r="P91" s="841"/>
      <c r="Q91" s="841"/>
      <c r="R91" s="841"/>
      <c r="S91" s="841"/>
      <c r="T91" s="841"/>
      <c r="U91" s="841"/>
      <c r="V91" s="841"/>
      <c r="W91" s="841"/>
      <c r="X91" s="841"/>
      <c r="Y91" s="833"/>
    </row>
    <row r="92" spans="1:25" s="843" customFormat="1" x14ac:dyDescent="0.3">
      <c r="A92" s="288"/>
      <c r="B92" s="833"/>
      <c r="P92" s="841"/>
      <c r="Q92" s="841"/>
      <c r="R92" s="841"/>
      <c r="S92" s="841"/>
      <c r="T92" s="841"/>
      <c r="U92" s="841"/>
      <c r="V92" s="841"/>
      <c r="W92" s="841"/>
      <c r="X92" s="841"/>
      <c r="Y92" s="833"/>
    </row>
    <row r="93" spans="1:25" s="843" customFormat="1" x14ac:dyDescent="0.3">
      <c r="A93" s="288"/>
      <c r="B93" s="833"/>
      <c r="P93" s="841"/>
      <c r="Q93" s="841"/>
      <c r="R93" s="841"/>
      <c r="S93" s="841"/>
      <c r="T93" s="841"/>
      <c r="U93" s="841"/>
      <c r="V93" s="841"/>
      <c r="W93" s="841"/>
      <c r="X93" s="841"/>
      <c r="Y93" s="833"/>
    </row>
    <row r="94" spans="1:25" s="843" customFormat="1" x14ac:dyDescent="0.3">
      <c r="A94" s="288"/>
      <c r="B94" s="833"/>
      <c r="P94" s="841"/>
      <c r="Q94" s="841"/>
      <c r="R94" s="841"/>
      <c r="S94" s="841"/>
      <c r="T94" s="841"/>
      <c r="U94" s="841"/>
      <c r="V94" s="841"/>
      <c r="W94" s="841"/>
      <c r="X94" s="841"/>
      <c r="Y94" s="833"/>
    </row>
    <row r="95" spans="1:25" s="843" customFormat="1" x14ac:dyDescent="0.3">
      <c r="A95" s="288"/>
      <c r="B95" s="833"/>
      <c r="P95" s="841"/>
      <c r="Q95" s="841"/>
      <c r="R95" s="841"/>
      <c r="S95" s="841"/>
      <c r="T95" s="841"/>
      <c r="U95" s="841"/>
      <c r="V95" s="841"/>
      <c r="W95" s="841"/>
      <c r="X95" s="841"/>
      <c r="Y95" s="833"/>
    </row>
    <row r="96" spans="1:25" s="843" customFormat="1" x14ac:dyDescent="0.3">
      <c r="A96" s="288"/>
      <c r="B96" s="833"/>
      <c r="P96" s="841"/>
      <c r="Q96" s="841"/>
      <c r="R96" s="841"/>
      <c r="S96" s="841"/>
      <c r="T96" s="841"/>
      <c r="U96" s="841"/>
      <c r="V96" s="841"/>
      <c r="W96" s="841"/>
      <c r="X96" s="841"/>
      <c r="Y96" s="833"/>
    </row>
    <row r="97" spans="1:25" s="843" customFormat="1" x14ac:dyDescent="0.3">
      <c r="A97" s="288"/>
      <c r="B97" s="833"/>
      <c r="P97" s="841"/>
      <c r="Q97" s="841"/>
      <c r="R97" s="841"/>
      <c r="S97" s="841"/>
      <c r="T97" s="841"/>
      <c r="U97" s="841"/>
      <c r="V97" s="841"/>
      <c r="W97" s="841"/>
      <c r="X97" s="841"/>
      <c r="Y97" s="833"/>
    </row>
    <row r="98" spans="1:25" s="843" customFormat="1" x14ac:dyDescent="0.3">
      <c r="A98" s="288"/>
      <c r="B98" s="833"/>
      <c r="P98" s="841"/>
      <c r="Q98" s="841"/>
      <c r="R98" s="841"/>
      <c r="S98" s="841"/>
      <c r="T98" s="841"/>
      <c r="U98" s="841"/>
      <c r="V98" s="841"/>
      <c r="W98" s="841"/>
      <c r="X98" s="841"/>
      <c r="Y98" s="833"/>
    </row>
    <row r="99" spans="1:25" s="843" customFormat="1" x14ac:dyDescent="0.3">
      <c r="A99" s="288"/>
      <c r="B99" s="833"/>
      <c r="P99" s="841"/>
      <c r="Q99" s="841"/>
      <c r="R99" s="841"/>
      <c r="S99" s="841"/>
      <c r="T99" s="841"/>
      <c r="U99" s="841"/>
      <c r="V99" s="841"/>
      <c r="W99" s="841"/>
      <c r="X99" s="841"/>
      <c r="Y99" s="833"/>
    </row>
    <row r="100" spans="1:25" s="843" customFormat="1" x14ac:dyDescent="0.3">
      <c r="A100" s="288"/>
      <c r="B100" s="833"/>
      <c r="P100" s="841"/>
      <c r="Q100" s="841"/>
      <c r="R100" s="841"/>
      <c r="S100" s="841"/>
      <c r="T100" s="841"/>
      <c r="U100" s="841"/>
      <c r="V100" s="841"/>
      <c r="W100" s="841"/>
      <c r="X100" s="841"/>
      <c r="Y100" s="833"/>
    </row>
    <row r="101" spans="1:25" s="843" customFormat="1" x14ac:dyDescent="0.3">
      <c r="A101" s="288"/>
      <c r="B101" s="833"/>
      <c r="P101" s="841"/>
      <c r="Q101" s="841"/>
      <c r="R101" s="841"/>
      <c r="S101" s="841"/>
      <c r="T101" s="841"/>
      <c r="U101" s="841"/>
      <c r="V101" s="841"/>
      <c r="W101" s="841"/>
      <c r="X101" s="841"/>
      <c r="Y101" s="833"/>
    </row>
    <row r="102" spans="1:25" s="843" customFormat="1" x14ac:dyDescent="0.3">
      <c r="A102" s="288"/>
      <c r="B102" s="833"/>
      <c r="P102" s="841"/>
      <c r="Q102" s="841"/>
      <c r="R102" s="841"/>
      <c r="S102" s="841"/>
      <c r="T102" s="841"/>
      <c r="U102" s="841"/>
      <c r="V102" s="841"/>
      <c r="W102" s="841"/>
      <c r="X102" s="841"/>
      <c r="Y102" s="833"/>
    </row>
    <row r="103" spans="1:25" s="843" customFormat="1" x14ac:dyDescent="0.3">
      <c r="A103" s="288"/>
      <c r="B103" s="833"/>
      <c r="P103" s="841"/>
      <c r="Q103" s="841"/>
      <c r="R103" s="841"/>
      <c r="S103" s="841"/>
      <c r="T103" s="841"/>
      <c r="U103" s="841"/>
      <c r="V103" s="841"/>
      <c r="W103" s="841"/>
      <c r="X103" s="841"/>
      <c r="Y103" s="833"/>
    </row>
    <row r="104" spans="1:25" s="843" customFormat="1" x14ac:dyDescent="0.3">
      <c r="A104" s="288"/>
      <c r="B104" s="833"/>
      <c r="P104" s="841"/>
      <c r="Q104" s="841"/>
      <c r="R104" s="841"/>
      <c r="S104" s="841"/>
      <c r="T104" s="841"/>
      <c r="U104" s="841"/>
      <c r="V104" s="841"/>
      <c r="W104" s="841"/>
      <c r="X104" s="841"/>
      <c r="Y104" s="833"/>
    </row>
    <row r="105" spans="1:25" s="843" customFormat="1" x14ac:dyDescent="0.3">
      <c r="A105" s="288"/>
      <c r="B105" s="833"/>
      <c r="P105" s="841"/>
      <c r="Q105" s="841"/>
      <c r="R105" s="841"/>
      <c r="S105" s="841"/>
      <c r="T105" s="841"/>
      <c r="U105" s="841"/>
      <c r="V105" s="841"/>
      <c r="W105" s="841"/>
      <c r="X105" s="841"/>
      <c r="Y105" s="833"/>
    </row>
    <row r="106" spans="1:25" s="843" customFormat="1" x14ac:dyDescent="0.3">
      <c r="A106" s="288"/>
      <c r="B106" s="833"/>
      <c r="P106" s="841"/>
      <c r="Q106" s="841"/>
      <c r="R106" s="841"/>
      <c r="S106" s="841"/>
      <c r="T106" s="841"/>
      <c r="U106" s="841"/>
      <c r="V106" s="841"/>
      <c r="W106" s="841"/>
      <c r="X106" s="841"/>
      <c r="Y106" s="833"/>
    </row>
    <row r="107" spans="1:25" s="843" customFormat="1" x14ac:dyDescent="0.3">
      <c r="A107" s="288"/>
      <c r="B107" s="833"/>
      <c r="P107" s="841"/>
      <c r="Q107" s="841"/>
      <c r="R107" s="841"/>
      <c r="S107" s="841"/>
      <c r="T107" s="841"/>
      <c r="U107" s="841"/>
      <c r="V107" s="841"/>
      <c r="W107" s="841"/>
      <c r="X107" s="841"/>
      <c r="Y107" s="833"/>
    </row>
    <row r="108" spans="1:25" x14ac:dyDescent="0.3">
      <c r="P108" s="841"/>
      <c r="Q108" s="841"/>
      <c r="R108" s="841"/>
      <c r="S108" s="841"/>
      <c r="T108" s="841"/>
      <c r="U108" s="841"/>
      <c r="V108" s="841"/>
      <c r="W108" s="841"/>
      <c r="X108" s="841"/>
    </row>
    <row r="109" spans="1:25" x14ac:dyDescent="0.3">
      <c r="P109" s="841"/>
      <c r="Q109" s="841"/>
      <c r="R109" s="841"/>
      <c r="S109" s="841"/>
      <c r="T109" s="841"/>
      <c r="U109" s="841"/>
      <c r="V109" s="841"/>
      <c r="W109" s="841"/>
      <c r="X109" s="841"/>
    </row>
    <row r="110" spans="1:25" s="843" customFormat="1" x14ac:dyDescent="0.3">
      <c r="A110" s="288"/>
      <c r="B110" s="833"/>
      <c r="P110" s="841"/>
      <c r="Q110" s="841"/>
      <c r="R110" s="841"/>
      <c r="S110" s="841"/>
      <c r="T110" s="841"/>
      <c r="U110" s="841"/>
      <c r="V110" s="841"/>
      <c r="W110" s="841"/>
      <c r="X110" s="841"/>
      <c r="Y110" s="833"/>
    </row>
    <row r="111" spans="1:25" s="843" customFormat="1" x14ac:dyDescent="0.3">
      <c r="A111" s="288"/>
      <c r="B111" s="833"/>
      <c r="P111" s="841"/>
      <c r="Q111" s="841"/>
      <c r="R111" s="841"/>
      <c r="S111" s="841"/>
      <c r="T111" s="841"/>
      <c r="U111" s="841"/>
      <c r="V111" s="841"/>
      <c r="W111" s="841"/>
      <c r="X111" s="841"/>
      <c r="Y111" s="833"/>
    </row>
    <row r="112" spans="1:25" s="843" customFormat="1" x14ac:dyDescent="0.3">
      <c r="A112" s="288"/>
      <c r="B112" s="833"/>
      <c r="P112" s="841"/>
      <c r="Q112" s="841"/>
      <c r="R112" s="841"/>
      <c r="S112" s="841"/>
      <c r="T112" s="841"/>
      <c r="U112" s="841"/>
      <c r="V112" s="841"/>
      <c r="W112" s="841"/>
      <c r="X112" s="841"/>
      <c r="Y112" s="833"/>
    </row>
    <row r="113" spans="1:25" s="843" customFormat="1" x14ac:dyDescent="0.3">
      <c r="A113" s="288"/>
      <c r="B113" s="833"/>
      <c r="P113" s="841"/>
      <c r="Q113" s="841"/>
      <c r="R113" s="841"/>
      <c r="S113" s="841"/>
      <c r="T113" s="841"/>
      <c r="U113" s="841"/>
      <c r="V113" s="841"/>
      <c r="W113" s="841"/>
      <c r="X113" s="841"/>
      <c r="Y113" s="833"/>
    </row>
    <row r="114" spans="1:25" s="843" customFormat="1" x14ac:dyDescent="0.3">
      <c r="A114" s="288"/>
      <c r="B114" s="833"/>
      <c r="P114" s="841"/>
      <c r="Q114" s="841"/>
      <c r="R114" s="841"/>
      <c r="S114" s="841"/>
      <c r="T114" s="841"/>
      <c r="U114" s="841"/>
      <c r="V114" s="841"/>
      <c r="W114" s="841"/>
      <c r="X114" s="841"/>
      <c r="Y114" s="833"/>
    </row>
    <row r="115" spans="1:25" s="843" customFormat="1" x14ac:dyDescent="0.3">
      <c r="A115" s="288"/>
      <c r="B115" s="833"/>
      <c r="P115" s="841"/>
      <c r="Q115" s="841"/>
      <c r="R115" s="841"/>
      <c r="S115" s="841"/>
      <c r="T115" s="841"/>
      <c r="U115" s="841"/>
      <c r="V115" s="841"/>
      <c r="W115" s="841"/>
      <c r="X115" s="841"/>
      <c r="Y115" s="833"/>
    </row>
    <row r="116" spans="1:25" s="843" customFormat="1" x14ac:dyDescent="0.3">
      <c r="A116" s="288"/>
      <c r="B116" s="833"/>
      <c r="P116" s="841"/>
      <c r="Q116" s="841"/>
      <c r="R116" s="841"/>
      <c r="S116" s="841"/>
      <c r="T116" s="841"/>
      <c r="U116" s="841"/>
      <c r="V116" s="841"/>
      <c r="W116" s="841"/>
      <c r="X116" s="841"/>
      <c r="Y116" s="833"/>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G135"/>
  <sheetViews>
    <sheetView showGridLines="0" zoomScale="85" zoomScaleNormal="85" zoomScaleSheetLayoutView="86" workbookViewId="0"/>
  </sheetViews>
  <sheetFormatPr baseColWidth="10" defaultColWidth="11.44140625" defaultRowHeight="14.4" x14ac:dyDescent="0.3"/>
  <cols>
    <col min="1" max="1" width="10.44140625" style="405" bestFit="1" customWidth="1"/>
    <col min="2" max="2" width="49.77734375" style="833" customWidth="1"/>
    <col min="3" max="15" width="14.77734375" style="843" customWidth="1"/>
    <col min="16" max="16" width="19" style="833" bestFit="1" customWidth="1"/>
    <col min="17" max="16384" width="11.44140625" style="833"/>
  </cols>
  <sheetData>
    <row r="1" spans="1:33" ht="15" x14ac:dyDescent="0.3">
      <c r="A1" s="850" t="s">
        <v>216</v>
      </c>
      <c r="B1" s="831"/>
      <c r="C1" s="832"/>
      <c r="D1" s="832"/>
      <c r="E1" s="832"/>
      <c r="F1" s="832"/>
      <c r="G1" s="832"/>
      <c r="H1" s="832"/>
      <c r="I1" s="832"/>
      <c r="J1" s="832"/>
      <c r="K1" s="832"/>
      <c r="L1" s="832"/>
      <c r="M1" s="832"/>
      <c r="N1" s="832"/>
      <c r="O1" s="832"/>
    </row>
    <row r="2" spans="1:33" ht="15" customHeight="1" x14ac:dyDescent="0.3">
      <c r="A2" s="851"/>
      <c r="B2" s="4" t="s">
        <v>693</v>
      </c>
      <c r="C2" s="1234"/>
      <c r="D2" s="1234"/>
      <c r="E2" s="1234"/>
      <c r="F2" s="1234"/>
      <c r="G2" s="1234"/>
      <c r="H2" s="1234"/>
      <c r="I2" s="1234"/>
      <c r="J2" s="1234"/>
      <c r="K2" s="1234"/>
      <c r="L2" s="1234"/>
      <c r="M2" s="1234"/>
      <c r="N2" s="1234"/>
      <c r="O2" s="1234"/>
    </row>
    <row r="3" spans="1:33" ht="15" customHeight="1" x14ac:dyDescent="0.3">
      <c r="A3" s="851"/>
      <c r="B3" s="4" t="s">
        <v>299</v>
      </c>
      <c r="C3" s="1234"/>
      <c r="D3" s="1234"/>
      <c r="E3" s="1234"/>
      <c r="F3" s="1234"/>
      <c r="G3" s="1234"/>
      <c r="H3" s="1234"/>
      <c r="I3" s="1234"/>
      <c r="J3" s="1234"/>
      <c r="K3" s="1234"/>
      <c r="L3" s="1234"/>
      <c r="M3" s="1234"/>
      <c r="N3" s="1234"/>
      <c r="O3" s="1234"/>
    </row>
    <row r="4" spans="1:33" s="836" customFormat="1" x14ac:dyDescent="0.3">
      <c r="A4" s="630"/>
      <c r="B4" s="834"/>
      <c r="C4" s="832"/>
      <c r="D4" s="832"/>
      <c r="E4" s="832"/>
      <c r="F4" s="832"/>
      <c r="G4" s="832"/>
      <c r="H4" s="832"/>
      <c r="I4" s="832"/>
      <c r="J4" s="832"/>
      <c r="K4" s="832"/>
      <c r="L4" s="832"/>
      <c r="M4" s="832"/>
      <c r="N4" s="832"/>
      <c r="O4" s="832"/>
    </row>
    <row r="5" spans="1:33" s="836" customFormat="1" ht="15" thickBot="1" x14ac:dyDescent="0.35">
      <c r="A5" s="630"/>
      <c r="B5" s="834"/>
      <c r="C5" s="832"/>
      <c r="D5" s="832"/>
      <c r="E5" s="832"/>
      <c r="F5" s="832"/>
      <c r="G5" s="832"/>
      <c r="H5" s="832"/>
      <c r="I5" s="832"/>
      <c r="J5" s="832"/>
      <c r="K5" s="832"/>
      <c r="L5" s="832"/>
      <c r="M5" s="832"/>
      <c r="N5" s="832"/>
      <c r="O5" s="832"/>
    </row>
    <row r="6" spans="1:33" s="836" customFormat="1" ht="22.5" customHeight="1" thickBot="1" x14ac:dyDescent="0.35">
      <c r="A6" s="630"/>
      <c r="B6" s="1432" t="s">
        <v>652</v>
      </c>
      <c r="C6" s="1433"/>
      <c r="D6" s="1433"/>
      <c r="E6" s="1433"/>
      <c r="F6" s="1433"/>
      <c r="G6" s="1433"/>
      <c r="H6" s="1433"/>
      <c r="I6" s="1433"/>
      <c r="J6" s="1433"/>
      <c r="K6" s="1433"/>
      <c r="L6" s="1433"/>
      <c r="M6" s="1433"/>
      <c r="N6" s="1433"/>
      <c r="O6" s="1434"/>
    </row>
    <row r="7" spans="1:33" s="836" customFormat="1" x14ac:dyDescent="0.3">
      <c r="A7" s="630"/>
      <c r="B7" s="852"/>
      <c r="C7" s="853"/>
      <c r="D7" s="853"/>
      <c r="E7" s="853"/>
      <c r="F7" s="853"/>
      <c r="G7" s="853"/>
      <c r="H7" s="853"/>
      <c r="I7" s="853"/>
      <c r="J7" s="853"/>
      <c r="K7" s="853"/>
      <c r="L7" s="853"/>
      <c r="M7" s="853"/>
      <c r="N7" s="853"/>
      <c r="O7" s="853"/>
    </row>
    <row r="8" spans="1:33" s="836" customFormat="1" ht="15" thickBot="1" x14ac:dyDescent="0.35">
      <c r="A8" s="630"/>
      <c r="B8" s="290" t="s">
        <v>908</v>
      </c>
      <c r="C8" s="9"/>
      <c r="D8" s="9"/>
      <c r="E8" s="9"/>
      <c r="F8" s="9"/>
      <c r="G8" s="9"/>
      <c r="H8" s="9"/>
      <c r="I8" s="9"/>
      <c r="J8" s="9"/>
      <c r="K8" s="9"/>
      <c r="L8" s="9"/>
      <c r="M8" s="9"/>
      <c r="N8" s="9"/>
      <c r="O8" s="837"/>
    </row>
    <row r="9" spans="1:33" s="836" customFormat="1" ht="15.6" thickTop="1" thickBot="1" x14ac:dyDescent="0.35">
      <c r="A9" s="630"/>
      <c r="B9" s="838"/>
      <c r="C9" s="743">
        <v>44927</v>
      </c>
      <c r="D9" s="743">
        <v>44958</v>
      </c>
      <c r="E9" s="743">
        <v>44986</v>
      </c>
      <c r="F9" s="743">
        <v>45017</v>
      </c>
      <c r="G9" s="743">
        <v>45047</v>
      </c>
      <c r="H9" s="743">
        <v>45078</v>
      </c>
      <c r="I9" s="743">
        <v>45108</v>
      </c>
      <c r="J9" s="743">
        <v>45139</v>
      </c>
      <c r="K9" s="743">
        <v>45170</v>
      </c>
      <c r="L9" s="743">
        <v>45200</v>
      </c>
      <c r="M9" s="743">
        <v>45231</v>
      </c>
      <c r="N9" s="743">
        <v>45261</v>
      </c>
      <c r="O9" s="744">
        <v>2023</v>
      </c>
    </row>
    <row r="10" spans="1:33" s="836" customFormat="1" ht="15.6" thickTop="1" thickBot="1" x14ac:dyDescent="0.35">
      <c r="A10" s="630"/>
      <c r="B10" s="9"/>
      <c r="C10" s="9"/>
      <c r="D10" s="9"/>
      <c r="E10" s="9"/>
      <c r="F10" s="630"/>
      <c r="G10" s="630"/>
      <c r="H10" s="630"/>
      <c r="I10" s="630"/>
      <c r="J10" s="630"/>
      <c r="K10" s="630"/>
      <c r="L10" s="630"/>
      <c r="M10" s="630"/>
      <c r="N10" s="630"/>
      <c r="O10" s="630"/>
    </row>
    <row r="11" spans="1:33" s="836" customFormat="1" ht="15" thickBot="1" x14ac:dyDescent="0.35">
      <c r="A11" s="630"/>
      <c r="B11" s="1429" t="s">
        <v>621</v>
      </c>
      <c r="C11" s="1430"/>
      <c r="D11" s="1430"/>
      <c r="E11" s="1430"/>
      <c r="F11" s="1430"/>
      <c r="G11" s="1430"/>
      <c r="H11" s="1430"/>
      <c r="I11" s="1430"/>
      <c r="J11" s="1430"/>
      <c r="K11" s="1430"/>
      <c r="L11" s="1430"/>
      <c r="M11" s="1430"/>
      <c r="N11" s="1430"/>
      <c r="O11" s="1430"/>
    </row>
    <row r="12" spans="1:33" s="747" customFormat="1" ht="15" thickBot="1" x14ac:dyDescent="0.35">
      <c r="A12" s="630"/>
      <c r="B12" s="840"/>
      <c r="C12" s="630"/>
      <c r="D12" s="630"/>
      <c r="E12" s="630"/>
      <c r="F12" s="630"/>
      <c r="G12" s="630"/>
      <c r="H12" s="630"/>
      <c r="I12" s="630"/>
      <c r="J12" s="630"/>
      <c r="K12" s="630"/>
      <c r="L12" s="630"/>
      <c r="M12" s="630"/>
      <c r="N12" s="630"/>
      <c r="O12" s="630"/>
      <c r="P12" s="801"/>
    </row>
    <row r="13" spans="1:33" ht="15.6" thickBot="1" x14ac:dyDescent="0.35">
      <c r="B13" s="748" t="s">
        <v>59</v>
      </c>
      <c r="C13" s="749">
        <f>SUM(C14:C15)</f>
        <v>1102.8274788567023</v>
      </c>
      <c r="D13" s="749">
        <f t="shared" ref="D13:N13" si="0">SUM(D14:D15)</f>
        <v>319.09866806191388</v>
      </c>
      <c r="E13" s="749">
        <f t="shared" si="0"/>
        <v>226.7251645600067</v>
      </c>
      <c r="F13" s="749">
        <f t="shared" si="0"/>
        <v>205.6614101983044</v>
      </c>
      <c r="G13" s="749">
        <f t="shared" si="0"/>
        <v>209.09994962165956</v>
      </c>
      <c r="H13" s="749">
        <f t="shared" si="0"/>
        <v>300.56128243364799</v>
      </c>
      <c r="I13" s="749">
        <f t="shared" si="0"/>
        <v>1098.8062399583723</v>
      </c>
      <c r="J13" s="749">
        <f t="shared" si="0"/>
        <v>144.59705278038879</v>
      </c>
      <c r="K13" s="749">
        <f t="shared" si="0"/>
        <v>160.3255231659532</v>
      </c>
      <c r="L13" s="749">
        <f t="shared" si="0"/>
        <v>200.77268746577957</v>
      </c>
      <c r="M13" s="749">
        <f t="shared" si="0"/>
        <v>109.15218795280315</v>
      </c>
      <c r="N13" s="749">
        <f t="shared" si="0"/>
        <v>297.00414627036605</v>
      </c>
      <c r="O13" s="750">
        <f>SUM(C13:N13)</f>
        <v>4374.6317913258981</v>
      </c>
      <c r="P13" s="1224"/>
      <c r="Q13" s="841"/>
      <c r="R13" s="841"/>
      <c r="S13" s="841"/>
      <c r="T13" s="841"/>
      <c r="U13" s="841"/>
      <c r="V13" s="841"/>
      <c r="W13" s="841"/>
      <c r="X13" s="841"/>
      <c r="Y13" s="841"/>
      <c r="Z13" s="841"/>
      <c r="AA13" s="841"/>
      <c r="AB13" s="841"/>
      <c r="AC13" s="841"/>
      <c r="AD13" s="841"/>
      <c r="AE13" s="841"/>
      <c r="AF13" s="841"/>
      <c r="AG13" s="841"/>
    </row>
    <row r="14" spans="1:33" x14ac:dyDescent="0.3">
      <c r="B14" s="854" t="s">
        <v>580</v>
      </c>
      <c r="C14" s="803">
        <v>0</v>
      </c>
      <c r="D14" s="803">
        <v>0</v>
      </c>
      <c r="E14" s="803">
        <v>0</v>
      </c>
      <c r="F14" s="803">
        <v>0</v>
      </c>
      <c r="G14" s="803">
        <v>0</v>
      </c>
      <c r="H14" s="803">
        <v>0</v>
      </c>
      <c r="I14" s="803">
        <v>0</v>
      </c>
      <c r="J14" s="803">
        <v>0</v>
      </c>
      <c r="K14" s="803">
        <v>0</v>
      </c>
      <c r="L14" s="803">
        <v>0</v>
      </c>
      <c r="M14" s="803">
        <v>0</v>
      </c>
      <c r="N14" s="803">
        <v>0</v>
      </c>
      <c r="O14" s="803">
        <f>SUM(C14:N14)</f>
        <v>0</v>
      </c>
      <c r="P14" s="841"/>
      <c r="Q14" s="841"/>
      <c r="R14" s="841"/>
      <c r="S14" s="841"/>
      <c r="T14" s="841"/>
      <c r="U14" s="841"/>
      <c r="V14" s="841"/>
      <c r="W14" s="841"/>
      <c r="X14" s="841"/>
      <c r="Y14" s="841"/>
      <c r="Z14" s="841"/>
      <c r="AA14" s="841"/>
      <c r="AB14" s="841"/>
      <c r="AC14" s="841"/>
      <c r="AD14" s="841"/>
      <c r="AE14" s="841"/>
      <c r="AF14" s="841"/>
      <c r="AG14" s="841"/>
    </row>
    <row r="15" spans="1:33" x14ac:dyDescent="0.3">
      <c r="B15" s="854" t="s">
        <v>581</v>
      </c>
      <c r="C15" s="803">
        <v>1102.8274788567023</v>
      </c>
      <c r="D15" s="803">
        <v>319.09866806191388</v>
      </c>
      <c r="E15" s="803">
        <v>226.7251645600067</v>
      </c>
      <c r="F15" s="803">
        <v>205.6614101983044</v>
      </c>
      <c r="G15" s="803">
        <v>209.09994962165956</v>
      </c>
      <c r="H15" s="803">
        <v>300.56128243364799</v>
      </c>
      <c r="I15" s="803">
        <v>1098.8062399583723</v>
      </c>
      <c r="J15" s="803">
        <v>144.59705278038879</v>
      </c>
      <c r="K15" s="803">
        <v>160.3255231659532</v>
      </c>
      <c r="L15" s="803">
        <v>200.77268746577957</v>
      </c>
      <c r="M15" s="803">
        <v>109.15218795280315</v>
      </c>
      <c r="N15" s="803">
        <v>297.00414627036605</v>
      </c>
      <c r="O15" s="803">
        <f>SUM(C15:N15)</f>
        <v>4374.6317913258981</v>
      </c>
      <c r="P15" s="841"/>
      <c r="Q15" s="841"/>
      <c r="R15" s="841"/>
      <c r="S15" s="841"/>
      <c r="T15" s="841"/>
      <c r="U15" s="841"/>
      <c r="V15" s="841"/>
      <c r="W15" s="841"/>
      <c r="X15" s="841"/>
      <c r="Y15" s="841"/>
      <c r="Z15" s="841"/>
      <c r="AA15" s="841"/>
      <c r="AB15" s="841"/>
      <c r="AC15" s="841"/>
      <c r="AD15" s="841"/>
      <c r="AE15" s="841"/>
      <c r="AF15" s="841"/>
      <c r="AG15" s="841"/>
    </row>
    <row r="16" spans="1:33" s="747" customFormat="1" ht="15" thickBot="1" x14ac:dyDescent="0.35">
      <c r="A16" s="405"/>
      <c r="B16" s="59"/>
      <c r="C16" s="855"/>
      <c r="D16" s="855"/>
      <c r="E16" s="855"/>
      <c r="F16" s="855"/>
      <c r="G16" s="855"/>
      <c r="H16" s="855"/>
      <c r="I16" s="855"/>
      <c r="J16" s="855"/>
      <c r="K16" s="855"/>
      <c r="L16" s="855"/>
      <c r="M16" s="855"/>
      <c r="N16" s="856"/>
      <c r="O16" s="855"/>
      <c r="P16" s="841"/>
      <c r="Q16" s="841"/>
      <c r="R16" s="841"/>
      <c r="S16" s="841"/>
      <c r="T16" s="841"/>
      <c r="U16" s="841"/>
      <c r="V16" s="841"/>
      <c r="W16" s="841"/>
      <c r="X16" s="841"/>
      <c r="Y16" s="841"/>
      <c r="Z16" s="841"/>
      <c r="AA16" s="841"/>
      <c r="AB16" s="841"/>
      <c r="AC16" s="841"/>
      <c r="AD16" s="841"/>
      <c r="AE16" s="841"/>
      <c r="AF16" s="841"/>
      <c r="AG16" s="841"/>
    </row>
    <row r="17" spans="1:33" s="843" customFormat="1" ht="15" thickBot="1" x14ac:dyDescent="0.35">
      <c r="A17" s="405"/>
      <c r="B17" s="779" t="s">
        <v>52</v>
      </c>
      <c r="C17" s="755">
        <f t="shared" ref="C17:N17" si="1">+C18+C23+C25+C27+C28+C31</f>
        <v>59.061219320890153</v>
      </c>
      <c r="D17" s="755">
        <f t="shared" si="1"/>
        <v>214.67304331374356</v>
      </c>
      <c r="E17" s="755">
        <f t="shared" si="1"/>
        <v>89.902172504977671</v>
      </c>
      <c r="F17" s="755">
        <f t="shared" si="1"/>
        <v>47.06810523442838</v>
      </c>
      <c r="G17" s="755">
        <f t="shared" si="1"/>
        <v>185.06801618627918</v>
      </c>
      <c r="H17" s="755">
        <f t="shared" si="1"/>
        <v>52.529642469933307</v>
      </c>
      <c r="I17" s="755">
        <f t="shared" si="1"/>
        <v>55.280216826871523</v>
      </c>
      <c r="J17" s="755">
        <f t="shared" si="1"/>
        <v>97.081649915837829</v>
      </c>
      <c r="K17" s="755">
        <f t="shared" si="1"/>
        <v>87.809963194336348</v>
      </c>
      <c r="L17" s="755">
        <f t="shared" si="1"/>
        <v>45.55123929114319</v>
      </c>
      <c r="M17" s="755">
        <f t="shared" si="1"/>
        <v>85.762986618049155</v>
      </c>
      <c r="N17" s="755">
        <f t="shared" si="1"/>
        <v>49.46650788120553</v>
      </c>
      <c r="O17" s="780">
        <f t="shared" ref="O17:O25" si="2">SUM(C17:N17)</f>
        <v>1069.2547627576955</v>
      </c>
      <c r="P17" s="841"/>
      <c r="Q17" s="841"/>
      <c r="R17" s="841"/>
      <c r="S17" s="841"/>
      <c r="T17" s="841"/>
      <c r="U17" s="841"/>
      <c r="V17" s="841"/>
      <c r="W17" s="841"/>
      <c r="X17" s="841"/>
      <c r="Y17" s="841"/>
      <c r="Z17" s="841"/>
      <c r="AA17" s="841"/>
      <c r="AB17" s="841"/>
      <c r="AC17" s="841"/>
      <c r="AD17" s="841"/>
      <c r="AE17" s="841"/>
      <c r="AF17" s="841"/>
      <c r="AG17" s="841"/>
    </row>
    <row r="18" spans="1:33" s="843" customFormat="1" x14ac:dyDescent="0.3">
      <c r="A18" s="405"/>
      <c r="B18" s="857" t="s">
        <v>62</v>
      </c>
      <c r="C18" s="858">
        <f>+SUM(C19:C22)</f>
        <v>27.681495629999993</v>
      </c>
      <c r="D18" s="858">
        <f t="shared" ref="D18:N18" si="3">+SUM(D19:D22)</f>
        <v>208.30800261141303</v>
      </c>
      <c r="E18" s="858">
        <f t="shared" si="3"/>
        <v>80.603079810000011</v>
      </c>
      <c r="F18" s="858">
        <f t="shared" si="3"/>
        <v>39.139812285955209</v>
      </c>
      <c r="G18" s="858">
        <f t="shared" si="3"/>
        <v>178.1314781453394</v>
      </c>
      <c r="H18" s="858">
        <f t="shared" si="3"/>
        <v>28.022132795578813</v>
      </c>
      <c r="I18" s="858">
        <f t="shared" si="3"/>
        <v>26.190862630000005</v>
      </c>
      <c r="J18" s="858">
        <f t="shared" si="3"/>
        <v>91.433950605172029</v>
      </c>
      <c r="K18" s="858">
        <f t="shared" si="3"/>
        <v>78.829972150000003</v>
      </c>
      <c r="L18" s="858">
        <f t="shared" si="3"/>
        <v>38.155504953806862</v>
      </c>
      <c r="M18" s="858">
        <f t="shared" si="3"/>
        <v>79.02608825843248</v>
      </c>
      <c r="N18" s="858">
        <f t="shared" si="3"/>
        <v>26.655324892082323</v>
      </c>
      <c r="O18" s="858">
        <f t="shared" si="2"/>
        <v>902.17770476778026</v>
      </c>
      <c r="P18" s="841"/>
      <c r="Q18" s="841"/>
      <c r="R18" s="841"/>
      <c r="S18" s="841"/>
      <c r="T18" s="841"/>
      <c r="U18" s="841"/>
      <c r="V18" s="841"/>
      <c r="W18" s="841"/>
      <c r="X18" s="841"/>
      <c r="Y18" s="841"/>
      <c r="Z18" s="841"/>
      <c r="AA18" s="841"/>
      <c r="AB18" s="841"/>
      <c r="AC18" s="841"/>
      <c r="AD18" s="841"/>
      <c r="AE18" s="841"/>
      <c r="AF18" s="841"/>
      <c r="AG18" s="841"/>
    </row>
    <row r="19" spans="1:33" s="843" customFormat="1" x14ac:dyDescent="0.3">
      <c r="A19" s="405"/>
      <c r="B19" s="758" t="s">
        <v>63</v>
      </c>
      <c r="C19" s="759">
        <v>2.9108292500000004</v>
      </c>
      <c r="D19" s="759">
        <v>1.8333742300000004</v>
      </c>
      <c r="E19" s="759">
        <v>16.839084209999999</v>
      </c>
      <c r="F19" s="759">
        <v>14.999129589999999</v>
      </c>
      <c r="G19" s="759">
        <v>6.6652128199999998</v>
      </c>
      <c r="H19" s="759">
        <v>15.918443890000002</v>
      </c>
      <c r="I19" s="759">
        <v>2.9032423299999999</v>
      </c>
      <c r="J19" s="759">
        <v>1.7845148199999998</v>
      </c>
      <c r="K19" s="759">
        <v>16.679553720000001</v>
      </c>
      <c r="L19" s="759">
        <v>14.909472670000001</v>
      </c>
      <c r="M19" s="759">
        <v>6.7053068300000005</v>
      </c>
      <c r="N19" s="759">
        <v>15.670100329999999</v>
      </c>
      <c r="O19" s="759">
        <f t="shared" si="2"/>
        <v>117.81826468999999</v>
      </c>
      <c r="P19" s="841"/>
      <c r="Q19" s="841"/>
      <c r="R19" s="841"/>
      <c r="S19" s="841"/>
      <c r="T19" s="841"/>
      <c r="U19" s="841"/>
      <c r="V19" s="841"/>
      <c r="W19" s="841"/>
      <c r="X19" s="841"/>
      <c r="Y19" s="841"/>
      <c r="Z19" s="841"/>
      <c r="AA19" s="841"/>
      <c r="AB19" s="841"/>
      <c r="AC19" s="841"/>
      <c r="AD19" s="841"/>
      <c r="AE19" s="841"/>
      <c r="AF19" s="841"/>
      <c r="AG19" s="841"/>
    </row>
    <row r="20" spans="1:33" s="843" customFormat="1" x14ac:dyDescent="0.3">
      <c r="A20" s="405"/>
      <c r="B20" s="760" t="s">
        <v>64</v>
      </c>
      <c r="C20" s="769">
        <v>18.124019259999997</v>
      </c>
      <c r="D20" s="769">
        <v>9.9315434571232881</v>
      </c>
      <c r="E20" s="769">
        <v>54.283511550000007</v>
      </c>
      <c r="F20" s="769">
        <v>17.156176179999999</v>
      </c>
      <c r="G20" s="769">
        <v>38.484090809999977</v>
      </c>
      <c r="H20" s="769">
        <v>4.0581463199999996</v>
      </c>
      <c r="I20" s="769">
        <v>17.177008220000005</v>
      </c>
      <c r="J20" s="769">
        <v>9.2483471128767114</v>
      </c>
      <c r="K20" s="769">
        <v>53.118286479999995</v>
      </c>
      <c r="L20" s="769">
        <v>16.486577660000002</v>
      </c>
      <c r="M20" s="769">
        <v>37.434907810000013</v>
      </c>
      <c r="N20" s="769">
        <v>3.7752421100000002</v>
      </c>
      <c r="O20" s="761">
        <f t="shared" si="2"/>
        <v>279.27785697000002</v>
      </c>
      <c r="P20" s="841"/>
      <c r="Q20" s="841"/>
      <c r="R20" s="841"/>
      <c r="S20" s="841"/>
      <c r="T20" s="841"/>
      <c r="U20" s="841"/>
      <c r="V20" s="841"/>
      <c r="W20" s="841"/>
      <c r="X20" s="841"/>
      <c r="Y20" s="841"/>
      <c r="Z20" s="841"/>
      <c r="AA20" s="841"/>
      <c r="AB20" s="841"/>
      <c r="AC20" s="841"/>
      <c r="AD20" s="841"/>
      <c r="AE20" s="841"/>
      <c r="AF20" s="841"/>
      <c r="AG20" s="841"/>
    </row>
    <row r="21" spans="1:33" s="843" customFormat="1" x14ac:dyDescent="0.3">
      <c r="A21" s="405"/>
      <c r="B21" s="763" t="s">
        <v>578</v>
      </c>
      <c r="C21" s="769">
        <v>0</v>
      </c>
      <c r="D21" s="769">
        <v>188.23583903428974</v>
      </c>
      <c r="E21" s="769">
        <v>0</v>
      </c>
      <c r="F21" s="769">
        <v>0</v>
      </c>
      <c r="G21" s="769">
        <v>126.0162155353394</v>
      </c>
      <c r="H21" s="769">
        <v>0</v>
      </c>
      <c r="I21" s="769">
        <v>0</v>
      </c>
      <c r="J21" s="769">
        <v>73.183725682295318</v>
      </c>
      <c r="K21" s="769">
        <v>0</v>
      </c>
      <c r="L21" s="769">
        <v>0</v>
      </c>
      <c r="M21" s="769">
        <v>28.056138558432469</v>
      </c>
      <c r="N21" s="769">
        <v>0</v>
      </c>
      <c r="O21" s="761">
        <f t="shared" si="2"/>
        <v>415.49191881035694</v>
      </c>
      <c r="P21" s="841"/>
      <c r="Q21" s="841"/>
      <c r="R21" s="841"/>
      <c r="S21" s="841"/>
      <c r="T21" s="841"/>
      <c r="U21" s="841"/>
      <c r="V21" s="841"/>
      <c r="W21" s="841"/>
      <c r="X21" s="841"/>
      <c r="Y21" s="841"/>
      <c r="Z21" s="841"/>
      <c r="AA21" s="841"/>
      <c r="AB21" s="841"/>
      <c r="AC21" s="841"/>
      <c r="AD21" s="841"/>
      <c r="AE21" s="841"/>
      <c r="AF21" s="841"/>
      <c r="AG21" s="841"/>
    </row>
    <row r="22" spans="1:33" s="844" customFormat="1" x14ac:dyDescent="0.3">
      <c r="A22" s="405"/>
      <c r="B22" s="768" t="s">
        <v>65</v>
      </c>
      <c r="C22" s="808">
        <v>6.646647119999999</v>
      </c>
      <c r="D22" s="808">
        <v>8.3072458900000008</v>
      </c>
      <c r="E22" s="808">
        <v>9.4804840499999994</v>
      </c>
      <c r="F22" s="808">
        <v>6.9845065159552133</v>
      </c>
      <c r="G22" s="808">
        <v>6.9659589799999999</v>
      </c>
      <c r="H22" s="808">
        <v>8.0455425855788114</v>
      </c>
      <c r="I22" s="808">
        <v>6.110612080000001</v>
      </c>
      <c r="J22" s="808">
        <v>7.2173629899999989</v>
      </c>
      <c r="K22" s="808">
        <v>9.0321319500000001</v>
      </c>
      <c r="L22" s="808">
        <v>6.7594546238068594</v>
      </c>
      <c r="M22" s="808">
        <v>6.8297350600000009</v>
      </c>
      <c r="N22" s="808">
        <v>7.2099824520823264</v>
      </c>
      <c r="O22" s="761">
        <f t="shared" si="2"/>
        <v>89.589664297423226</v>
      </c>
      <c r="P22" s="841"/>
      <c r="Q22" s="841"/>
      <c r="R22" s="841"/>
      <c r="S22" s="841"/>
      <c r="T22" s="841"/>
      <c r="U22" s="841"/>
      <c r="V22" s="841"/>
      <c r="W22" s="841"/>
      <c r="X22" s="841"/>
      <c r="Y22" s="841"/>
      <c r="Z22" s="841"/>
      <c r="AA22" s="841"/>
      <c r="AB22" s="841"/>
      <c r="AC22" s="841"/>
      <c r="AD22" s="841"/>
      <c r="AE22" s="841"/>
      <c r="AF22" s="841"/>
      <c r="AG22" s="841"/>
    </row>
    <row r="23" spans="1:33" s="844" customFormat="1" x14ac:dyDescent="0.3">
      <c r="A23" s="405"/>
      <c r="B23" s="859" t="s">
        <v>66</v>
      </c>
      <c r="C23" s="860">
        <f t="shared" ref="C23:N23" si="4">SUM(C24:C24)</f>
        <v>3.2065200760575823</v>
      </c>
      <c r="D23" s="860">
        <f t="shared" si="4"/>
        <v>3.2065200760575823</v>
      </c>
      <c r="E23" s="860">
        <f t="shared" si="4"/>
        <v>2.9746257405873853</v>
      </c>
      <c r="F23" s="860">
        <f t="shared" si="4"/>
        <v>3.2065200760575823</v>
      </c>
      <c r="G23" s="860">
        <f t="shared" si="4"/>
        <v>3.1292219667413557</v>
      </c>
      <c r="H23" s="860">
        <f t="shared" si="4"/>
        <v>3.2065200760575823</v>
      </c>
      <c r="I23" s="860">
        <f t="shared" si="4"/>
        <v>3.1292219667413557</v>
      </c>
      <c r="J23" s="860">
        <f t="shared" si="4"/>
        <v>3.2065200760575823</v>
      </c>
      <c r="K23" s="860">
        <f t="shared" si="4"/>
        <v>3.2065200760575823</v>
      </c>
      <c r="L23" s="860">
        <f t="shared" si="4"/>
        <v>3.1292219667413557</v>
      </c>
      <c r="M23" s="860">
        <f t="shared" si="4"/>
        <v>3.2065200760575823</v>
      </c>
      <c r="N23" s="860">
        <f t="shared" si="4"/>
        <v>3.1292219667413557</v>
      </c>
      <c r="O23" s="861">
        <f t="shared" si="2"/>
        <v>37.937154139955879</v>
      </c>
      <c r="P23" s="841"/>
      <c r="Q23" s="841"/>
      <c r="R23" s="841"/>
      <c r="S23" s="841"/>
      <c r="T23" s="841"/>
      <c r="U23" s="841"/>
      <c r="V23" s="841"/>
      <c r="W23" s="841"/>
      <c r="X23" s="841"/>
      <c r="Y23" s="841"/>
      <c r="Z23" s="841"/>
      <c r="AA23" s="841"/>
      <c r="AB23" s="841"/>
      <c r="AC23" s="841"/>
      <c r="AD23" s="841"/>
      <c r="AE23" s="841"/>
      <c r="AF23" s="841"/>
      <c r="AG23" s="841"/>
    </row>
    <row r="24" spans="1:33" s="843" customFormat="1" x14ac:dyDescent="0.3">
      <c r="A24" s="405"/>
      <c r="B24" s="758" t="s">
        <v>67</v>
      </c>
      <c r="C24" s="766">
        <v>3.2065200760575823</v>
      </c>
      <c r="D24" s="766">
        <v>3.2065200760575823</v>
      </c>
      <c r="E24" s="766">
        <v>2.9746257405873853</v>
      </c>
      <c r="F24" s="766">
        <v>3.2065200760575823</v>
      </c>
      <c r="G24" s="766">
        <v>3.1292219667413557</v>
      </c>
      <c r="H24" s="766">
        <v>3.2065200760575823</v>
      </c>
      <c r="I24" s="766">
        <v>3.1292219667413557</v>
      </c>
      <c r="J24" s="766">
        <v>3.2065200760575823</v>
      </c>
      <c r="K24" s="766">
        <v>3.2065200760575823</v>
      </c>
      <c r="L24" s="759">
        <v>3.1292219667413557</v>
      </c>
      <c r="M24" s="766">
        <v>3.2065200760575823</v>
      </c>
      <c r="N24" s="766">
        <v>3.1292219667413557</v>
      </c>
      <c r="O24" s="759">
        <f t="shared" si="2"/>
        <v>37.937154139955879</v>
      </c>
      <c r="P24" s="841"/>
      <c r="Q24" s="841"/>
      <c r="R24" s="841"/>
      <c r="S24" s="841"/>
      <c r="T24" s="841"/>
      <c r="U24" s="841"/>
      <c r="V24" s="841"/>
      <c r="W24" s="841"/>
      <c r="X24" s="841"/>
      <c r="Y24" s="841"/>
      <c r="Z24" s="841"/>
      <c r="AA24" s="841"/>
      <c r="AB24" s="841"/>
      <c r="AC24" s="841"/>
      <c r="AD24" s="841"/>
      <c r="AE24" s="841"/>
      <c r="AF24" s="841"/>
      <c r="AG24" s="841"/>
    </row>
    <row r="25" spans="1:33" s="844" customFormat="1" x14ac:dyDescent="0.3">
      <c r="A25" s="405"/>
      <c r="B25" s="859" t="s">
        <v>68</v>
      </c>
      <c r="C25" s="860">
        <f>+C26</f>
        <v>6.2811338190240318E-2</v>
      </c>
      <c r="D25" s="860">
        <f t="shared" ref="D25:N25" si="5">+D26</f>
        <v>0.14681512288863177</v>
      </c>
      <c r="E25" s="860">
        <f t="shared" si="5"/>
        <v>7.280935196747496E-4</v>
      </c>
      <c r="F25" s="860">
        <f t="shared" si="5"/>
        <v>0.79898528743587571</v>
      </c>
      <c r="G25" s="860">
        <f t="shared" si="5"/>
        <v>1.4919644091421795</v>
      </c>
      <c r="H25" s="860">
        <f t="shared" si="5"/>
        <v>8.3194211364890386E-2</v>
      </c>
      <c r="I25" s="860">
        <f t="shared" si="5"/>
        <v>5.1242815458640636E-2</v>
      </c>
      <c r="J25" s="860">
        <f t="shared" si="5"/>
        <v>0.12341172607766429</v>
      </c>
      <c r="K25" s="860">
        <f t="shared" si="5"/>
        <v>4.663060839262378E-4</v>
      </c>
      <c r="L25" s="860">
        <f t="shared" si="5"/>
        <v>0.75412215581086905</v>
      </c>
      <c r="M25" s="860">
        <f t="shared" si="5"/>
        <v>1.3492804874747832</v>
      </c>
      <c r="N25" s="860">
        <f t="shared" si="5"/>
        <v>7.3160843156671998E-2</v>
      </c>
      <c r="O25" s="861">
        <f t="shared" si="2"/>
        <v>4.9361827966040481</v>
      </c>
      <c r="P25" s="841"/>
      <c r="Q25" s="841"/>
      <c r="R25" s="841"/>
      <c r="S25" s="841"/>
      <c r="T25" s="841"/>
      <c r="U25" s="841"/>
      <c r="V25" s="841"/>
      <c r="W25" s="841"/>
      <c r="X25" s="841"/>
      <c r="Y25" s="841"/>
      <c r="Z25" s="841"/>
      <c r="AA25" s="841"/>
      <c r="AB25" s="841"/>
      <c r="AC25" s="841"/>
      <c r="AD25" s="841"/>
      <c r="AE25" s="841"/>
      <c r="AF25" s="841"/>
      <c r="AG25" s="841"/>
    </row>
    <row r="26" spans="1:33" s="844" customFormat="1" x14ac:dyDescent="0.3">
      <c r="A26" s="405"/>
      <c r="B26" s="760" t="s">
        <v>69</v>
      </c>
      <c r="C26" s="769">
        <v>6.2811338190240318E-2</v>
      </c>
      <c r="D26" s="769">
        <v>0.14681512288863177</v>
      </c>
      <c r="E26" s="769">
        <v>7.280935196747496E-4</v>
      </c>
      <c r="F26" s="769">
        <v>0.79898528743587571</v>
      </c>
      <c r="G26" s="769">
        <v>1.4919644091421795</v>
      </c>
      <c r="H26" s="769">
        <v>8.3194211364890386E-2</v>
      </c>
      <c r="I26" s="769">
        <v>5.1242815458640636E-2</v>
      </c>
      <c r="J26" s="769">
        <v>0.12341172607766429</v>
      </c>
      <c r="K26" s="769">
        <v>4.663060839262378E-4</v>
      </c>
      <c r="L26" s="769">
        <v>0.75412215581086905</v>
      </c>
      <c r="M26" s="769">
        <v>1.3492804874747832</v>
      </c>
      <c r="N26" s="769">
        <v>7.3160843156671998E-2</v>
      </c>
      <c r="O26" s="761">
        <f>SUM(C26:N26)</f>
        <v>4.9361827966040481</v>
      </c>
      <c r="P26" s="841"/>
      <c r="Q26" s="841"/>
      <c r="R26" s="841"/>
      <c r="S26" s="841"/>
      <c r="T26" s="841"/>
      <c r="U26" s="841"/>
      <c r="V26" s="841"/>
      <c r="W26" s="841"/>
      <c r="X26" s="841"/>
      <c r="Y26" s="841"/>
      <c r="Z26" s="841"/>
      <c r="AA26" s="841"/>
      <c r="AB26" s="841"/>
      <c r="AC26" s="841"/>
      <c r="AD26" s="841"/>
      <c r="AE26" s="841"/>
      <c r="AF26" s="841"/>
      <c r="AG26" s="841"/>
    </row>
    <row r="27" spans="1:33" s="9" customFormat="1" x14ac:dyDescent="0.3">
      <c r="A27" s="405"/>
      <c r="B27" s="859" t="s">
        <v>70</v>
      </c>
      <c r="C27" s="860">
        <v>25.599148750000001</v>
      </c>
      <c r="D27" s="860">
        <v>0.10797777078091815</v>
      </c>
      <c r="E27" s="860">
        <v>0.12976483191327379</v>
      </c>
      <c r="F27" s="860">
        <v>1.6613468585077005</v>
      </c>
      <c r="G27" s="860">
        <v>0.3440552368323806</v>
      </c>
      <c r="H27" s="860">
        <v>19.121065872528135</v>
      </c>
      <c r="I27" s="860">
        <v>23.580132659999997</v>
      </c>
      <c r="J27" s="860">
        <v>0.10514691456461363</v>
      </c>
      <c r="K27" s="860">
        <v>0.12790092649784837</v>
      </c>
      <c r="L27" s="861">
        <v>1.5915024094313082</v>
      </c>
      <c r="M27" s="860">
        <v>0.2708393727266365</v>
      </c>
      <c r="N27" s="860">
        <v>17.70934717679209</v>
      </c>
      <c r="O27" s="861">
        <f t="shared" ref="O27:O31" si="6">SUM(C27:N27)</f>
        <v>90.348228780574914</v>
      </c>
      <c r="P27" s="841"/>
      <c r="Q27" s="841"/>
      <c r="R27" s="841"/>
      <c r="S27" s="841"/>
      <c r="T27" s="841"/>
      <c r="U27" s="841"/>
      <c r="V27" s="841"/>
      <c r="W27" s="841"/>
      <c r="X27" s="841"/>
      <c r="Y27" s="841"/>
      <c r="Z27" s="841"/>
      <c r="AA27" s="841"/>
      <c r="AB27" s="841"/>
      <c r="AC27" s="841"/>
      <c r="AD27" s="841"/>
      <c r="AE27" s="841"/>
      <c r="AF27" s="841"/>
      <c r="AG27" s="841"/>
    </row>
    <row r="28" spans="1:33" s="9" customFormat="1" x14ac:dyDescent="0.3">
      <c r="A28" s="405"/>
      <c r="B28" s="859" t="s">
        <v>360</v>
      </c>
      <c r="C28" s="860">
        <f>+C29</f>
        <v>0</v>
      </c>
      <c r="D28" s="860">
        <f t="shared" ref="D28:N29" si="7">+D29</f>
        <v>0</v>
      </c>
      <c r="E28" s="860">
        <f t="shared" si="7"/>
        <v>3.3506060688113517</v>
      </c>
      <c r="F28" s="860">
        <f t="shared" si="7"/>
        <v>0</v>
      </c>
      <c r="G28" s="860">
        <f t="shared" si="7"/>
        <v>0</v>
      </c>
      <c r="H28" s="860">
        <f t="shared" si="7"/>
        <v>0</v>
      </c>
      <c r="I28" s="860">
        <f t="shared" si="7"/>
        <v>0</v>
      </c>
      <c r="J28" s="860">
        <f t="shared" si="7"/>
        <v>0</v>
      </c>
      <c r="K28" s="860">
        <f t="shared" si="7"/>
        <v>3.3506060688113517</v>
      </c>
      <c r="L28" s="860">
        <f t="shared" si="7"/>
        <v>0</v>
      </c>
      <c r="M28" s="860">
        <f t="shared" si="7"/>
        <v>0</v>
      </c>
      <c r="N28" s="860">
        <f t="shared" si="7"/>
        <v>0</v>
      </c>
      <c r="O28" s="861">
        <f t="shared" si="6"/>
        <v>6.7012121376227034</v>
      </c>
      <c r="P28" s="841"/>
      <c r="Q28" s="841"/>
      <c r="R28" s="841"/>
      <c r="S28" s="841"/>
      <c r="T28" s="841"/>
      <c r="U28" s="841"/>
      <c r="V28" s="841"/>
      <c r="W28" s="841"/>
      <c r="X28" s="841"/>
      <c r="Y28" s="841"/>
      <c r="Z28" s="841"/>
      <c r="AA28" s="841"/>
      <c r="AB28" s="841"/>
      <c r="AC28" s="841"/>
      <c r="AD28" s="841"/>
      <c r="AE28" s="841"/>
      <c r="AF28" s="841"/>
      <c r="AG28" s="841"/>
    </row>
    <row r="29" spans="1:33" s="9" customFormat="1" x14ac:dyDescent="0.3">
      <c r="A29" s="405"/>
      <c r="B29" s="785" t="s">
        <v>67</v>
      </c>
      <c r="C29" s="766">
        <f>+C30</f>
        <v>0</v>
      </c>
      <c r="D29" s="766">
        <f t="shared" si="7"/>
        <v>0</v>
      </c>
      <c r="E29" s="766">
        <f t="shared" si="7"/>
        <v>3.3506060688113517</v>
      </c>
      <c r="F29" s="766">
        <f t="shared" si="7"/>
        <v>0</v>
      </c>
      <c r="G29" s="766">
        <f t="shared" si="7"/>
        <v>0</v>
      </c>
      <c r="H29" s="766">
        <f t="shared" si="7"/>
        <v>0</v>
      </c>
      <c r="I29" s="766">
        <f t="shared" si="7"/>
        <v>0</v>
      </c>
      <c r="J29" s="766">
        <f t="shared" si="7"/>
        <v>0</v>
      </c>
      <c r="K29" s="766">
        <f t="shared" si="7"/>
        <v>3.3506060688113517</v>
      </c>
      <c r="L29" s="766">
        <f t="shared" si="7"/>
        <v>0</v>
      </c>
      <c r="M29" s="766">
        <f t="shared" si="7"/>
        <v>0</v>
      </c>
      <c r="N29" s="766">
        <f t="shared" si="7"/>
        <v>0</v>
      </c>
      <c r="O29" s="761">
        <f t="shared" si="6"/>
        <v>6.7012121376227034</v>
      </c>
      <c r="P29" s="841"/>
      <c r="Q29" s="841"/>
      <c r="R29" s="841"/>
      <c r="S29" s="841"/>
      <c r="T29" s="841"/>
      <c r="U29" s="841"/>
      <c r="V29" s="841"/>
      <c r="W29" s="841"/>
      <c r="X29" s="841"/>
      <c r="Y29" s="841"/>
      <c r="Z29" s="841"/>
      <c r="AA29" s="841"/>
      <c r="AB29" s="841"/>
      <c r="AC29" s="841"/>
      <c r="AD29" s="841"/>
      <c r="AE29" s="841"/>
      <c r="AF29" s="841"/>
      <c r="AG29" s="841"/>
    </row>
    <row r="30" spans="1:33" s="9" customFormat="1" x14ac:dyDescent="0.3">
      <c r="A30" s="405"/>
      <c r="B30" s="862" t="s">
        <v>582</v>
      </c>
      <c r="C30" s="769">
        <v>0</v>
      </c>
      <c r="D30" s="769">
        <v>0</v>
      </c>
      <c r="E30" s="769">
        <v>3.3506060688113517</v>
      </c>
      <c r="F30" s="769">
        <v>0</v>
      </c>
      <c r="G30" s="769">
        <v>0</v>
      </c>
      <c r="H30" s="769">
        <v>0</v>
      </c>
      <c r="I30" s="769">
        <v>0</v>
      </c>
      <c r="J30" s="769">
        <v>0</v>
      </c>
      <c r="K30" s="769">
        <v>3.3506060688113517</v>
      </c>
      <c r="L30" s="761">
        <v>0</v>
      </c>
      <c r="M30" s="769">
        <v>0</v>
      </c>
      <c r="N30" s="769">
        <v>0</v>
      </c>
      <c r="O30" s="761">
        <f t="shared" si="6"/>
        <v>6.7012121376227034</v>
      </c>
      <c r="P30" s="841"/>
      <c r="Q30" s="841"/>
      <c r="R30" s="841"/>
      <c r="S30" s="841"/>
      <c r="T30" s="841"/>
      <c r="U30" s="841"/>
      <c r="V30" s="841"/>
      <c r="W30" s="841"/>
      <c r="X30" s="841"/>
      <c r="Y30" s="841"/>
      <c r="Z30" s="841"/>
      <c r="AA30" s="841"/>
      <c r="AB30" s="841"/>
      <c r="AC30" s="841"/>
      <c r="AD30" s="841"/>
      <c r="AE30" s="841"/>
      <c r="AF30" s="841"/>
      <c r="AG30" s="841"/>
    </row>
    <row r="31" spans="1:33" s="843" customFormat="1" x14ac:dyDescent="0.3">
      <c r="A31" s="405"/>
      <c r="B31" s="863" t="s">
        <v>677</v>
      </c>
      <c r="C31" s="864">
        <f>C32+C33</f>
        <v>2.5112435266423359</v>
      </c>
      <c r="D31" s="864">
        <f t="shared" ref="D31:N31" si="8">D32+D33</f>
        <v>2.9037277326034063</v>
      </c>
      <c r="E31" s="864">
        <f t="shared" si="8"/>
        <v>2.8433679601459856</v>
      </c>
      <c r="F31" s="864">
        <f t="shared" si="8"/>
        <v>2.2614407264720193</v>
      </c>
      <c r="G31" s="864">
        <f t="shared" si="8"/>
        <v>1.9712964282238443</v>
      </c>
      <c r="H31" s="864">
        <f t="shared" si="8"/>
        <v>2.0967295144038927</v>
      </c>
      <c r="I31" s="864">
        <f t="shared" si="8"/>
        <v>2.3287567546715331</v>
      </c>
      <c r="J31" s="864">
        <f t="shared" si="8"/>
        <v>2.2126205939659367</v>
      </c>
      <c r="K31" s="864">
        <f t="shared" si="8"/>
        <v>2.2944976668856447</v>
      </c>
      <c r="L31" s="864">
        <f t="shared" si="8"/>
        <v>1.920887805352798</v>
      </c>
      <c r="M31" s="864">
        <f t="shared" si="8"/>
        <v>1.910258423357664</v>
      </c>
      <c r="N31" s="864">
        <f t="shared" si="8"/>
        <v>1.89945300243309</v>
      </c>
      <c r="O31" s="865">
        <f t="shared" si="6"/>
        <v>27.154280135158153</v>
      </c>
      <c r="P31" s="841"/>
      <c r="Q31" s="841"/>
      <c r="R31" s="841"/>
      <c r="S31" s="841"/>
      <c r="T31" s="841"/>
      <c r="U31" s="841"/>
      <c r="V31" s="841"/>
      <c r="W31" s="841"/>
      <c r="X31" s="841"/>
      <c r="Y31" s="841"/>
      <c r="Z31" s="841"/>
      <c r="AA31" s="841"/>
      <c r="AB31" s="841"/>
      <c r="AC31" s="841"/>
      <c r="AD31" s="841"/>
      <c r="AE31" s="841"/>
      <c r="AF31" s="841"/>
      <c r="AG31" s="841"/>
    </row>
    <row r="32" spans="1:33" s="843" customFormat="1" x14ac:dyDescent="0.3">
      <c r="A32" s="405"/>
      <c r="B32" s="774" t="s">
        <v>71</v>
      </c>
      <c r="C32" s="766">
        <v>2.0084655766423358</v>
      </c>
      <c r="D32" s="766">
        <v>1.9994326326034064</v>
      </c>
      <c r="E32" s="766">
        <v>1.9902265401459853</v>
      </c>
      <c r="F32" s="766">
        <v>1.9808459464720194</v>
      </c>
      <c r="G32" s="766">
        <v>1.9712964282238443</v>
      </c>
      <c r="H32" s="766">
        <v>1.9615732944038928</v>
      </c>
      <c r="I32" s="766">
        <v>1.951673284671533</v>
      </c>
      <c r="J32" s="766">
        <v>1.9415936739659367</v>
      </c>
      <c r="K32" s="766">
        <v>1.9313324768856448</v>
      </c>
      <c r="L32" s="766">
        <v>1.920887805352798</v>
      </c>
      <c r="M32" s="766">
        <v>1.910258423357664</v>
      </c>
      <c r="N32" s="766">
        <v>1.89945300243309</v>
      </c>
      <c r="O32" s="761">
        <f>SUM(C32:N32)</f>
        <v>23.467039085158152</v>
      </c>
      <c r="P32" s="841"/>
      <c r="Q32" s="841"/>
      <c r="R32" s="841"/>
      <c r="S32" s="841"/>
      <c r="T32" s="841"/>
      <c r="U32" s="841"/>
      <c r="V32" s="841"/>
      <c r="W32" s="841"/>
      <c r="X32" s="841"/>
      <c r="Y32" s="841"/>
      <c r="Z32" s="841"/>
      <c r="AA32" s="841"/>
      <c r="AB32" s="841"/>
      <c r="AC32" s="841"/>
      <c r="AD32" s="841"/>
      <c r="AE32" s="841"/>
      <c r="AF32" s="841"/>
      <c r="AG32" s="841"/>
    </row>
    <row r="33" spans="1:33" s="843" customFormat="1" x14ac:dyDescent="0.3">
      <c r="A33" s="405"/>
      <c r="B33" s="775" t="s">
        <v>69</v>
      </c>
      <c r="C33" s="811">
        <v>0.50277795000000003</v>
      </c>
      <c r="D33" s="811">
        <v>0.90429510000000013</v>
      </c>
      <c r="E33" s="811">
        <v>0.85314142000000004</v>
      </c>
      <c r="F33" s="811">
        <v>0.28059478000000004</v>
      </c>
      <c r="G33" s="811">
        <v>0</v>
      </c>
      <c r="H33" s="811">
        <v>0.13515621999999999</v>
      </c>
      <c r="I33" s="811">
        <v>0.37708346999999998</v>
      </c>
      <c r="J33" s="811">
        <v>0.27102692</v>
      </c>
      <c r="K33" s="811">
        <v>0.36316519000000003</v>
      </c>
      <c r="L33" s="776">
        <v>0</v>
      </c>
      <c r="M33" s="811">
        <v>0</v>
      </c>
      <c r="N33" s="811">
        <v>0</v>
      </c>
      <c r="O33" s="811">
        <f>SUM(C33:N33)</f>
        <v>3.6872410500000004</v>
      </c>
      <c r="P33" s="841"/>
      <c r="Q33" s="841"/>
      <c r="R33" s="841"/>
      <c r="S33" s="841"/>
      <c r="T33" s="841"/>
      <c r="U33" s="841"/>
      <c r="V33" s="841"/>
      <c r="W33" s="841"/>
      <c r="X33" s="841"/>
      <c r="Y33" s="841"/>
      <c r="Z33" s="841"/>
      <c r="AA33" s="841"/>
      <c r="AB33" s="841"/>
      <c r="AC33" s="841"/>
      <c r="AD33" s="841"/>
      <c r="AE33" s="841"/>
      <c r="AF33" s="841"/>
      <c r="AG33" s="841"/>
    </row>
    <row r="34" spans="1:33" s="843" customFormat="1" ht="15" thickBot="1" x14ac:dyDescent="0.35">
      <c r="A34" s="405"/>
      <c r="B34" s="777"/>
      <c r="C34" s="809"/>
      <c r="D34" s="809"/>
      <c r="E34" s="809"/>
      <c r="F34" s="809"/>
      <c r="G34" s="809"/>
      <c r="H34" s="809"/>
      <c r="I34" s="778"/>
      <c r="J34" s="778"/>
      <c r="K34" s="778"/>
      <c r="L34" s="778"/>
      <c r="M34" s="778"/>
      <c r="N34" s="778"/>
      <c r="O34" s="778"/>
      <c r="P34" s="841"/>
      <c r="Q34" s="841"/>
      <c r="R34" s="841"/>
      <c r="S34" s="841"/>
      <c r="T34" s="841"/>
      <c r="U34" s="841"/>
      <c r="V34" s="841"/>
      <c r="W34" s="841"/>
      <c r="X34" s="841"/>
      <c r="Y34" s="841"/>
      <c r="Z34" s="841"/>
      <c r="AA34" s="841"/>
      <c r="AB34" s="841"/>
      <c r="AC34" s="841"/>
      <c r="AD34" s="841"/>
      <c r="AE34" s="841"/>
      <c r="AF34" s="841"/>
      <c r="AG34" s="841"/>
    </row>
    <row r="35" spans="1:33" s="843" customFormat="1" ht="15" thickBot="1" x14ac:dyDescent="0.35">
      <c r="A35" s="405"/>
      <c r="B35" s="754" t="s">
        <v>302</v>
      </c>
      <c r="C35" s="755">
        <f>+C36+C51+SUM(C64:C111)+C114</f>
        <v>1043.7662595148122</v>
      </c>
      <c r="D35" s="755">
        <f t="shared" ref="D35:O35" si="9">+D36+D51+SUM(D64:D111)+D114</f>
        <v>104.42562472817018</v>
      </c>
      <c r="E35" s="755">
        <f t="shared" si="9"/>
        <v>136.82299204502911</v>
      </c>
      <c r="F35" s="755">
        <f t="shared" si="9"/>
        <v>158.59330494387601</v>
      </c>
      <c r="G35" s="755">
        <f t="shared" si="9"/>
        <v>24.031933435380534</v>
      </c>
      <c r="H35" s="755">
        <f t="shared" si="9"/>
        <v>248.03163994371468</v>
      </c>
      <c r="I35" s="755">
        <f t="shared" si="9"/>
        <v>1043.5260231205013</v>
      </c>
      <c r="J35" s="755">
        <f t="shared" si="9"/>
        <v>47.515402844550941</v>
      </c>
      <c r="K35" s="755">
        <f t="shared" si="9"/>
        <v>72.515559961616773</v>
      </c>
      <c r="L35" s="755">
        <f t="shared" si="9"/>
        <v>155.22144815463633</v>
      </c>
      <c r="M35" s="755">
        <f t="shared" si="9"/>
        <v>23.389201334754006</v>
      </c>
      <c r="N35" s="755">
        <f t="shared" si="9"/>
        <v>247.53763836916033</v>
      </c>
      <c r="O35" s="755">
        <f t="shared" si="9"/>
        <v>3305.3770283962021</v>
      </c>
      <c r="P35" s="841"/>
      <c r="Q35" s="841"/>
      <c r="R35" s="841"/>
      <c r="S35" s="841"/>
      <c r="T35" s="841"/>
      <c r="U35" s="841"/>
      <c r="V35" s="841"/>
      <c r="W35" s="841"/>
      <c r="X35" s="841"/>
      <c r="Y35" s="841"/>
      <c r="Z35" s="841"/>
      <c r="AA35" s="841"/>
      <c r="AB35" s="841"/>
      <c r="AC35" s="841"/>
      <c r="AD35" s="841"/>
      <c r="AE35" s="841"/>
      <c r="AF35" s="841"/>
      <c r="AG35" s="841"/>
    </row>
    <row r="36" spans="1:33" s="843" customFormat="1" x14ac:dyDescent="0.3">
      <c r="A36" s="405"/>
      <c r="B36" s="866" t="s">
        <v>73</v>
      </c>
      <c r="C36" s="823">
        <f>+C37+C40+C46+C48</f>
        <v>0</v>
      </c>
      <c r="D36" s="823">
        <f t="shared" ref="D36:N36" si="10">+D37+D40+D46+D48</f>
        <v>0</v>
      </c>
      <c r="E36" s="823">
        <f t="shared" si="10"/>
        <v>19.248120191444869</v>
      </c>
      <c r="F36" s="823">
        <f t="shared" si="10"/>
        <v>0</v>
      </c>
      <c r="G36" s="823">
        <f t="shared" si="10"/>
        <v>0</v>
      </c>
      <c r="H36" s="823">
        <f t="shared" si="10"/>
        <v>0</v>
      </c>
      <c r="I36" s="823">
        <f t="shared" si="10"/>
        <v>0</v>
      </c>
      <c r="J36" s="823">
        <f t="shared" si="10"/>
        <v>0</v>
      </c>
      <c r="K36" s="823">
        <f t="shared" si="10"/>
        <v>19.248120191444869</v>
      </c>
      <c r="L36" s="823">
        <f t="shared" si="10"/>
        <v>0</v>
      </c>
      <c r="M36" s="823">
        <f t="shared" si="10"/>
        <v>0</v>
      </c>
      <c r="N36" s="823">
        <f t="shared" si="10"/>
        <v>0</v>
      </c>
      <c r="O36" s="867">
        <f>SUM(C36:N36)</f>
        <v>38.496240382889738</v>
      </c>
      <c r="P36" s="841"/>
      <c r="Q36" s="841"/>
      <c r="R36" s="841"/>
      <c r="S36" s="841"/>
      <c r="T36" s="841"/>
      <c r="U36" s="841"/>
      <c r="V36" s="841"/>
      <c r="W36" s="841"/>
      <c r="X36" s="841"/>
      <c r="Y36" s="841"/>
      <c r="Z36" s="841"/>
      <c r="AA36" s="841"/>
      <c r="AB36" s="841"/>
      <c r="AC36" s="841"/>
      <c r="AD36" s="841"/>
      <c r="AE36" s="841"/>
      <c r="AF36" s="841"/>
      <c r="AG36" s="841"/>
    </row>
    <row r="37" spans="1:33" s="843" customFormat="1" x14ac:dyDescent="0.3">
      <c r="A37" s="405"/>
      <c r="B37" s="59" t="s">
        <v>19</v>
      </c>
      <c r="C37" s="788">
        <f>+C38+C39</f>
        <v>0</v>
      </c>
      <c r="D37" s="788">
        <f t="shared" ref="D37:N37" si="11">+D38+D39</f>
        <v>0</v>
      </c>
      <c r="E37" s="788">
        <f t="shared" si="11"/>
        <v>6.4858394238818713</v>
      </c>
      <c r="F37" s="788">
        <f t="shared" si="11"/>
        <v>0</v>
      </c>
      <c r="G37" s="788">
        <f t="shared" si="11"/>
        <v>0</v>
      </c>
      <c r="H37" s="788">
        <f t="shared" si="11"/>
        <v>0</v>
      </c>
      <c r="I37" s="788">
        <f t="shared" si="11"/>
        <v>0</v>
      </c>
      <c r="J37" s="788">
        <f t="shared" si="11"/>
        <v>0</v>
      </c>
      <c r="K37" s="788">
        <f t="shared" si="11"/>
        <v>6.4858394238818713</v>
      </c>
      <c r="L37" s="788">
        <f t="shared" si="11"/>
        <v>0</v>
      </c>
      <c r="M37" s="788">
        <f t="shared" si="11"/>
        <v>0</v>
      </c>
      <c r="N37" s="788">
        <f t="shared" si="11"/>
        <v>0</v>
      </c>
      <c r="O37" s="778">
        <f>SUM(C37:N37)</f>
        <v>12.971678847763743</v>
      </c>
      <c r="P37" s="841"/>
      <c r="Q37" s="841"/>
      <c r="R37" s="841"/>
      <c r="S37" s="841"/>
      <c r="T37" s="841"/>
      <c r="U37" s="841"/>
      <c r="V37" s="841"/>
      <c r="W37" s="841"/>
      <c r="X37" s="841"/>
      <c r="Y37" s="841"/>
      <c r="Z37" s="841"/>
      <c r="AA37" s="841"/>
      <c r="AB37" s="841"/>
      <c r="AC37" s="841"/>
      <c r="AD37" s="841"/>
      <c r="AE37" s="841"/>
      <c r="AF37" s="841"/>
      <c r="AG37" s="841"/>
    </row>
    <row r="38" spans="1:33" s="843" customFormat="1" x14ac:dyDescent="0.3">
      <c r="A38" s="405"/>
      <c r="B38" s="868" t="s">
        <v>236</v>
      </c>
      <c r="C38" s="788">
        <v>0</v>
      </c>
      <c r="D38" s="788">
        <v>0</v>
      </c>
      <c r="E38" s="788">
        <v>6.4601474029329413</v>
      </c>
      <c r="F38" s="788">
        <v>0</v>
      </c>
      <c r="G38" s="788">
        <v>0</v>
      </c>
      <c r="H38" s="788">
        <v>0</v>
      </c>
      <c r="I38" s="788">
        <v>0</v>
      </c>
      <c r="J38" s="788">
        <v>0</v>
      </c>
      <c r="K38" s="788">
        <v>6.4601474029329413</v>
      </c>
      <c r="L38" s="788">
        <v>0</v>
      </c>
      <c r="M38" s="788">
        <v>0</v>
      </c>
      <c r="N38" s="788">
        <v>0</v>
      </c>
      <c r="O38" s="778">
        <f t="shared" ref="O38:O50" si="12">SUM(C38:N38)</f>
        <v>12.920294805865883</v>
      </c>
      <c r="P38" s="841"/>
      <c r="Q38" s="841"/>
      <c r="R38" s="841"/>
      <c r="S38" s="841"/>
      <c r="T38" s="841"/>
      <c r="U38" s="841"/>
      <c r="V38" s="841"/>
      <c r="W38" s="841"/>
      <c r="X38" s="841"/>
      <c r="Y38" s="841"/>
      <c r="Z38" s="841"/>
      <c r="AA38" s="841"/>
      <c r="AB38" s="841"/>
      <c r="AC38" s="841"/>
      <c r="AD38" s="841"/>
      <c r="AE38" s="841"/>
      <c r="AF38" s="841"/>
      <c r="AG38" s="841"/>
    </row>
    <row r="39" spans="1:33" s="843" customFormat="1" x14ac:dyDescent="0.3">
      <c r="A39" s="405"/>
      <c r="B39" s="868" t="s">
        <v>237</v>
      </c>
      <c r="C39" s="788">
        <v>0</v>
      </c>
      <c r="D39" s="788">
        <v>0</v>
      </c>
      <c r="E39" s="788">
        <v>2.569202094892965E-2</v>
      </c>
      <c r="F39" s="788">
        <v>0</v>
      </c>
      <c r="G39" s="788">
        <v>0</v>
      </c>
      <c r="H39" s="788">
        <v>0</v>
      </c>
      <c r="I39" s="788">
        <v>0</v>
      </c>
      <c r="J39" s="788">
        <v>0</v>
      </c>
      <c r="K39" s="788">
        <v>2.569202094892965E-2</v>
      </c>
      <c r="L39" s="788">
        <v>0</v>
      </c>
      <c r="M39" s="788">
        <v>0</v>
      </c>
      <c r="N39" s="788">
        <v>0</v>
      </c>
      <c r="O39" s="869">
        <f t="shared" si="12"/>
        <v>5.1384041897859299E-2</v>
      </c>
      <c r="P39" s="841"/>
      <c r="Q39" s="841"/>
      <c r="R39" s="841"/>
      <c r="S39" s="841"/>
      <c r="T39" s="841"/>
      <c r="U39" s="841"/>
      <c r="V39" s="841"/>
      <c r="W39" s="841"/>
      <c r="X39" s="841"/>
      <c r="Y39" s="841"/>
      <c r="Z39" s="841"/>
      <c r="AA39" s="841"/>
      <c r="AB39" s="841"/>
      <c r="AC39" s="841"/>
      <c r="AD39" s="841"/>
      <c r="AE39" s="841"/>
      <c r="AF39" s="841"/>
      <c r="AG39" s="841"/>
    </row>
    <row r="40" spans="1:33" s="843" customFormat="1" x14ac:dyDescent="0.3">
      <c r="A40" s="405"/>
      <c r="B40" s="290" t="s">
        <v>20</v>
      </c>
      <c r="C40" s="788">
        <f>+C41+C43</f>
        <v>0</v>
      </c>
      <c r="D40" s="788">
        <f>+D41+D43</f>
        <v>0</v>
      </c>
      <c r="E40" s="788">
        <f>+E41+E43</f>
        <v>1.3194065899999998</v>
      </c>
      <c r="F40" s="788">
        <f t="shared" ref="F40:N40" si="13">+F41+F43</f>
        <v>0</v>
      </c>
      <c r="G40" s="788">
        <f t="shared" si="13"/>
        <v>0</v>
      </c>
      <c r="H40" s="788">
        <f t="shared" si="13"/>
        <v>0</v>
      </c>
      <c r="I40" s="788">
        <f t="shared" si="13"/>
        <v>0</v>
      </c>
      <c r="J40" s="788">
        <f t="shared" si="13"/>
        <v>0</v>
      </c>
      <c r="K40" s="788">
        <f t="shared" si="13"/>
        <v>1.3194065899999998</v>
      </c>
      <c r="L40" s="788">
        <f t="shared" si="13"/>
        <v>0</v>
      </c>
      <c r="M40" s="788">
        <f t="shared" si="13"/>
        <v>0</v>
      </c>
      <c r="N40" s="788">
        <f t="shared" si="13"/>
        <v>0</v>
      </c>
      <c r="O40" s="778">
        <f t="shared" si="12"/>
        <v>2.6388131799999996</v>
      </c>
      <c r="P40" s="841"/>
      <c r="Q40" s="841"/>
      <c r="R40" s="841"/>
      <c r="S40" s="841"/>
      <c r="T40" s="841"/>
      <c r="U40" s="841"/>
      <c r="V40" s="841"/>
      <c r="W40" s="841"/>
      <c r="X40" s="841"/>
      <c r="Y40" s="841"/>
      <c r="Z40" s="841"/>
      <c r="AA40" s="841"/>
      <c r="AB40" s="841"/>
      <c r="AC40" s="841"/>
      <c r="AD40" s="841"/>
      <c r="AE40" s="841"/>
      <c r="AF40" s="841"/>
      <c r="AG40" s="841"/>
    </row>
    <row r="41" spans="1:33" s="843" customFormat="1" x14ac:dyDescent="0.3">
      <c r="A41" s="405"/>
      <c r="B41" s="868" t="s">
        <v>236</v>
      </c>
      <c r="C41" s="788">
        <f>+C42</f>
        <v>0</v>
      </c>
      <c r="D41" s="788">
        <f t="shared" ref="D41:N41" si="14">+D42</f>
        <v>0</v>
      </c>
      <c r="E41" s="788">
        <f t="shared" si="14"/>
        <v>0.54348023000000001</v>
      </c>
      <c r="F41" s="788">
        <f t="shared" si="14"/>
        <v>0</v>
      </c>
      <c r="G41" s="788">
        <f t="shared" si="14"/>
        <v>0</v>
      </c>
      <c r="H41" s="788">
        <f t="shared" si="14"/>
        <v>0</v>
      </c>
      <c r="I41" s="788">
        <f t="shared" si="14"/>
        <v>0</v>
      </c>
      <c r="J41" s="788">
        <f t="shared" si="14"/>
        <v>0</v>
      </c>
      <c r="K41" s="788">
        <f t="shared" si="14"/>
        <v>0.54348023000000001</v>
      </c>
      <c r="L41" s="788">
        <f t="shared" si="14"/>
        <v>0</v>
      </c>
      <c r="M41" s="788">
        <f t="shared" si="14"/>
        <v>0</v>
      </c>
      <c r="N41" s="788">
        <f t="shared" si="14"/>
        <v>0</v>
      </c>
      <c r="O41" s="788">
        <f t="shared" ref="O41" si="15">+O42</f>
        <v>1.08696046</v>
      </c>
      <c r="P41" s="841"/>
      <c r="Q41" s="841"/>
      <c r="R41" s="841"/>
      <c r="S41" s="841"/>
      <c r="T41" s="841"/>
      <c r="U41" s="841"/>
      <c r="V41" s="841"/>
      <c r="W41" s="841"/>
      <c r="X41" s="841"/>
      <c r="Y41" s="841"/>
      <c r="Z41" s="841"/>
      <c r="AA41" s="841"/>
      <c r="AB41" s="841"/>
      <c r="AC41" s="841"/>
      <c r="AD41" s="841"/>
      <c r="AE41" s="841"/>
      <c r="AF41" s="841"/>
      <c r="AG41" s="841"/>
    </row>
    <row r="42" spans="1:33" s="843" customFormat="1" x14ac:dyDescent="0.3">
      <c r="A42" s="405"/>
      <c r="B42" s="870" t="s">
        <v>239</v>
      </c>
      <c r="C42" s="788">
        <v>0</v>
      </c>
      <c r="D42" s="788">
        <v>0</v>
      </c>
      <c r="E42" s="788">
        <v>0.54348023000000001</v>
      </c>
      <c r="F42" s="788">
        <v>0</v>
      </c>
      <c r="G42" s="788">
        <v>0</v>
      </c>
      <c r="H42" s="788">
        <v>0</v>
      </c>
      <c r="I42" s="788">
        <v>0</v>
      </c>
      <c r="J42" s="788">
        <v>0</v>
      </c>
      <c r="K42" s="788">
        <v>0.54348023000000001</v>
      </c>
      <c r="L42" s="778">
        <v>0</v>
      </c>
      <c r="M42" s="788">
        <v>0</v>
      </c>
      <c r="N42" s="788">
        <v>0</v>
      </c>
      <c r="O42" s="778">
        <f t="shared" si="12"/>
        <v>1.08696046</v>
      </c>
      <c r="P42" s="841"/>
      <c r="Q42" s="841"/>
      <c r="R42" s="841"/>
      <c r="S42" s="841"/>
      <c r="T42" s="841"/>
      <c r="U42" s="841"/>
      <c r="V42" s="841"/>
      <c r="W42" s="841"/>
      <c r="X42" s="841"/>
      <c r="Y42" s="841"/>
      <c r="Z42" s="841"/>
      <c r="AA42" s="841"/>
      <c r="AB42" s="841"/>
      <c r="AC42" s="841"/>
      <c r="AD42" s="841"/>
      <c r="AE42" s="841"/>
      <c r="AF42" s="841"/>
      <c r="AG42" s="841"/>
    </row>
    <row r="43" spans="1:33" s="843" customFormat="1" x14ac:dyDescent="0.3">
      <c r="A43" s="405"/>
      <c r="B43" s="868" t="s">
        <v>237</v>
      </c>
      <c r="C43" s="788">
        <f>+C44+C45</f>
        <v>0</v>
      </c>
      <c r="D43" s="788">
        <f t="shared" ref="D43:N43" si="16">+D44+D45</f>
        <v>0</v>
      </c>
      <c r="E43" s="788">
        <f t="shared" si="16"/>
        <v>0.77592635999999993</v>
      </c>
      <c r="F43" s="788">
        <f t="shared" si="16"/>
        <v>0</v>
      </c>
      <c r="G43" s="788">
        <f t="shared" si="16"/>
        <v>0</v>
      </c>
      <c r="H43" s="788">
        <f t="shared" si="16"/>
        <v>0</v>
      </c>
      <c r="I43" s="788">
        <f t="shared" si="16"/>
        <v>0</v>
      </c>
      <c r="J43" s="788">
        <f t="shared" si="16"/>
        <v>0</v>
      </c>
      <c r="K43" s="788">
        <f t="shared" si="16"/>
        <v>0.77592635999999993</v>
      </c>
      <c r="L43" s="788">
        <f t="shared" si="16"/>
        <v>0</v>
      </c>
      <c r="M43" s="788">
        <f t="shared" si="16"/>
        <v>0</v>
      </c>
      <c r="N43" s="788">
        <f t="shared" si="16"/>
        <v>0</v>
      </c>
      <c r="O43" s="778">
        <f t="shared" si="12"/>
        <v>1.5518527199999999</v>
      </c>
      <c r="P43" s="841"/>
      <c r="Q43" s="841"/>
      <c r="R43" s="841"/>
      <c r="S43" s="841"/>
      <c r="T43" s="841"/>
      <c r="U43" s="841"/>
      <c r="V43" s="841"/>
      <c r="W43" s="841"/>
      <c r="X43" s="841"/>
      <c r="Y43" s="841"/>
      <c r="Z43" s="841"/>
      <c r="AA43" s="841"/>
      <c r="AB43" s="841"/>
      <c r="AC43" s="841"/>
      <c r="AD43" s="841"/>
      <c r="AE43" s="841"/>
      <c r="AF43" s="841"/>
      <c r="AG43" s="841"/>
    </row>
    <row r="44" spans="1:33" s="843" customFormat="1" x14ac:dyDescent="0.3">
      <c r="A44" s="405"/>
      <c r="B44" s="871" t="s">
        <v>238</v>
      </c>
      <c r="C44" s="788">
        <v>0</v>
      </c>
      <c r="D44" s="788">
        <v>0</v>
      </c>
      <c r="E44" s="788">
        <v>0.67161674999999998</v>
      </c>
      <c r="F44" s="788">
        <v>0</v>
      </c>
      <c r="G44" s="788">
        <v>0</v>
      </c>
      <c r="H44" s="788">
        <v>0</v>
      </c>
      <c r="I44" s="788">
        <v>0</v>
      </c>
      <c r="J44" s="788">
        <v>0</v>
      </c>
      <c r="K44" s="788">
        <v>0.67161674999999998</v>
      </c>
      <c r="L44" s="778">
        <v>0</v>
      </c>
      <c r="M44" s="788">
        <v>0</v>
      </c>
      <c r="N44" s="788">
        <v>0</v>
      </c>
      <c r="O44" s="778">
        <f t="shared" si="12"/>
        <v>1.3432335</v>
      </c>
      <c r="P44" s="841"/>
      <c r="Q44" s="841"/>
      <c r="R44" s="841"/>
      <c r="S44" s="841"/>
      <c r="T44" s="841"/>
      <c r="U44" s="841"/>
      <c r="V44" s="841"/>
      <c r="W44" s="841"/>
      <c r="X44" s="841"/>
      <c r="Y44" s="841"/>
      <c r="Z44" s="841"/>
      <c r="AA44" s="841"/>
      <c r="AB44" s="841"/>
      <c r="AC44" s="841"/>
      <c r="AD44" s="841"/>
      <c r="AE44" s="841"/>
      <c r="AF44" s="841"/>
      <c r="AG44" s="841"/>
    </row>
    <row r="45" spans="1:33" s="843" customFormat="1" x14ac:dyDescent="0.3">
      <c r="A45" s="405"/>
      <c r="B45" s="870" t="s">
        <v>239</v>
      </c>
      <c r="C45" s="788">
        <v>0</v>
      </c>
      <c r="D45" s="788">
        <v>0</v>
      </c>
      <c r="E45" s="788">
        <v>0.10430961</v>
      </c>
      <c r="F45" s="788">
        <v>0</v>
      </c>
      <c r="G45" s="788">
        <v>0</v>
      </c>
      <c r="H45" s="788">
        <v>0</v>
      </c>
      <c r="I45" s="788">
        <v>0</v>
      </c>
      <c r="J45" s="788">
        <v>0</v>
      </c>
      <c r="K45" s="788">
        <v>0.10430961</v>
      </c>
      <c r="L45" s="778">
        <v>0</v>
      </c>
      <c r="M45" s="788">
        <v>0</v>
      </c>
      <c r="N45" s="788">
        <v>0</v>
      </c>
      <c r="O45" s="778">
        <f t="shared" si="12"/>
        <v>0.20861921999999999</v>
      </c>
      <c r="P45" s="841"/>
      <c r="Q45" s="841"/>
      <c r="R45" s="841"/>
      <c r="S45" s="841"/>
      <c r="T45" s="841"/>
      <c r="U45" s="841"/>
      <c r="V45" s="841"/>
      <c r="W45" s="841"/>
      <c r="X45" s="841"/>
      <c r="Y45" s="841"/>
      <c r="Z45" s="841"/>
      <c r="AA45" s="841"/>
      <c r="AB45" s="841"/>
      <c r="AC45" s="841"/>
      <c r="AD45" s="841"/>
      <c r="AE45" s="841"/>
      <c r="AF45" s="841"/>
      <c r="AG45" s="841"/>
    </row>
    <row r="46" spans="1:33" s="843" customFormat="1" x14ac:dyDescent="0.3">
      <c r="A46" s="405"/>
      <c r="B46" s="290" t="s">
        <v>21</v>
      </c>
      <c r="C46" s="788">
        <f>+C47</f>
        <v>0</v>
      </c>
      <c r="D46" s="788">
        <f t="shared" ref="D46:N46" si="17">+D47</f>
        <v>0</v>
      </c>
      <c r="E46" s="788">
        <f t="shared" si="17"/>
        <v>10.915440547914059</v>
      </c>
      <c r="F46" s="788">
        <f t="shared" si="17"/>
        <v>0</v>
      </c>
      <c r="G46" s="788">
        <f t="shared" si="17"/>
        <v>0</v>
      </c>
      <c r="H46" s="788">
        <f t="shared" si="17"/>
        <v>0</v>
      </c>
      <c r="I46" s="788">
        <f t="shared" si="17"/>
        <v>0</v>
      </c>
      <c r="J46" s="788">
        <f t="shared" si="17"/>
        <v>0</v>
      </c>
      <c r="K46" s="788">
        <f t="shared" si="17"/>
        <v>10.915440547914059</v>
      </c>
      <c r="L46" s="788">
        <f t="shared" si="17"/>
        <v>0</v>
      </c>
      <c r="M46" s="788">
        <f t="shared" si="17"/>
        <v>0</v>
      </c>
      <c r="N46" s="788">
        <f t="shared" si="17"/>
        <v>0</v>
      </c>
      <c r="O46" s="788">
        <f t="shared" ref="O46" si="18">+O47</f>
        <v>21.830881095828119</v>
      </c>
      <c r="P46" s="841"/>
      <c r="Q46" s="841"/>
      <c r="R46" s="841"/>
      <c r="S46" s="841"/>
      <c r="T46" s="841"/>
      <c r="U46" s="841"/>
      <c r="V46" s="841"/>
      <c r="W46" s="841"/>
      <c r="X46" s="841"/>
      <c r="Y46" s="841"/>
      <c r="Z46" s="841"/>
      <c r="AA46" s="841"/>
      <c r="AB46" s="841"/>
      <c r="AC46" s="841"/>
      <c r="AD46" s="841"/>
      <c r="AE46" s="841"/>
      <c r="AF46" s="841"/>
      <c r="AG46" s="841"/>
    </row>
    <row r="47" spans="1:33" s="843" customFormat="1" x14ac:dyDescent="0.3">
      <c r="A47" s="405"/>
      <c r="B47" s="868" t="s">
        <v>237</v>
      </c>
      <c r="C47" s="788">
        <v>0</v>
      </c>
      <c r="D47" s="788">
        <v>0</v>
      </c>
      <c r="E47" s="788">
        <v>10.915440547914059</v>
      </c>
      <c r="F47" s="788">
        <v>0</v>
      </c>
      <c r="G47" s="788">
        <v>0</v>
      </c>
      <c r="H47" s="788">
        <v>0</v>
      </c>
      <c r="I47" s="788">
        <v>0</v>
      </c>
      <c r="J47" s="788">
        <v>0</v>
      </c>
      <c r="K47" s="788">
        <v>10.915440547914059</v>
      </c>
      <c r="L47" s="778">
        <v>0</v>
      </c>
      <c r="M47" s="788">
        <v>0</v>
      </c>
      <c r="N47" s="788">
        <v>0</v>
      </c>
      <c r="O47" s="778">
        <f t="shared" si="12"/>
        <v>21.830881095828119</v>
      </c>
      <c r="P47" s="841"/>
      <c r="Q47" s="841"/>
      <c r="R47" s="841"/>
      <c r="S47" s="841"/>
      <c r="T47" s="841"/>
      <c r="U47" s="841"/>
      <c r="V47" s="841"/>
      <c r="W47" s="841"/>
      <c r="X47" s="841"/>
      <c r="Y47" s="841"/>
      <c r="Z47" s="841"/>
      <c r="AA47" s="841"/>
      <c r="AB47" s="841"/>
      <c r="AC47" s="841"/>
      <c r="AD47" s="841"/>
      <c r="AE47" s="841"/>
      <c r="AF47" s="841"/>
      <c r="AG47" s="841"/>
    </row>
    <row r="48" spans="1:33" s="843" customFormat="1" x14ac:dyDescent="0.3">
      <c r="A48" s="405"/>
      <c r="B48" s="290" t="s">
        <v>22</v>
      </c>
      <c r="C48" s="788">
        <f>+C49+C50</f>
        <v>0</v>
      </c>
      <c r="D48" s="788">
        <f t="shared" ref="D48:N48" si="19">+D49+D50</f>
        <v>0</v>
      </c>
      <c r="E48" s="788">
        <f t="shared" si="19"/>
        <v>0.52743362964893992</v>
      </c>
      <c r="F48" s="788">
        <f t="shared" si="19"/>
        <v>0</v>
      </c>
      <c r="G48" s="788">
        <f t="shared" si="19"/>
        <v>0</v>
      </c>
      <c r="H48" s="788">
        <f t="shared" si="19"/>
        <v>0</v>
      </c>
      <c r="I48" s="788">
        <f t="shared" si="19"/>
        <v>0</v>
      </c>
      <c r="J48" s="788">
        <f t="shared" si="19"/>
        <v>0</v>
      </c>
      <c r="K48" s="788">
        <f t="shared" si="19"/>
        <v>0.52743362964893992</v>
      </c>
      <c r="L48" s="788">
        <f t="shared" si="19"/>
        <v>0</v>
      </c>
      <c r="M48" s="788">
        <f t="shared" si="19"/>
        <v>0</v>
      </c>
      <c r="N48" s="788">
        <f t="shared" si="19"/>
        <v>0</v>
      </c>
      <c r="O48" s="778">
        <f t="shared" si="12"/>
        <v>1.0548672592978798</v>
      </c>
      <c r="P48" s="841"/>
      <c r="Q48" s="841"/>
      <c r="R48" s="841"/>
      <c r="S48" s="841"/>
      <c r="T48" s="841"/>
      <c r="U48" s="841"/>
      <c r="V48" s="841"/>
      <c r="W48" s="841"/>
      <c r="X48" s="841"/>
      <c r="Y48" s="841"/>
      <c r="Z48" s="841"/>
      <c r="AA48" s="841"/>
      <c r="AB48" s="841"/>
      <c r="AC48" s="841"/>
      <c r="AD48" s="841"/>
      <c r="AE48" s="841"/>
      <c r="AF48" s="841"/>
      <c r="AG48" s="841"/>
    </row>
    <row r="49" spans="1:33" s="843" customFormat="1" x14ac:dyDescent="0.3">
      <c r="A49" s="405"/>
      <c r="B49" s="868" t="s">
        <v>236</v>
      </c>
      <c r="C49" s="788">
        <v>0</v>
      </c>
      <c r="D49" s="788">
        <v>0</v>
      </c>
      <c r="E49" s="788">
        <v>0.50257693821689264</v>
      </c>
      <c r="F49" s="788">
        <v>0</v>
      </c>
      <c r="G49" s="788">
        <v>0</v>
      </c>
      <c r="H49" s="788">
        <v>0</v>
      </c>
      <c r="I49" s="788">
        <v>0</v>
      </c>
      <c r="J49" s="788">
        <v>0</v>
      </c>
      <c r="K49" s="788">
        <v>0.50257693821689264</v>
      </c>
      <c r="L49" s="778">
        <v>0</v>
      </c>
      <c r="M49" s="788">
        <v>0</v>
      </c>
      <c r="N49" s="788">
        <v>0</v>
      </c>
      <c r="O49" s="778">
        <f t="shared" si="12"/>
        <v>1.0051538764337853</v>
      </c>
      <c r="P49" s="841"/>
      <c r="Q49" s="841"/>
      <c r="R49" s="841"/>
      <c r="S49" s="841"/>
      <c r="T49" s="841"/>
      <c r="U49" s="841"/>
      <c r="V49" s="841"/>
      <c r="W49" s="841"/>
      <c r="X49" s="841"/>
      <c r="Y49" s="841"/>
      <c r="Z49" s="841"/>
      <c r="AA49" s="841"/>
      <c r="AB49" s="841"/>
      <c r="AC49" s="841"/>
      <c r="AD49" s="841"/>
      <c r="AE49" s="841"/>
      <c r="AF49" s="841"/>
      <c r="AG49" s="841"/>
    </row>
    <row r="50" spans="1:33" s="843" customFormat="1" x14ac:dyDescent="0.3">
      <c r="A50" s="405"/>
      <c r="B50" s="868" t="s">
        <v>237</v>
      </c>
      <c r="C50" s="788">
        <v>0</v>
      </c>
      <c r="D50" s="788">
        <v>0</v>
      </c>
      <c r="E50" s="788">
        <v>2.485669143204727E-2</v>
      </c>
      <c r="F50" s="788">
        <v>0</v>
      </c>
      <c r="G50" s="788">
        <v>0</v>
      </c>
      <c r="H50" s="788">
        <v>0</v>
      </c>
      <c r="I50" s="788">
        <v>0</v>
      </c>
      <c r="J50" s="788">
        <v>0</v>
      </c>
      <c r="K50" s="788">
        <v>2.485669143204727E-2</v>
      </c>
      <c r="L50" s="778">
        <v>0</v>
      </c>
      <c r="M50" s="788">
        <v>0</v>
      </c>
      <c r="N50" s="788">
        <v>0</v>
      </c>
      <c r="O50" s="778">
        <f t="shared" si="12"/>
        <v>4.9713382864094539E-2</v>
      </c>
      <c r="P50" s="841"/>
      <c r="Q50" s="841"/>
      <c r="R50" s="841"/>
      <c r="S50" s="841"/>
      <c r="T50" s="841"/>
      <c r="U50" s="841"/>
      <c r="V50" s="841"/>
      <c r="W50" s="841"/>
      <c r="X50" s="841"/>
      <c r="Y50" s="841"/>
      <c r="Z50" s="841"/>
      <c r="AA50" s="841"/>
      <c r="AB50" s="841"/>
      <c r="AC50" s="841"/>
      <c r="AD50" s="841"/>
      <c r="AE50" s="841"/>
      <c r="AF50" s="841"/>
      <c r="AG50" s="841"/>
    </row>
    <row r="51" spans="1:33" s="843" customFormat="1" x14ac:dyDescent="0.3">
      <c r="A51" s="405"/>
      <c r="B51" s="784" t="s">
        <v>74</v>
      </c>
      <c r="C51" s="765">
        <f>+C52+C55+C61</f>
        <v>0</v>
      </c>
      <c r="D51" s="765">
        <f t="shared" ref="D51:N51" si="20">+D52+D55+D61</f>
        <v>0</v>
      </c>
      <c r="E51" s="765">
        <f t="shared" si="20"/>
        <v>0</v>
      </c>
      <c r="F51" s="765">
        <f t="shared" si="20"/>
        <v>0</v>
      </c>
      <c r="G51" s="765">
        <f t="shared" si="20"/>
        <v>0</v>
      </c>
      <c r="H51" s="765">
        <f t="shared" si="20"/>
        <v>103.40108554496595</v>
      </c>
      <c r="I51" s="765">
        <f t="shared" si="20"/>
        <v>0</v>
      </c>
      <c r="J51" s="765">
        <f t="shared" si="20"/>
        <v>0</v>
      </c>
      <c r="K51" s="765">
        <f t="shared" si="20"/>
        <v>0</v>
      </c>
      <c r="L51" s="765">
        <f t="shared" si="20"/>
        <v>0</v>
      </c>
      <c r="M51" s="765">
        <f t="shared" si="20"/>
        <v>0</v>
      </c>
      <c r="N51" s="765">
        <f t="shared" si="20"/>
        <v>103.40108554496595</v>
      </c>
      <c r="O51" s="765">
        <f t="shared" ref="O51" si="21">+O52+O55+O61</f>
        <v>206.8021710899319</v>
      </c>
      <c r="P51" s="841"/>
      <c r="Q51" s="841"/>
      <c r="R51" s="841"/>
      <c r="S51" s="841"/>
      <c r="T51" s="841"/>
      <c r="U51" s="841"/>
      <c r="V51" s="841"/>
      <c r="W51" s="841"/>
      <c r="X51" s="841"/>
      <c r="Y51" s="841"/>
      <c r="Z51" s="841"/>
      <c r="AA51" s="841"/>
      <c r="AB51" s="841"/>
      <c r="AC51" s="841"/>
      <c r="AD51" s="841"/>
      <c r="AE51" s="841"/>
      <c r="AF51" s="841"/>
      <c r="AG51" s="841"/>
    </row>
    <row r="52" spans="1:33" s="843" customFormat="1" x14ac:dyDescent="0.3">
      <c r="A52" s="405"/>
      <c r="B52" s="290" t="s">
        <v>23</v>
      </c>
      <c r="C52" s="788">
        <f>+C53+C54</f>
        <v>0</v>
      </c>
      <c r="D52" s="788">
        <f t="shared" ref="D52:N52" si="22">+D53+D54</f>
        <v>0</v>
      </c>
      <c r="E52" s="788">
        <f t="shared" si="22"/>
        <v>0</v>
      </c>
      <c r="F52" s="788">
        <f t="shared" si="22"/>
        <v>0</v>
      </c>
      <c r="G52" s="788">
        <f t="shared" si="22"/>
        <v>0</v>
      </c>
      <c r="H52" s="788">
        <f t="shared" si="22"/>
        <v>100.97970566422896</v>
      </c>
      <c r="I52" s="788">
        <f t="shared" si="22"/>
        <v>0</v>
      </c>
      <c r="J52" s="788">
        <f t="shared" si="22"/>
        <v>0</v>
      </c>
      <c r="K52" s="788">
        <f t="shared" si="22"/>
        <v>0</v>
      </c>
      <c r="L52" s="788">
        <f t="shared" si="22"/>
        <v>0</v>
      </c>
      <c r="M52" s="788">
        <f t="shared" si="22"/>
        <v>0</v>
      </c>
      <c r="N52" s="788">
        <f t="shared" si="22"/>
        <v>100.97970566422896</v>
      </c>
      <c r="O52" s="822">
        <f>SUM(C52:N52)</f>
        <v>201.95941132845792</v>
      </c>
      <c r="P52" s="841"/>
      <c r="Q52" s="841"/>
      <c r="R52" s="841"/>
      <c r="S52" s="841"/>
      <c r="T52" s="841"/>
      <c r="U52" s="841"/>
      <c r="V52" s="841"/>
      <c r="W52" s="841"/>
      <c r="X52" s="841"/>
      <c r="Y52" s="841"/>
      <c r="Z52" s="841"/>
      <c r="AA52" s="841"/>
      <c r="AB52" s="841"/>
      <c r="AC52" s="841"/>
      <c r="AD52" s="841"/>
      <c r="AE52" s="841"/>
      <c r="AF52" s="841"/>
      <c r="AG52" s="841"/>
    </row>
    <row r="53" spans="1:33" s="843" customFormat="1" x14ac:dyDescent="0.3">
      <c r="A53" s="405"/>
      <c r="B53" s="868" t="s">
        <v>236</v>
      </c>
      <c r="C53" s="788">
        <v>0</v>
      </c>
      <c r="D53" s="788">
        <v>0</v>
      </c>
      <c r="E53" s="788">
        <v>0</v>
      </c>
      <c r="F53" s="788">
        <v>0</v>
      </c>
      <c r="G53" s="788">
        <v>0</v>
      </c>
      <c r="H53" s="788">
        <v>99.780272869361042</v>
      </c>
      <c r="I53" s="788">
        <v>0</v>
      </c>
      <c r="J53" s="788">
        <v>0</v>
      </c>
      <c r="K53" s="788">
        <v>0</v>
      </c>
      <c r="L53" s="778">
        <v>0</v>
      </c>
      <c r="M53" s="788">
        <v>0</v>
      </c>
      <c r="N53" s="788">
        <v>99.780272869361042</v>
      </c>
      <c r="O53" s="778">
        <f t="shared" ref="O53:O63" si="23">SUM(C53:N53)</f>
        <v>199.56054573872208</v>
      </c>
      <c r="P53" s="841"/>
      <c r="Q53" s="841"/>
      <c r="R53" s="841"/>
      <c r="S53" s="841"/>
      <c r="T53" s="841"/>
      <c r="U53" s="841"/>
      <c r="V53" s="841"/>
      <c r="W53" s="841"/>
      <c r="X53" s="841"/>
      <c r="Y53" s="841"/>
      <c r="Z53" s="841"/>
      <c r="AA53" s="841"/>
      <c r="AB53" s="841"/>
      <c r="AC53" s="841"/>
      <c r="AD53" s="841"/>
      <c r="AE53" s="841"/>
      <c r="AF53" s="841"/>
      <c r="AG53" s="841"/>
    </row>
    <row r="54" spans="1:33" s="843" customFormat="1" x14ac:dyDescent="0.3">
      <c r="A54" s="405"/>
      <c r="B54" s="868" t="s">
        <v>237</v>
      </c>
      <c r="C54" s="788">
        <v>0</v>
      </c>
      <c r="D54" s="788">
        <v>0</v>
      </c>
      <c r="E54" s="788">
        <v>0</v>
      </c>
      <c r="F54" s="788">
        <v>0</v>
      </c>
      <c r="G54" s="788">
        <v>0</v>
      </c>
      <c r="H54" s="788">
        <v>1.1994327948679184</v>
      </c>
      <c r="I54" s="788">
        <v>0</v>
      </c>
      <c r="J54" s="788">
        <v>0</v>
      </c>
      <c r="K54" s="788">
        <v>0</v>
      </c>
      <c r="L54" s="778">
        <v>0</v>
      </c>
      <c r="M54" s="788">
        <v>0</v>
      </c>
      <c r="N54" s="788">
        <v>1.1994327948679184</v>
      </c>
      <c r="O54" s="778">
        <f t="shared" si="23"/>
        <v>2.3988655897358369</v>
      </c>
      <c r="P54" s="841"/>
      <c r="Q54" s="841"/>
      <c r="R54" s="841"/>
      <c r="S54" s="841"/>
      <c r="T54" s="841"/>
      <c r="U54" s="841"/>
      <c r="V54" s="841"/>
      <c r="W54" s="841"/>
      <c r="X54" s="841"/>
      <c r="Y54" s="841"/>
      <c r="Z54" s="841"/>
      <c r="AA54" s="841"/>
      <c r="AB54" s="841"/>
      <c r="AC54" s="841"/>
      <c r="AD54" s="841"/>
      <c r="AE54" s="841"/>
      <c r="AF54" s="841"/>
      <c r="AG54" s="841"/>
    </row>
    <row r="55" spans="1:33" s="843" customFormat="1" x14ac:dyDescent="0.3">
      <c r="A55" s="405"/>
      <c r="B55" s="290" t="s">
        <v>24</v>
      </c>
      <c r="C55" s="788">
        <f>+C56+C59</f>
        <v>0</v>
      </c>
      <c r="D55" s="788">
        <f t="shared" ref="D55:N55" si="24">+D56+D59</f>
        <v>0</v>
      </c>
      <c r="E55" s="788">
        <f t="shared" si="24"/>
        <v>0</v>
      </c>
      <c r="F55" s="788">
        <f t="shared" si="24"/>
        <v>0</v>
      </c>
      <c r="G55" s="788">
        <f t="shared" si="24"/>
        <v>0</v>
      </c>
      <c r="H55" s="788">
        <f t="shared" si="24"/>
        <v>0.57307192635743398</v>
      </c>
      <c r="I55" s="788">
        <f t="shared" si="24"/>
        <v>0</v>
      </c>
      <c r="J55" s="788">
        <f t="shared" si="24"/>
        <v>0</v>
      </c>
      <c r="K55" s="788">
        <f t="shared" si="24"/>
        <v>0</v>
      </c>
      <c r="L55" s="788">
        <f t="shared" si="24"/>
        <v>0</v>
      </c>
      <c r="M55" s="788">
        <f t="shared" si="24"/>
        <v>0</v>
      </c>
      <c r="N55" s="788">
        <f t="shared" si="24"/>
        <v>0.57307192635743398</v>
      </c>
      <c r="O55" s="778">
        <f t="shared" si="23"/>
        <v>1.146143852714868</v>
      </c>
      <c r="P55" s="841"/>
      <c r="Q55" s="841"/>
      <c r="R55" s="841"/>
      <c r="S55" s="841"/>
      <c r="T55" s="841"/>
      <c r="U55" s="841"/>
      <c r="V55" s="841"/>
      <c r="W55" s="841"/>
      <c r="X55" s="841"/>
      <c r="Y55" s="841"/>
      <c r="Z55" s="841"/>
      <c r="AA55" s="841"/>
      <c r="AB55" s="841"/>
      <c r="AC55" s="841"/>
      <c r="AD55" s="841"/>
      <c r="AE55" s="841"/>
      <c r="AF55" s="841"/>
      <c r="AG55" s="841"/>
    </row>
    <row r="56" spans="1:33" s="843" customFormat="1" x14ac:dyDescent="0.3">
      <c r="A56" s="405"/>
      <c r="B56" s="868" t="s">
        <v>236</v>
      </c>
      <c r="C56" s="788">
        <f>+C57+C58</f>
        <v>0</v>
      </c>
      <c r="D56" s="788">
        <f t="shared" ref="D56:N56" si="25">+D57+D58</f>
        <v>0</v>
      </c>
      <c r="E56" s="788">
        <f t="shared" si="25"/>
        <v>0</v>
      </c>
      <c r="F56" s="788">
        <f t="shared" si="25"/>
        <v>0</v>
      </c>
      <c r="G56" s="788">
        <f t="shared" si="25"/>
        <v>0</v>
      </c>
      <c r="H56" s="788">
        <f t="shared" si="25"/>
        <v>0.40734102</v>
      </c>
      <c r="I56" s="788">
        <f t="shared" si="25"/>
        <v>0</v>
      </c>
      <c r="J56" s="788">
        <f t="shared" si="25"/>
        <v>0</v>
      </c>
      <c r="K56" s="788">
        <f t="shared" si="25"/>
        <v>0</v>
      </c>
      <c r="L56" s="788">
        <f t="shared" si="25"/>
        <v>0</v>
      </c>
      <c r="M56" s="788">
        <f t="shared" si="25"/>
        <v>0</v>
      </c>
      <c r="N56" s="788">
        <f t="shared" si="25"/>
        <v>0.40734102</v>
      </c>
      <c r="O56" s="778">
        <f t="shared" si="23"/>
        <v>0.81468204</v>
      </c>
      <c r="P56" s="841"/>
      <c r="Q56" s="841"/>
      <c r="R56" s="841"/>
      <c r="S56" s="841"/>
      <c r="T56" s="841"/>
      <c r="U56" s="841"/>
      <c r="V56" s="841"/>
      <c r="W56" s="841"/>
      <c r="X56" s="841"/>
      <c r="Y56" s="841"/>
      <c r="Z56" s="841"/>
      <c r="AA56" s="841"/>
      <c r="AB56" s="841"/>
      <c r="AC56" s="841"/>
      <c r="AD56" s="841"/>
      <c r="AE56" s="841"/>
      <c r="AF56" s="841"/>
      <c r="AG56" s="841"/>
    </row>
    <row r="57" spans="1:33" s="843" customFormat="1" x14ac:dyDescent="0.3">
      <c r="A57" s="405"/>
      <c r="B57" s="871" t="s">
        <v>238</v>
      </c>
      <c r="C57" s="788">
        <v>0</v>
      </c>
      <c r="D57" s="788">
        <v>0</v>
      </c>
      <c r="E57" s="788">
        <v>0</v>
      </c>
      <c r="F57" s="788">
        <v>0</v>
      </c>
      <c r="G57" s="788">
        <v>0</v>
      </c>
      <c r="H57" s="788">
        <v>0</v>
      </c>
      <c r="I57" s="788">
        <v>0</v>
      </c>
      <c r="J57" s="788">
        <v>0</v>
      </c>
      <c r="K57" s="788">
        <v>0</v>
      </c>
      <c r="L57" s="778">
        <v>0</v>
      </c>
      <c r="M57" s="788">
        <v>0</v>
      </c>
      <c r="N57" s="788">
        <v>0</v>
      </c>
      <c r="O57" s="778">
        <f t="shared" si="23"/>
        <v>0</v>
      </c>
      <c r="P57" s="841"/>
      <c r="Q57" s="841"/>
      <c r="R57" s="841"/>
      <c r="S57" s="841"/>
      <c r="T57" s="841"/>
      <c r="U57" s="841"/>
      <c r="V57" s="841"/>
      <c r="W57" s="841"/>
      <c r="X57" s="841"/>
      <c r="Y57" s="841"/>
      <c r="Z57" s="841"/>
      <c r="AA57" s="841"/>
      <c r="AB57" s="841"/>
      <c r="AC57" s="841"/>
      <c r="AD57" s="841"/>
      <c r="AE57" s="841"/>
      <c r="AF57" s="841"/>
      <c r="AG57" s="841"/>
    </row>
    <row r="58" spans="1:33" s="843" customFormat="1" x14ac:dyDescent="0.3">
      <c r="A58" s="405"/>
      <c r="B58" s="870" t="s">
        <v>239</v>
      </c>
      <c r="C58" s="788">
        <v>0</v>
      </c>
      <c r="D58" s="788">
        <v>0</v>
      </c>
      <c r="E58" s="788">
        <v>0</v>
      </c>
      <c r="F58" s="788">
        <v>0</v>
      </c>
      <c r="G58" s="788">
        <v>0</v>
      </c>
      <c r="H58" s="788">
        <v>0.40734102</v>
      </c>
      <c r="I58" s="788">
        <v>0</v>
      </c>
      <c r="J58" s="788">
        <v>0</v>
      </c>
      <c r="K58" s="788">
        <v>0</v>
      </c>
      <c r="L58" s="778">
        <v>0</v>
      </c>
      <c r="M58" s="788">
        <v>0</v>
      </c>
      <c r="N58" s="788">
        <v>0.40734102</v>
      </c>
      <c r="O58" s="778">
        <f t="shared" si="23"/>
        <v>0.81468204</v>
      </c>
      <c r="P58" s="841"/>
      <c r="Q58" s="841"/>
      <c r="R58" s="841"/>
      <c r="S58" s="841"/>
      <c r="T58" s="841"/>
      <c r="U58" s="841"/>
      <c r="V58" s="841"/>
      <c r="W58" s="841"/>
      <c r="X58" s="841"/>
      <c r="Y58" s="841"/>
      <c r="Z58" s="841"/>
      <c r="AA58" s="841"/>
      <c r="AB58" s="841"/>
      <c r="AC58" s="841"/>
      <c r="AD58" s="841"/>
      <c r="AE58" s="841"/>
      <c r="AF58" s="841"/>
      <c r="AG58" s="841"/>
    </row>
    <row r="59" spans="1:33" s="843" customFormat="1" x14ac:dyDescent="0.3">
      <c r="A59" s="405"/>
      <c r="B59" s="868" t="s">
        <v>237</v>
      </c>
      <c r="C59" s="788">
        <f>+C60</f>
        <v>0</v>
      </c>
      <c r="D59" s="788">
        <f t="shared" ref="D59:N59" si="26">+D60</f>
        <v>0</v>
      </c>
      <c r="E59" s="788">
        <f t="shared" si="26"/>
        <v>0</v>
      </c>
      <c r="F59" s="788">
        <f t="shared" si="26"/>
        <v>0</v>
      </c>
      <c r="G59" s="788">
        <f t="shared" si="26"/>
        <v>0</v>
      </c>
      <c r="H59" s="788">
        <f t="shared" si="26"/>
        <v>0.16573090635743398</v>
      </c>
      <c r="I59" s="788">
        <f t="shared" si="26"/>
        <v>0</v>
      </c>
      <c r="J59" s="788">
        <f t="shared" si="26"/>
        <v>0</v>
      </c>
      <c r="K59" s="788">
        <f t="shared" si="26"/>
        <v>0</v>
      </c>
      <c r="L59" s="788">
        <f t="shared" si="26"/>
        <v>0</v>
      </c>
      <c r="M59" s="788">
        <f t="shared" si="26"/>
        <v>0</v>
      </c>
      <c r="N59" s="788">
        <f t="shared" si="26"/>
        <v>0.16573090635743398</v>
      </c>
      <c r="O59" s="788">
        <f t="shared" ref="O59" si="27">+O60</f>
        <v>0.33146181271486796</v>
      </c>
      <c r="P59" s="841"/>
      <c r="Q59" s="841"/>
      <c r="R59" s="841"/>
      <c r="S59" s="841"/>
      <c r="T59" s="841"/>
      <c r="U59" s="841"/>
      <c r="V59" s="841"/>
      <c r="W59" s="841"/>
      <c r="X59" s="841"/>
      <c r="Y59" s="841"/>
      <c r="Z59" s="841"/>
      <c r="AA59" s="841"/>
      <c r="AB59" s="841"/>
      <c r="AC59" s="841"/>
      <c r="AD59" s="841"/>
      <c r="AE59" s="841"/>
      <c r="AF59" s="841"/>
      <c r="AG59" s="841"/>
    </row>
    <row r="60" spans="1:33" s="843" customFormat="1" x14ac:dyDescent="0.3">
      <c r="A60" s="405"/>
      <c r="B60" s="870" t="s">
        <v>239</v>
      </c>
      <c r="C60" s="788">
        <v>0</v>
      </c>
      <c r="D60" s="788">
        <v>0</v>
      </c>
      <c r="E60" s="788">
        <v>0</v>
      </c>
      <c r="F60" s="788">
        <v>0</v>
      </c>
      <c r="G60" s="788">
        <v>0</v>
      </c>
      <c r="H60" s="788">
        <v>0.16573090635743398</v>
      </c>
      <c r="I60" s="788">
        <v>0</v>
      </c>
      <c r="J60" s="788">
        <v>0</v>
      </c>
      <c r="K60" s="788">
        <v>0</v>
      </c>
      <c r="L60" s="778">
        <v>0</v>
      </c>
      <c r="M60" s="788">
        <v>0</v>
      </c>
      <c r="N60" s="788">
        <v>0.16573090635743398</v>
      </c>
      <c r="O60" s="778">
        <f t="shared" si="23"/>
        <v>0.33146181271486796</v>
      </c>
      <c r="P60" s="841"/>
      <c r="Q60" s="841"/>
      <c r="R60" s="841"/>
      <c r="S60" s="841"/>
      <c r="T60" s="841"/>
      <c r="U60" s="841"/>
      <c r="V60" s="841"/>
      <c r="W60" s="841"/>
      <c r="X60" s="841"/>
      <c r="Y60" s="841"/>
      <c r="Z60" s="841"/>
      <c r="AA60" s="841"/>
      <c r="AB60" s="841"/>
      <c r="AC60" s="841"/>
      <c r="AD60" s="841"/>
      <c r="AE60" s="841"/>
      <c r="AF60" s="841"/>
      <c r="AG60" s="841"/>
    </row>
    <row r="61" spans="1:33" s="843" customFormat="1" x14ac:dyDescent="0.3">
      <c r="A61" s="405"/>
      <c r="B61" s="290" t="s">
        <v>25</v>
      </c>
      <c r="C61" s="788">
        <f>+C62+C63</f>
        <v>0</v>
      </c>
      <c r="D61" s="788">
        <f t="shared" ref="D61:N61" si="28">+D62+D63</f>
        <v>0</v>
      </c>
      <c r="E61" s="788">
        <f t="shared" si="28"/>
        <v>0</v>
      </c>
      <c r="F61" s="788">
        <f t="shared" si="28"/>
        <v>0</v>
      </c>
      <c r="G61" s="788">
        <f t="shared" si="28"/>
        <v>0</v>
      </c>
      <c r="H61" s="788">
        <f t="shared" si="28"/>
        <v>1.848307954379562</v>
      </c>
      <c r="I61" s="788">
        <f t="shared" si="28"/>
        <v>0</v>
      </c>
      <c r="J61" s="788">
        <f t="shared" si="28"/>
        <v>0</v>
      </c>
      <c r="K61" s="788">
        <f t="shared" si="28"/>
        <v>0</v>
      </c>
      <c r="L61" s="788">
        <f t="shared" si="28"/>
        <v>0</v>
      </c>
      <c r="M61" s="788">
        <f t="shared" si="28"/>
        <v>0</v>
      </c>
      <c r="N61" s="788">
        <f t="shared" si="28"/>
        <v>1.848307954379562</v>
      </c>
      <c r="O61" s="778">
        <f t="shared" si="23"/>
        <v>3.6966159087591239</v>
      </c>
      <c r="P61" s="841"/>
      <c r="Q61" s="841"/>
      <c r="R61" s="841"/>
      <c r="S61" s="841"/>
      <c r="T61" s="841"/>
      <c r="U61" s="841"/>
      <c r="V61" s="841"/>
      <c r="W61" s="841"/>
      <c r="X61" s="841"/>
      <c r="Y61" s="841"/>
      <c r="Z61" s="841"/>
      <c r="AA61" s="841"/>
      <c r="AB61" s="841"/>
      <c r="AC61" s="841"/>
      <c r="AD61" s="841"/>
      <c r="AE61" s="841"/>
      <c r="AF61" s="841"/>
      <c r="AG61" s="841"/>
    </row>
    <row r="62" spans="1:33" s="843" customFormat="1" x14ac:dyDescent="0.3">
      <c r="A62" s="405"/>
      <c r="B62" s="868" t="s">
        <v>236</v>
      </c>
      <c r="C62" s="788">
        <v>0</v>
      </c>
      <c r="D62" s="788">
        <v>0</v>
      </c>
      <c r="E62" s="788">
        <v>0</v>
      </c>
      <c r="F62" s="788">
        <v>0</v>
      </c>
      <c r="G62" s="788">
        <v>0</v>
      </c>
      <c r="H62" s="788">
        <v>1.2752695836809176</v>
      </c>
      <c r="I62" s="788">
        <v>0</v>
      </c>
      <c r="J62" s="788">
        <v>0</v>
      </c>
      <c r="K62" s="788">
        <v>0</v>
      </c>
      <c r="L62" s="778">
        <v>0</v>
      </c>
      <c r="M62" s="788">
        <v>0</v>
      </c>
      <c r="N62" s="788">
        <v>1.2752695836809176</v>
      </c>
      <c r="O62" s="778">
        <f t="shared" si="23"/>
        <v>2.5505391673618352</v>
      </c>
      <c r="P62" s="841"/>
      <c r="Q62" s="841"/>
      <c r="R62" s="841"/>
      <c r="S62" s="841"/>
      <c r="T62" s="841"/>
      <c r="U62" s="841"/>
      <c r="V62" s="841"/>
      <c r="W62" s="841"/>
      <c r="X62" s="841"/>
      <c r="Y62" s="841"/>
      <c r="Z62" s="841"/>
      <c r="AA62" s="841"/>
      <c r="AB62" s="841"/>
      <c r="AC62" s="841"/>
      <c r="AD62" s="841"/>
      <c r="AE62" s="841"/>
      <c r="AF62" s="841"/>
      <c r="AG62" s="841"/>
    </row>
    <row r="63" spans="1:33" s="843" customFormat="1" x14ac:dyDescent="0.3">
      <c r="A63" s="405"/>
      <c r="B63" s="868" t="s">
        <v>237</v>
      </c>
      <c r="C63" s="788">
        <v>0</v>
      </c>
      <c r="D63" s="788">
        <v>0</v>
      </c>
      <c r="E63" s="788">
        <v>0</v>
      </c>
      <c r="F63" s="788">
        <v>0</v>
      </c>
      <c r="G63" s="788">
        <v>0</v>
      </c>
      <c r="H63" s="788">
        <v>0.57303837069864438</v>
      </c>
      <c r="I63" s="788">
        <v>0</v>
      </c>
      <c r="J63" s="788">
        <v>0</v>
      </c>
      <c r="K63" s="788">
        <v>0</v>
      </c>
      <c r="L63" s="867">
        <v>0</v>
      </c>
      <c r="M63" s="788">
        <v>0</v>
      </c>
      <c r="N63" s="788">
        <v>0.57303837069864438</v>
      </c>
      <c r="O63" s="778">
        <f t="shared" si="23"/>
        <v>1.1460767413972888</v>
      </c>
      <c r="P63" s="841"/>
      <c r="Q63" s="841"/>
      <c r="R63" s="841"/>
      <c r="S63" s="841"/>
      <c r="T63" s="841"/>
      <c r="U63" s="841"/>
      <c r="V63" s="841"/>
      <c r="W63" s="841"/>
      <c r="X63" s="841"/>
      <c r="Y63" s="841"/>
      <c r="Z63" s="841"/>
      <c r="AA63" s="841"/>
      <c r="AB63" s="841"/>
      <c r="AC63" s="841"/>
      <c r="AD63" s="841"/>
      <c r="AE63" s="841"/>
      <c r="AF63" s="841"/>
      <c r="AG63" s="841"/>
    </row>
    <row r="64" spans="1:33" s="843" customFormat="1" x14ac:dyDescent="0.3">
      <c r="A64" s="405"/>
      <c r="B64" s="782" t="s">
        <v>26</v>
      </c>
      <c r="C64" s="783">
        <v>0</v>
      </c>
      <c r="D64" s="783">
        <v>0</v>
      </c>
      <c r="E64" s="783">
        <v>0</v>
      </c>
      <c r="F64" s="783">
        <v>0</v>
      </c>
      <c r="G64" s="783">
        <v>0</v>
      </c>
      <c r="H64" s="783">
        <v>139.02580555072925</v>
      </c>
      <c r="I64" s="783">
        <v>0</v>
      </c>
      <c r="J64" s="783">
        <v>0</v>
      </c>
      <c r="K64" s="783">
        <v>0</v>
      </c>
      <c r="L64" s="773">
        <v>0</v>
      </c>
      <c r="M64" s="783">
        <v>0</v>
      </c>
      <c r="N64" s="783">
        <v>139.02580555072925</v>
      </c>
      <c r="O64" s="773">
        <f>SUM(C64:N64)</f>
        <v>278.05161110145849</v>
      </c>
      <c r="P64" s="841"/>
      <c r="Q64" s="841"/>
      <c r="R64" s="841"/>
      <c r="S64" s="841"/>
      <c r="T64" s="841"/>
      <c r="U64" s="841"/>
      <c r="V64" s="841"/>
      <c r="W64" s="841"/>
      <c r="X64" s="841"/>
      <c r="Y64" s="841"/>
      <c r="Z64" s="841"/>
      <c r="AA64" s="841"/>
      <c r="AB64" s="841"/>
      <c r="AC64" s="841"/>
      <c r="AD64" s="841"/>
      <c r="AE64" s="841"/>
      <c r="AF64" s="841"/>
      <c r="AG64" s="841"/>
    </row>
    <row r="65" spans="1:33" s="843" customFormat="1" x14ac:dyDescent="0.3">
      <c r="A65" s="405"/>
      <c r="B65" s="782" t="s">
        <v>592</v>
      </c>
      <c r="C65" s="822">
        <v>1.6855276558637469</v>
      </c>
      <c r="D65" s="822">
        <v>1.6664733600000001</v>
      </c>
      <c r="E65" s="822">
        <v>1.6466893814111923</v>
      </c>
      <c r="F65" s="822">
        <v>1.6277250753284671</v>
      </c>
      <c r="G65" s="822">
        <v>1.6083467169829682</v>
      </c>
      <c r="H65" s="822">
        <v>1.5888597164963505</v>
      </c>
      <c r="I65" s="822">
        <v>1.5692634648175181</v>
      </c>
      <c r="J65" s="822">
        <v>1.5495573492944037</v>
      </c>
      <c r="K65" s="822">
        <v>1.5297407540632604</v>
      </c>
      <c r="L65" s="773">
        <v>1.5098130597566908</v>
      </c>
      <c r="M65" s="822">
        <v>1.4897736435036497</v>
      </c>
      <c r="N65" s="783">
        <v>1.4696218789294404</v>
      </c>
      <c r="O65" s="773">
        <f>SUM(C65:N65)</f>
        <v>18.941392056447686</v>
      </c>
      <c r="P65" s="841"/>
      <c r="Q65" s="841"/>
      <c r="R65" s="841"/>
      <c r="S65" s="841"/>
      <c r="T65" s="841"/>
      <c r="U65" s="841"/>
      <c r="V65" s="841"/>
      <c r="W65" s="841"/>
      <c r="X65" s="841"/>
      <c r="Y65" s="841"/>
      <c r="Z65" s="841"/>
      <c r="AA65" s="841"/>
      <c r="AB65" s="841"/>
      <c r="AC65" s="841"/>
      <c r="AD65" s="841"/>
      <c r="AE65" s="841"/>
      <c r="AF65" s="841"/>
      <c r="AG65" s="841"/>
    </row>
    <row r="66" spans="1:33" s="843" customFormat="1" x14ac:dyDescent="0.3">
      <c r="A66" s="405"/>
      <c r="B66" s="784" t="s">
        <v>557</v>
      </c>
      <c r="C66" s="822">
        <v>0</v>
      </c>
      <c r="D66" s="822">
        <v>0</v>
      </c>
      <c r="E66" s="822">
        <v>0</v>
      </c>
      <c r="F66" s="822">
        <v>0</v>
      </c>
      <c r="G66" s="822">
        <v>0</v>
      </c>
      <c r="H66" s="822">
        <v>0</v>
      </c>
      <c r="I66" s="822">
        <v>0</v>
      </c>
      <c r="J66" s="822">
        <v>0</v>
      </c>
      <c r="K66" s="822">
        <v>0</v>
      </c>
      <c r="L66" s="773">
        <v>0</v>
      </c>
      <c r="M66" s="822">
        <v>0</v>
      </c>
      <c r="N66" s="783">
        <v>0</v>
      </c>
      <c r="O66" s="773">
        <f t="shared" ref="O66:O121" si="29">SUM(C66:N66)</f>
        <v>0</v>
      </c>
      <c r="P66" s="841"/>
      <c r="Q66" s="841"/>
      <c r="R66" s="841"/>
      <c r="S66" s="841"/>
      <c r="T66" s="841"/>
      <c r="U66" s="841"/>
      <c r="V66" s="841"/>
      <c r="W66" s="841"/>
      <c r="X66" s="841"/>
      <c r="Y66" s="841"/>
      <c r="Z66" s="841"/>
      <c r="AA66" s="841"/>
      <c r="AB66" s="841"/>
      <c r="AC66" s="841"/>
      <c r="AD66" s="841"/>
      <c r="AE66" s="841"/>
      <c r="AF66" s="841"/>
      <c r="AG66" s="841"/>
    </row>
    <row r="67" spans="1:33" s="843" customFormat="1" x14ac:dyDescent="0.3">
      <c r="A67" s="405"/>
      <c r="B67" s="784" t="s">
        <v>743</v>
      </c>
      <c r="C67" s="822">
        <v>0</v>
      </c>
      <c r="D67" s="822">
        <v>0.12499447999999999</v>
      </c>
      <c r="E67" s="822">
        <v>0</v>
      </c>
      <c r="F67" s="822">
        <v>0</v>
      </c>
      <c r="G67" s="822">
        <v>0</v>
      </c>
      <c r="H67" s="822">
        <v>0</v>
      </c>
      <c r="I67" s="822">
        <v>0</v>
      </c>
      <c r="J67" s="822">
        <v>0.12499447999999999</v>
      </c>
      <c r="K67" s="822">
        <v>0</v>
      </c>
      <c r="L67" s="773">
        <v>0</v>
      </c>
      <c r="M67" s="822">
        <v>0</v>
      </c>
      <c r="N67" s="783">
        <v>0</v>
      </c>
      <c r="O67" s="773">
        <f t="shared" si="29"/>
        <v>0.24998895999999998</v>
      </c>
      <c r="P67" s="841"/>
      <c r="Q67" s="841"/>
      <c r="R67" s="841"/>
      <c r="S67" s="841"/>
      <c r="T67" s="841"/>
      <c r="U67" s="841"/>
      <c r="V67" s="841"/>
      <c r="W67" s="841"/>
      <c r="X67" s="841"/>
      <c r="Y67" s="841"/>
      <c r="Z67" s="841"/>
      <c r="AA67" s="841"/>
      <c r="AB67" s="841"/>
      <c r="AC67" s="841"/>
      <c r="AD67" s="841"/>
      <c r="AE67" s="841"/>
      <c r="AF67" s="841"/>
      <c r="AG67" s="841"/>
    </row>
    <row r="68" spans="1:33" s="843" customFormat="1" x14ac:dyDescent="0.3">
      <c r="A68" s="405"/>
      <c r="B68" s="784" t="s">
        <v>497</v>
      </c>
      <c r="C68" s="822">
        <v>0</v>
      </c>
      <c r="D68" s="822">
        <v>0</v>
      </c>
      <c r="E68" s="822">
        <v>0</v>
      </c>
      <c r="F68" s="822">
        <v>5.6373230000000003E-2</v>
      </c>
      <c r="G68" s="822">
        <v>0</v>
      </c>
      <c r="H68" s="822">
        <v>0</v>
      </c>
      <c r="I68" s="822">
        <v>0</v>
      </c>
      <c r="J68" s="822">
        <v>0</v>
      </c>
      <c r="K68" s="822">
        <v>0</v>
      </c>
      <c r="L68" s="773">
        <v>3.7770060000000001E-2</v>
      </c>
      <c r="M68" s="822">
        <v>0</v>
      </c>
      <c r="N68" s="783">
        <v>0</v>
      </c>
      <c r="O68" s="773">
        <f t="shared" si="29"/>
        <v>9.4143290000000004E-2</v>
      </c>
      <c r="P68" s="841"/>
      <c r="Q68" s="841"/>
      <c r="R68" s="841"/>
      <c r="S68" s="841"/>
      <c r="T68" s="841"/>
      <c r="U68" s="841"/>
      <c r="V68" s="841"/>
      <c r="W68" s="841"/>
      <c r="X68" s="841"/>
      <c r="Y68" s="841"/>
      <c r="Z68" s="841"/>
      <c r="AA68" s="841"/>
      <c r="AB68" s="841"/>
      <c r="AC68" s="841"/>
      <c r="AD68" s="841"/>
      <c r="AE68" s="841"/>
      <c r="AF68" s="841"/>
      <c r="AG68" s="841"/>
    </row>
    <row r="69" spans="1:33" s="843" customFormat="1" x14ac:dyDescent="0.3">
      <c r="A69" s="405"/>
      <c r="B69" s="784" t="s">
        <v>498</v>
      </c>
      <c r="C69" s="822">
        <v>0</v>
      </c>
      <c r="D69" s="822">
        <v>0</v>
      </c>
      <c r="E69" s="822">
        <v>0</v>
      </c>
      <c r="F69" s="822">
        <v>0.15331126</v>
      </c>
      <c r="G69" s="822">
        <v>0</v>
      </c>
      <c r="H69" s="822">
        <v>0</v>
      </c>
      <c r="I69" s="822">
        <v>0</v>
      </c>
      <c r="J69" s="822">
        <v>0</v>
      </c>
      <c r="K69" s="822">
        <v>0</v>
      </c>
      <c r="L69" s="773">
        <v>0.15331126</v>
      </c>
      <c r="M69" s="822">
        <v>0</v>
      </c>
      <c r="N69" s="783">
        <v>0</v>
      </c>
      <c r="O69" s="773">
        <f t="shared" si="29"/>
        <v>0.30662252000000001</v>
      </c>
      <c r="P69" s="841"/>
      <c r="Q69" s="841"/>
      <c r="R69" s="841"/>
      <c r="S69" s="841"/>
      <c r="T69" s="841"/>
      <c r="U69" s="841"/>
      <c r="V69" s="841"/>
      <c r="W69" s="841"/>
      <c r="X69" s="841"/>
      <c r="Y69" s="841"/>
      <c r="Z69" s="841"/>
      <c r="AA69" s="841"/>
      <c r="AB69" s="841"/>
      <c r="AC69" s="841"/>
      <c r="AD69" s="841"/>
      <c r="AE69" s="841"/>
      <c r="AF69" s="841"/>
      <c r="AG69" s="841"/>
    </row>
    <row r="70" spans="1:33" s="843" customFormat="1" x14ac:dyDescent="0.3">
      <c r="A70" s="405"/>
      <c r="B70" s="782" t="s">
        <v>742</v>
      </c>
      <c r="C70" s="822">
        <v>0</v>
      </c>
      <c r="D70" s="822">
        <v>0</v>
      </c>
      <c r="E70" s="822">
        <v>0</v>
      </c>
      <c r="F70" s="822">
        <v>0</v>
      </c>
      <c r="G70" s="822">
        <v>0</v>
      </c>
      <c r="H70" s="822">
        <v>0</v>
      </c>
      <c r="I70" s="822">
        <v>0</v>
      </c>
      <c r="J70" s="822">
        <v>0</v>
      </c>
      <c r="K70" s="822">
        <v>0</v>
      </c>
      <c r="L70" s="773">
        <v>0</v>
      </c>
      <c r="M70" s="822">
        <v>0</v>
      </c>
      <c r="N70" s="783">
        <v>0</v>
      </c>
      <c r="O70" s="773">
        <f t="shared" si="29"/>
        <v>0</v>
      </c>
      <c r="P70" s="841"/>
      <c r="Q70" s="841"/>
      <c r="R70" s="841"/>
      <c r="S70" s="841"/>
      <c r="T70" s="841"/>
      <c r="U70" s="841"/>
      <c r="V70" s="841"/>
      <c r="W70" s="841"/>
      <c r="X70" s="841"/>
      <c r="Y70" s="841"/>
      <c r="Z70" s="841"/>
      <c r="AA70" s="841"/>
      <c r="AB70" s="841"/>
      <c r="AC70" s="841"/>
      <c r="AD70" s="841"/>
      <c r="AE70" s="841"/>
      <c r="AF70" s="841"/>
      <c r="AG70" s="841"/>
    </row>
    <row r="71" spans="1:33" s="843" customFormat="1" x14ac:dyDescent="0.3">
      <c r="A71" s="405"/>
      <c r="B71" s="784" t="s">
        <v>559</v>
      </c>
      <c r="C71" s="822">
        <v>0</v>
      </c>
      <c r="D71" s="822">
        <v>0</v>
      </c>
      <c r="E71" s="822">
        <v>0</v>
      </c>
      <c r="F71" s="822">
        <v>0</v>
      </c>
      <c r="G71" s="822">
        <v>0.45595440000000004</v>
      </c>
      <c r="H71" s="822">
        <v>0</v>
      </c>
      <c r="I71" s="822">
        <v>0</v>
      </c>
      <c r="J71" s="822">
        <v>0</v>
      </c>
      <c r="K71" s="822">
        <v>0</v>
      </c>
      <c r="L71" s="773">
        <v>0</v>
      </c>
      <c r="M71" s="822">
        <v>0.22825055</v>
      </c>
      <c r="N71" s="783">
        <v>0</v>
      </c>
      <c r="O71" s="773">
        <f t="shared" si="29"/>
        <v>0.68420495000000003</v>
      </c>
      <c r="P71" s="841"/>
      <c r="Q71" s="841"/>
      <c r="R71" s="841"/>
      <c r="S71" s="841"/>
      <c r="T71" s="841"/>
      <c r="U71" s="841"/>
      <c r="V71" s="841"/>
      <c r="W71" s="841"/>
      <c r="X71" s="841"/>
      <c r="Y71" s="841"/>
      <c r="Z71" s="841"/>
      <c r="AA71" s="841"/>
      <c r="AB71" s="841"/>
      <c r="AC71" s="841"/>
      <c r="AD71" s="841"/>
      <c r="AE71" s="841"/>
      <c r="AF71" s="841"/>
      <c r="AG71" s="841"/>
    </row>
    <row r="72" spans="1:33" s="843" customFormat="1" x14ac:dyDescent="0.3">
      <c r="A72" s="405"/>
      <c r="B72" s="782" t="s">
        <v>697</v>
      </c>
      <c r="C72" s="822">
        <v>0</v>
      </c>
      <c r="D72" s="822">
        <v>0</v>
      </c>
      <c r="E72" s="822">
        <v>0</v>
      </c>
      <c r="F72" s="822">
        <v>0</v>
      </c>
      <c r="G72" s="822">
        <v>0</v>
      </c>
      <c r="H72" s="822">
        <v>0</v>
      </c>
      <c r="I72" s="822">
        <v>0</v>
      </c>
      <c r="J72" s="822">
        <v>0</v>
      </c>
      <c r="K72" s="822">
        <v>0</v>
      </c>
      <c r="L72" s="773">
        <v>0</v>
      </c>
      <c r="M72" s="822">
        <v>0</v>
      </c>
      <c r="N72" s="783">
        <v>0</v>
      </c>
      <c r="O72" s="773">
        <f t="shared" si="29"/>
        <v>0</v>
      </c>
      <c r="P72" s="841"/>
      <c r="Q72" s="841"/>
      <c r="R72" s="841"/>
      <c r="S72" s="841"/>
      <c r="T72" s="841"/>
      <c r="U72" s="841"/>
      <c r="V72" s="841"/>
      <c r="W72" s="841"/>
      <c r="X72" s="841"/>
      <c r="Y72" s="841"/>
      <c r="Z72" s="841"/>
      <c r="AA72" s="841"/>
      <c r="AB72" s="841"/>
      <c r="AC72" s="841"/>
      <c r="AD72" s="841"/>
      <c r="AE72" s="841"/>
      <c r="AF72" s="841"/>
      <c r="AG72" s="841"/>
    </row>
    <row r="73" spans="1:33" s="843" customFormat="1" x14ac:dyDescent="0.3">
      <c r="A73" s="405"/>
      <c r="B73" s="782" t="s">
        <v>815</v>
      </c>
      <c r="C73" s="822">
        <v>11.756517714301189</v>
      </c>
      <c r="D73" s="822">
        <v>0</v>
      </c>
      <c r="E73" s="822">
        <v>0</v>
      </c>
      <c r="F73" s="822">
        <v>0</v>
      </c>
      <c r="G73" s="822">
        <v>0</v>
      </c>
      <c r="H73" s="822">
        <v>0</v>
      </c>
      <c r="I73" s="822">
        <v>11.756517714301189</v>
      </c>
      <c r="J73" s="822">
        <v>0</v>
      </c>
      <c r="K73" s="822">
        <v>0</v>
      </c>
      <c r="L73" s="773">
        <v>0</v>
      </c>
      <c r="M73" s="822">
        <v>0</v>
      </c>
      <c r="N73" s="783">
        <v>0</v>
      </c>
      <c r="O73" s="773">
        <f t="shared" si="29"/>
        <v>23.513035428602379</v>
      </c>
      <c r="P73" s="841"/>
      <c r="Q73" s="841"/>
      <c r="R73" s="841"/>
      <c r="S73" s="841"/>
      <c r="T73" s="841"/>
      <c r="U73" s="841"/>
      <c r="V73" s="841"/>
      <c r="W73" s="841"/>
      <c r="X73" s="841"/>
      <c r="Y73" s="841"/>
      <c r="Z73" s="841"/>
      <c r="AA73" s="841"/>
      <c r="AB73" s="841"/>
      <c r="AC73" s="841"/>
      <c r="AD73" s="841"/>
      <c r="AE73" s="841"/>
      <c r="AF73" s="841"/>
      <c r="AG73" s="841"/>
    </row>
    <row r="74" spans="1:33" s="843" customFormat="1" x14ac:dyDescent="0.3">
      <c r="A74" s="405"/>
      <c r="B74" s="782" t="s">
        <v>795</v>
      </c>
      <c r="C74" s="822">
        <v>0</v>
      </c>
      <c r="D74" s="822">
        <v>36.653134235012814</v>
      </c>
      <c r="E74" s="822">
        <v>0</v>
      </c>
      <c r="F74" s="822">
        <v>0</v>
      </c>
      <c r="G74" s="822">
        <v>0</v>
      </c>
      <c r="H74" s="822">
        <v>0</v>
      </c>
      <c r="I74" s="822">
        <v>0</v>
      </c>
      <c r="J74" s="822">
        <v>36.653134235012814</v>
      </c>
      <c r="K74" s="822">
        <v>0</v>
      </c>
      <c r="L74" s="773">
        <v>0</v>
      </c>
      <c r="M74" s="822">
        <v>0</v>
      </c>
      <c r="N74" s="783">
        <v>0</v>
      </c>
      <c r="O74" s="773">
        <f t="shared" si="29"/>
        <v>73.306268470025628</v>
      </c>
      <c r="P74" s="841"/>
      <c r="Q74" s="841"/>
      <c r="R74" s="841"/>
      <c r="S74" s="841"/>
      <c r="T74" s="841"/>
      <c r="U74" s="841"/>
      <c r="V74" s="841"/>
      <c r="W74" s="841"/>
      <c r="X74" s="841"/>
      <c r="Y74" s="841"/>
      <c r="Z74" s="841"/>
      <c r="AA74" s="841"/>
      <c r="AB74" s="841"/>
      <c r="AC74" s="841"/>
      <c r="AD74" s="841"/>
      <c r="AE74" s="841"/>
      <c r="AF74" s="841"/>
      <c r="AG74" s="841"/>
    </row>
    <row r="75" spans="1:33" s="843" customFormat="1" x14ac:dyDescent="0.3">
      <c r="A75" s="405"/>
      <c r="B75" s="784" t="s">
        <v>794</v>
      </c>
      <c r="C75" s="783">
        <v>0</v>
      </c>
      <c r="D75" s="783">
        <v>0</v>
      </c>
      <c r="E75" s="783">
        <v>0</v>
      </c>
      <c r="F75" s="783">
        <v>0</v>
      </c>
      <c r="G75" s="783">
        <v>0</v>
      </c>
      <c r="H75" s="783">
        <v>0</v>
      </c>
      <c r="I75" s="783">
        <v>0</v>
      </c>
      <c r="J75" s="783">
        <v>0</v>
      </c>
      <c r="K75" s="783">
        <v>0</v>
      </c>
      <c r="L75" s="773">
        <v>0</v>
      </c>
      <c r="M75" s="783">
        <v>0</v>
      </c>
      <c r="N75" s="783">
        <v>0</v>
      </c>
      <c r="O75" s="773">
        <f t="shared" si="29"/>
        <v>0</v>
      </c>
      <c r="P75" s="841"/>
      <c r="Q75" s="841"/>
      <c r="R75" s="841"/>
      <c r="S75" s="841"/>
      <c r="T75" s="841"/>
      <c r="U75" s="841"/>
      <c r="V75" s="841"/>
      <c r="W75" s="841"/>
      <c r="X75" s="841"/>
      <c r="Y75" s="841"/>
      <c r="Z75" s="841"/>
      <c r="AA75" s="841"/>
      <c r="AB75" s="841"/>
      <c r="AC75" s="841"/>
      <c r="AD75" s="841"/>
      <c r="AE75" s="841"/>
      <c r="AF75" s="841"/>
      <c r="AG75" s="841"/>
    </row>
    <row r="76" spans="1:33" s="843" customFormat="1" x14ac:dyDescent="0.3">
      <c r="A76" s="405"/>
      <c r="B76" s="782" t="s">
        <v>792</v>
      </c>
      <c r="C76" s="783">
        <v>0</v>
      </c>
      <c r="D76" s="783">
        <v>0</v>
      </c>
      <c r="E76" s="783">
        <v>39.794100016622558</v>
      </c>
      <c r="F76" s="783">
        <v>0</v>
      </c>
      <c r="G76" s="783">
        <v>0</v>
      </c>
      <c r="H76" s="783">
        <v>0</v>
      </c>
      <c r="I76" s="783">
        <v>0</v>
      </c>
      <c r="J76" s="783">
        <v>0</v>
      </c>
      <c r="K76" s="783">
        <v>0</v>
      </c>
      <c r="L76" s="773">
        <v>0</v>
      </c>
      <c r="M76" s="783">
        <v>0</v>
      </c>
      <c r="N76" s="783">
        <v>0</v>
      </c>
      <c r="O76" s="773">
        <f t="shared" si="29"/>
        <v>39.794100016622558</v>
      </c>
      <c r="P76" s="841"/>
      <c r="Q76" s="841"/>
      <c r="R76" s="841"/>
      <c r="S76" s="841"/>
      <c r="T76" s="841"/>
      <c r="U76" s="841"/>
      <c r="V76" s="841"/>
      <c r="W76" s="841"/>
      <c r="X76" s="841"/>
      <c r="Y76" s="841"/>
      <c r="Z76" s="841"/>
      <c r="AA76" s="841"/>
      <c r="AB76" s="841"/>
      <c r="AC76" s="841"/>
      <c r="AD76" s="841"/>
      <c r="AE76" s="841"/>
      <c r="AF76" s="841"/>
      <c r="AG76" s="841"/>
    </row>
    <row r="77" spans="1:33" s="843" customFormat="1" x14ac:dyDescent="0.3">
      <c r="A77" s="405"/>
      <c r="B77" s="784" t="s">
        <v>793</v>
      </c>
      <c r="C77" s="783">
        <v>0</v>
      </c>
      <c r="D77" s="783">
        <v>0</v>
      </c>
      <c r="E77" s="783">
        <v>47.863261679599916</v>
      </c>
      <c r="F77" s="783">
        <v>0</v>
      </c>
      <c r="G77" s="783">
        <v>0</v>
      </c>
      <c r="H77" s="783">
        <v>0</v>
      </c>
      <c r="I77" s="783">
        <v>0</v>
      </c>
      <c r="J77" s="783">
        <v>0</v>
      </c>
      <c r="K77" s="783">
        <v>47.863261679599916</v>
      </c>
      <c r="L77" s="773">
        <v>0</v>
      </c>
      <c r="M77" s="783">
        <v>0</v>
      </c>
      <c r="N77" s="783">
        <v>0</v>
      </c>
      <c r="O77" s="773">
        <f t="shared" si="29"/>
        <v>95.726523359199831</v>
      </c>
      <c r="P77" s="841"/>
      <c r="Q77" s="841"/>
      <c r="R77" s="841"/>
      <c r="S77" s="841"/>
      <c r="T77" s="841"/>
      <c r="U77" s="841"/>
      <c r="V77" s="841"/>
      <c r="W77" s="841"/>
      <c r="X77" s="841"/>
      <c r="Y77" s="841"/>
      <c r="Z77" s="841"/>
      <c r="AA77" s="841"/>
      <c r="AB77" s="841"/>
      <c r="AC77" s="841"/>
      <c r="AD77" s="841"/>
      <c r="AE77" s="841"/>
      <c r="AF77" s="841"/>
      <c r="AG77" s="841"/>
    </row>
    <row r="78" spans="1:33" s="843" customFormat="1" x14ac:dyDescent="0.3">
      <c r="A78" s="405"/>
      <c r="B78" s="782" t="s">
        <v>796</v>
      </c>
      <c r="C78" s="783">
        <v>0</v>
      </c>
      <c r="D78" s="783">
        <v>0</v>
      </c>
      <c r="E78" s="783">
        <v>0</v>
      </c>
      <c r="F78" s="783">
        <v>0</v>
      </c>
      <c r="G78" s="783">
        <v>11.064163483184522</v>
      </c>
      <c r="H78" s="783">
        <v>0</v>
      </c>
      <c r="I78" s="783">
        <v>0</v>
      </c>
      <c r="J78" s="783">
        <v>0</v>
      </c>
      <c r="K78" s="783">
        <v>0</v>
      </c>
      <c r="L78" s="773">
        <v>0</v>
      </c>
      <c r="M78" s="783">
        <v>11.064163483184522</v>
      </c>
      <c r="N78" s="783">
        <v>0</v>
      </c>
      <c r="O78" s="773">
        <f t="shared" si="29"/>
        <v>22.128326966369045</v>
      </c>
      <c r="P78" s="841"/>
      <c r="Q78" s="841"/>
      <c r="R78" s="841"/>
      <c r="S78" s="841"/>
      <c r="T78" s="841"/>
      <c r="U78" s="841"/>
      <c r="V78" s="841"/>
      <c r="W78" s="841"/>
      <c r="X78" s="841"/>
      <c r="Y78" s="841"/>
      <c r="Z78" s="841"/>
      <c r="AA78" s="841"/>
      <c r="AB78" s="841"/>
      <c r="AC78" s="841"/>
      <c r="AD78" s="841"/>
      <c r="AE78" s="841"/>
      <c r="AF78" s="841"/>
      <c r="AG78" s="841"/>
    </row>
    <row r="79" spans="1:33" s="747" customFormat="1" x14ac:dyDescent="0.3">
      <c r="A79" s="405"/>
      <c r="B79" s="782" t="s">
        <v>797</v>
      </c>
      <c r="C79" s="783">
        <v>0</v>
      </c>
      <c r="D79" s="783">
        <v>0</v>
      </c>
      <c r="E79" s="783">
        <v>0</v>
      </c>
      <c r="F79" s="783">
        <v>0</v>
      </c>
      <c r="G79" s="783">
        <v>1.7206710321552383</v>
      </c>
      <c r="H79" s="783">
        <v>0</v>
      </c>
      <c r="I79" s="783">
        <v>0</v>
      </c>
      <c r="J79" s="783">
        <v>0</v>
      </c>
      <c r="K79" s="783">
        <v>0</v>
      </c>
      <c r="L79" s="773">
        <v>0</v>
      </c>
      <c r="M79" s="783">
        <v>1.7206710321552383</v>
      </c>
      <c r="N79" s="783">
        <v>0</v>
      </c>
      <c r="O79" s="773">
        <f t="shared" si="29"/>
        <v>3.4413420643104766</v>
      </c>
      <c r="P79" s="841"/>
      <c r="Q79" s="841"/>
      <c r="R79" s="841"/>
      <c r="S79" s="841"/>
      <c r="T79" s="841"/>
      <c r="U79" s="841"/>
      <c r="V79" s="841"/>
      <c r="W79" s="841"/>
      <c r="X79" s="841"/>
      <c r="Y79" s="841"/>
      <c r="Z79" s="841"/>
      <c r="AA79" s="841"/>
      <c r="AB79" s="841"/>
      <c r="AC79" s="841"/>
      <c r="AD79" s="841"/>
      <c r="AE79" s="841"/>
      <c r="AF79" s="841"/>
      <c r="AG79" s="841"/>
    </row>
    <row r="80" spans="1:33" s="747" customFormat="1" x14ac:dyDescent="0.3">
      <c r="A80" s="405"/>
      <c r="B80" s="782" t="s">
        <v>585</v>
      </c>
      <c r="C80" s="783">
        <v>0</v>
      </c>
      <c r="D80" s="783">
        <v>0</v>
      </c>
      <c r="E80" s="783">
        <v>24.149711798026203</v>
      </c>
      <c r="F80" s="783">
        <v>0</v>
      </c>
      <c r="G80" s="783">
        <v>0</v>
      </c>
      <c r="H80" s="783">
        <v>0</v>
      </c>
      <c r="I80" s="783">
        <v>0</v>
      </c>
      <c r="J80" s="783">
        <v>0</v>
      </c>
      <c r="K80" s="783">
        <v>0</v>
      </c>
      <c r="L80" s="773">
        <v>0</v>
      </c>
      <c r="M80" s="783">
        <v>0</v>
      </c>
      <c r="N80" s="783">
        <v>0</v>
      </c>
      <c r="O80" s="773">
        <f t="shared" si="29"/>
        <v>24.149711798026203</v>
      </c>
      <c r="P80" s="841"/>
      <c r="Q80" s="841"/>
      <c r="R80" s="841"/>
      <c r="S80" s="841"/>
      <c r="T80" s="841"/>
      <c r="U80" s="841"/>
      <c r="V80" s="841"/>
      <c r="W80" s="841"/>
      <c r="X80" s="841"/>
      <c r="Y80" s="841"/>
      <c r="Z80" s="841"/>
      <c r="AA80" s="841"/>
      <c r="AB80" s="841"/>
      <c r="AC80" s="841"/>
      <c r="AD80" s="841"/>
      <c r="AE80" s="841"/>
      <c r="AF80" s="841"/>
      <c r="AG80" s="841"/>
    </row>
    <row r="81" spans="1:33" s="747" customFormat="1" x14ac:dyDescent="0.3">
      <c r="A81" s="405"/>
      <c r="B81" s="782" t="s">
        <v>586</v>
      </c>
      <c r="C81" s="783">
        <v>0</v>
      </c>
      <c r="D81" s="783">
        <v>0</v>
      </c>
      <c r="E81" s="783">
        <v>0</v>
      </c>
      <c r="F81" s="783">
        <v>23.895837524698788</v>
      </c>
      <c r="G81" s="783">
        <v>0</v>
      </c>
      <c r="H81" s="783">
        <v>0</v>
      </c>
      <c r="I81" s="783">
        <v>0</v>
      </c>
      <c r="J81" s="783">
        <v>0</v>
      </c>
      <c r="K81" s="783">
        <v>0</v>
      </c>
      <c r="L81" s="773">
        <v>23.895837524698788</v>
      </c>
      <c r="M81" s="783">
        <v>0</v>
      </c>
      <c r="N81" s="783">
        <v>0</v>
      </c>
      <c r="O81" s="773">
        <f t="shared" si="29"/>
        <v>47.791675049397575</v>
      </c>
      <c r="P81" s="841"/>
      <c r="Q81" s="841"/>
      <c r="R81" s="841"/>
      <c r="S81" s="841"/>
      <c r="T81" s="841"/>
      <c r="U81" s="841"/>
      <c r="V81" s="841"/>
      <c r="W81" s="841"/>
      <c r="X81" s="841"/>
      <c r="Y81" s="841"/>
      <c r="Z81" s="841"/>
      <c r="AA81" s="841"/>
      <c r="AB81" s="841"/>
      <c r="AC81" s="841"/>
      <c r="AD81" s="841"/>
      <c r="AE81" s="841"/>
      <c r="AF81" s="841"/>
      <c r="AG81" s="841"/>
    </row>
    <row r="82" spans="1:33" s="747" customFormat="1" x14ac:dyDescent="0.3">
      <c r="A82" s="405"/>
      <c r="B82" s="782" t="s">
        <v>597</v>
      </c>
      <c r="C82" s="783">
        <v>0</v>
      </c>
      <c r="D82" s="783">
        <v>0</v>
      </c>
      <c r="E82" s="783">
        <v>0</v>
      </c>
      <c r="F82" s="783">
        <v>0</v>
      </c>
      <c r="G82" s="783">
        <v>0</v>
      </c>
      <c r="H82" s="783">
        <v>0</v>
      </c>
      <c r="I82" s="783">
        <v>0</v>
      </c>
      <c r="J82" s="783">
        <v>0</v>
      </c>
      <c r="K82" s="783">
        <v>0</v>
      </c>
      <c r="L82" s="773">
        <v>0</v>
      </c>
      <c r="M82" s="783">
        <v>0</v>
      </c>
      <c r="N82" s="783">
        <v>0</v>
      </c>
      <c r="O82" s="773">
        <f>SUM(C82:N82)</f>
        <v>0</v>
      </c>
      <c r="P82" s="841"/>
      <c r="Q82" s="841"/>
      <c r="R82" s="841"/>
      <c r="S82" s="841"/>
      <c r="T82" s="841"/>
      <c r="U82" s="841"/>
      <c r="V82" s="841"/>
      <c r="W82" s="841"/>
      <c r="X82" s="841"/>
      <c r="Y82" s="841"/>
      <c r="Z82" s="841"/>
      <c r="AA82" s="841"/>
      <c r="AB82" s="841"/>
      <c r="AC82" s="841"/>
      <c r="AD82" s="841"/>
      <c r="AE82" s="841"/>
      <c r="AF82" s="841"/>
      <c r="AG82" s="841"/>
    </row>
    <row r="83" spans="1:33" s="843" customFormat="1" x14ac:dyDescent="0.3">
      <c r="A83" s="405"/>
      <c r="B83" s="784" t="s">
        <v>889</v>
      </c>
      <c r="C83" s="783">
        <v>0</v>
      </c>
      <c r="D83" s="783">
        <v>0</v>
      </c>
      <c r="E83" s="783">
        <v>3.9821376872019467</v>
      </c>
      <c r="F83" s="783">
        <v>0</v>
      </c>
      <c r="G83" s="783">
        <v>0</v>
      </c>
      <c r="H83" s="783">
        <v>3.928157598540146</v>
      </c>
      <c r="I83" s="783">
        <v>0</v>
      </c>
      <c r="J83" s="783">
        <v>0</v>
      </c>
      <c r="K83" s="783">
        <v>3.7856855612652067</v>
      </c>
      <c r="L83" s="773">
        <v>0</v>
      </c>
      <c r="M83" s="783">
        <v>0</v>
      </c>
      <c r="N83" s="783">
        <v>3.6036133770316305</v>
      </c>
      <c r="O83" s="773">
        <f t="shared" si="29"/>
        <v>15.299594224038929</v>
      </c>
      <c r="P83" s="841"/>
      <c r="Q83" s="841"/>
      <c r="R83" s="841"/>
      <c r="S83" s="841"/>
      <c r="T83" s="841"/>
      <c r="U83" s="841"/>
      <c r="V83" s="841"/>
      <c r="W83" s="841"/>
      <c r="X83" s="841"/>
      <c r="Y83" s="841"/>
      <c r="Z83" s="841"/>
      <c r="AA83" s="841"/>
      <c r="AB83" s="841"/>
      <c r="AC83" s="841"/>
      <c r="AD83" s="841"/>
      <c r="AE83" s="841"/>
      <c r="AF83" s="841"/>
      <c r="AG83" s="841"/>
    </row>
    <row r="84" spans="1:33" s="843" customFormat="1" x14ac:dyDescent="0.3">
      <c r="A84" s="405"/>
      <c r="B84" s="784" t="s">
        <v>741</v>
      </c>
      <c r="C84" s="783">
        <v>0</v>
      </c>
      <c r="D84" s="783">
        <v>0</v>
      </c>
      <c r="E84" s="783">
        <v>0</v>
      </c>
      <c r="F84" s="783">
        <v>0</v>
      </c>
      <c r="G84" s="783">
        <v>0</v>
      </c>
      <c r="H84" s="783">
        <v>0</v>
      </c>
      <c r="I84" s="783">
        <v>0</v>
      </c>
      <c r="J84" s="783">
        <v>0</v>
      </c>
      <c r="K84" s="783">
        <v>0</v>
      </c>
      <c r="L84" s="773">
        <v>0</v>
      </c>
      <c r="M84" s="783">
        <v>0</v>
      </c>
      <c r="N84" s="783">
        <v>0</v>
      </c>
      <c r="O84" s="773">
        <f t="shared" si="29"/>
        <v>0</v>
      </c>
      <c r="P84" s="841"/>
      <c r="Q84" s="841"/>
      <c r="R84" s="841"/>
      <c r="S84" s="841"/>
      <c r="T84" s="841"/>
      <c r="U84" s="841"/>
      <c r="V84" s="841"/>
      <c r="W84" s="841"/>
      <c r="X84" s="841"/>
      <c r="Y84" s="841"/>
      <c r="Z84" s="841"/>
      <c r="AA84" s="841"/>
      <c r="AB84" s="841"/>
      <c r="AC84" s="841"/>
      <c r="AD84" s="841"/>
      <c r="AE84" s="841"/>
      <c r="AF84" s="841"/>
      <c r="AG84" s="841"/>
    </row>
    <row r="85" spans="1:33" s="843" customFormat="1" x14ac:dyDescent="0.3">
      <c r="A85" s="405"/>
      <c r="B85" s="782" t="s">
        <v>804</v>
      </c>
      <c r="C85" s="783">
        <v>0</v>
      </c>
      <c r="D85" s="783">
        <v>0</v>
      </c>
      <c r="E85" s="783">
        <v>0</v>
      </c>
      <c r="F85" s="783">
        <v>0</v>
      </c>
      <c r="G85" s="783">
        <v>0</v>
      </c>
      <c r="H85" s="783">
        <v>0</v>
      </c>
      <c r="I85" s="783">
        <v>0</v>
      </c>
      <c r="J85" s="783">
        <v>0</v>
      </c>
      <c r="K85" s="783">
        <v>0</v>
      </c>
      <c r="L85" s="773">
        <v>0</v>
      </c>
      <c r="M85" s="783">
        <v>0</v>
      </c>
      <c r="N85" s="783">
        <v>0</v>
      </c>
      <c r="O85" s="773">
        <f t="shared" si="29"/>
        <v>0</v>
      </c>
      <c r="P85" s="841"/>
      <c r="Q85" s="841"/>
      <c r="R85" s="841"/>
      <c r="S85" s="841"/>
      <c r="T85" s="841"/>
      <c r="U85" s="841"/>
      <c r="V85" s="841"/>
      <c r="W85" s="841"/>
      <c r="X85" s="841"/>
      <c r="Y85" s="841"/>
      <c r="Z85" s="841"/>
      <c r="AA85" s="841"/>
      <c r="AB85" s="841"/>
      <c r="AC85" s="841"/>
      <c r="AD85" s="841"/>
      <c r="AE85" s="841"/>
      <c r="AF85" s="841"/>
      <c r="AG85" s="841"/>
    </row>
    <row r="86" spans="1:33" s="843" customFormat="1" x14ac:dyDescent="0.3">
      <c r="A86" s="405"/>
      <c r="B86" s="784" t="s">
        <v>477</v>
      </c>
      <c r="C86" s="783">
        <v>0</v>
      </c>
      <c r="D86" s="783">
        <v>0</v>
      </c>
      <c r="E86" s="783">
        <v>0</v>
      </c>
      <c r="F86" s="783">
        <v>72.83847021751825</v>
      </c>
      <c r="G86" s="783">
        <v>0</v>
      </c>
      <c r="H86" s="783">
        <v>0</v>
      </c>
      <c r="I86" s="783">
        <v>0</v>
      </c>
      <c r="J86" s="783">
        <v>0</v>
      </c>
      <c r="K86" s="783">
        <v>0</v>
      </c>
      <c r="L86" s="773">
        <v>72.83847021751825</v>
      </c>
      <c r="M86" s="783">
        <v>0</v>
      </c>
      <c r="N86" s="783">
        <v>0</v>
      </c>
      <c r="O86" s="773">
        <f t="shared" si="29"/>
        <v>145.6769404350365</v>
      </c>
      <c r="P86" s="841"/>
      <c r="Q86" s="841"/>
      <c r="R86" s="841"/>
      <c r="S86" s="841"/>
      <c r="T86" s="841"/>
      <c r="U86" s="841"/>
      <c r="V86" s="841"/>
      <c r="W86" s="841"/>
      <c r="X86" s="841"/>
      <c r="Y86" s="841"/>
      <c r="Z86" s="841"/>
      <c r="AA86" s="841"/>
      <c r="AB86" s="841"/>
      <c r="AC86" s="841"/>
      <c r="AD86" s="841"/>
      <c r="AE86" s="841"/>
      <c r="AF86" s="841"/>
      <c r="AG86" s="841"/>
    </row>
    <row r="87" spans="1:33" s="843" customFormat="1" x14ac:dyDescent="0.3">
      <c r="A87" s="405"/>
      <c r="B87" s="784" t="s">
        <v>478</v>
      </c>
      <c r="C87" s="783">
        <v>0</v>
      </c>
      <c r="D87" s="783">
        <v>0</v>
      </c>
      <c r="E87" s="783">
        <v>0</v>
      </c>
      <c r="F87" s="783">
        <v>49.946746904914839</v>
      </c>
      <c r="G87" s="783">
        <v>0</v>
      </c>
      <c r="H87" s="783">
        <v>0</v>
      </c>
      <c r="I87" s="783">
        <v>0</v>
      </c>
      <c r="J87" s="783">
        <v>0</v>
      </c>
      <c r="K87" s="783">
        <v>0</v>
      </c>
      <c r="L87" s="773">
        <v>49.946746904914839</v>
      </c>
      <c r="M87" s="783">
        <v>0</v>
      </c>
      <c r="N87" s="783">
        <v>0</v>
      </c>
      <c r="O87" s="773">
        <f t="shared" si="29"/>
        <v>99.893493809829678</v>
      </c>
      <c r="P87" s="841"/>
      <c r="Q87" s="841"/>
      <c r="R87" s="841"/>
      <c r="S87" s="841"/>
      <c r="T87" s="841"/>
      <c r="U87" s="841"/>
      <c r="V87" s="841"/>
      <c r="W87" s="841"/>
      <c r="X87" s="841"/>
      <c r="Y87" s="841"/>
      <c r="Z87" s="841"/>
      <c r="AA87" s="841"/>
      <c r="AB87" s="841"/>
      <c r="AC87" s="841"/>
      <c r="AD87" s="841"/>
      <c r="AE87" s="841"/>
      <c r="AF87" s="841"/>
      <c r="AG87" s="841"/>
    </row>
    <row r="88" spans="1:33" s="843" customFormat="1" x14ac:dyDescent="0.3">
      <c r="A88" s="405"/>
      <c r="B88" s="782" t="s">
        <v>840</v>
      </c>
      <c r="C88" s="783">
        <v>6.7852472742579071</v>
      </c>
      <c r="D88" s="783">
        <v>0</v>
      </c>
      <c r="E88" s="783">
        <v>0</v>
      </c>
      <c r="F88" s="783">
        <v>6.6377418986861318</v>
      </c>
      <c r="G88" s="783">
        <v>0</v>
      </c>
      <c r="H88" s="783">
        <v>0</v>
      </c>
      <c r="I88" s="783">
        <v>6.7114945864720195</v>
      </c>
      <c r="J88" s="783">
        <v>0</v>
      </c>
      <c r="K88" s="783">
        <v>0</v>
      </c>
      <c r="L88" s="773">
        <v>6.7852472742579071</v>
      </c>
      <c r="M88" s="783">
        <v>0</v>
      </c>
      <c r="N88" s="783">
        <v>0</v>
      </c>
      <c r="O88" s="773">
        <f t="shared" si="29"/>
        <v>26.919731033673962</v>
      </c>
      <c r="P88" s="841"/>
      <c r="Q88" s="841"/>
      <c r="R88" s="841"/>
      <c r="S88" s="841"/>
      <c r="T88" s="841"/>
      <c r="U88" s="841"/>
      <c r="V88" s="841"/>
      <c r="W88" s="841"/>
      <c r="X88" s="841"/>
      <c r="Y88" s="841"/>
      <c r="Z88" s="841"/>
      <c r="AA88" s="841"/>
      <c r="AB88" s="841"/>
      <c r="AC88" s="841"/>
      <c r="AD88" s="841"/>
      <c r="AE88" s="841"/>
      <c r="AF88" s="841"/>
      <c r="AG88" s="841"/>
    </row>
    <row r="89" spans="1:33" s="843" customFormat="1" x14ac:dyDescent="0.3">
      <c r="A89" s="405"/>
      <c r="B89" s="782" t="s">
        <v>841</v>
      </c>
      <c r="C89" s="783">
        <v>0</v>
      </c>
      <c r="D89" s="783">
        <v>9.6692538801946473</v>
      </c>
      <c r="E89" s="783">
        <v>0</v>
      </c>
      <c r="F89" s="783">
        <v>0</v>
      </c>
      <c r="G89" s="783">
        <v>9.0866963483211673</v>
      </c>
      <c r="H89" s="783">
        <v>0</v>
      </c>
      <c r="I89" s="783">
        <v>0</v>
      </c>
      <c r="J89" s="783">
        <v>9.1167250870072998</v>
      </c>
      <c r="K89" s="783">
        <v>0</v>
      </c>
      <c r="L89" s="773">
        <v>0</v>
      </c>
      <c r="M89" s="783">
        <v>8.8404606904136251</v>
      </c>
      <c r="N89" s="783">
        <v>0</v>
      </c>
      <c r="O89" s="773">
        <f t="shared" si="29"/>
        <v>36.71313600593674</v>
      </c>
      <c r="P89" s="841"/>
      <c r="Q89" s="841"/>
      <c r="R89" s="841"/>
      <c r="S89" s="841"/>
      <c r="T89" s="841"/>
      <c r="U89" s="841"/>
      <c r="V89" s="841"/>
      <c r="W89" s="841"/>
      <c r="X89" s="841"/>
      <c r="Y89" s="841"/>
      <c r="Z89" s="841"/>
      <c r="AA89" s="841"/>
      <c r="AB89" s="841"/>
      <c r="AC89" s="841"/>
      <c r="AD89" s="841"/>
      <c r="AE89" s="841"/>
      <c r="AF89" s="841"/>
      <c r="AG89" s="841"/>
    </row>
    <row r="90" spans="1:33" s="843" customFormat="1" x14ac:dyDescent="0.3">
      <c r="A90" s="405"/>
      <c r="B90" s="782" t="s">
        <v>813</v>
      </c>
      <c r="C90" s="783">
        <v>0</v>
      </c>
      <c r="D90" s="783">
        <v>56.190557560486624</v>
      </c>
      <c r="E90" s="783">
        <v>0</v>
      </c>
      <c r="F90" s="783">
        <v>0</v>
      </c>
      <c r="G90" s="783">
        <v>0</v>
      </c>
      <c r="H90" s="783">
        <v>0</v>
      </c>
      <c r="I90" s="783">
        <v>0</v>
      </c>
      <c r="J90" s="783">
        <v>0</v>
      </c>
      <c r="K90" s="783">
        <v>0</v>
      </c>
      <c r="L90" s="773">
        <v>0</v>
      </c>
      <c r="M90" s="783">
        <v>0</v>
      </c>
      <c r="N90" s="783">
        <v>0</v>
      </c>
      <c r="O90" s="773">
        <f t="shared" si="29"/>
        <v>56.190557560486624</v>
      </c>
      <c r="P90" s="841"/>
      <c r="Q90" s="841"/>
      <c r="R90" s="841"/>
      <c r="S90" s="841"/>
      <c r="T90" s="841"/>
      <c r="U90" s="841"/>
      <c r="V90" s="841"/>
      <c r="W90" s="841"/>
      <c r="X90" s="841"/>
      <c r="Y90" s="841"/>
      <c r="Z90" s="841"/>
      <c r="AA90" s="841"/>
      <c r="AB90" s="841"/>
      <c r="AC90" s="841"/>
      <c r="AD90" s="841"/>
      <c r="AE90" s="841"/>
      <c r="AF90" s="841"/>
      <c r="AG90" s="841"/>
    </row>
    <row r="91" spans="1:33" s="843" customFormat="1" x14ac:dyDescent="0.3">
      <c r="A91" s="405"/>
      <c r="B91" s="784" t="s">
        <v>838</v>
      </c>
      <c r="C91" s="783">
        <v>0</v>
      </c>
      <c r="D91" s="783">
        <v>0</v>
      </c>
      <c r="E91" s="783">
        <v>0</v>
      </c>
      <c r="F91" s="783">
        <v>0</v>
      </c>
      <c r="G91" s="783">
        <v>0</v>
      </c>
      <c r="H91" s="783">
        <v>0</v>
      </c>
      <c r="I91" s="783">
        <v>0</v>
      </c>
      <c r="J91" s="783">
        <v>0</v>
      </c>
      <c r="K91" s="783">
        <v>0</v>
      </c>
      <c r="L91" s="773">
        <v>0</v>
      </c>
      <c r="M91" s="783">
        <v>0</v>
      </c>
      <c r="N91" s="783">
        <v>0</v>
      </c>
      <c r="O91" s="773">
        <f t="shared" si="29"/>
        <v>0</v>
      </c>
      <c r="P91" s="841"/>
      <c r="Q91" s="841"/>
      <c r="R91" s="841"/>
      <c r="S91" s="841"/>
      <c r="T91" s="841"/>
      <c r="U91" s="841"/>
      <c r="V91" s="841"/>
      <c r="W91" s="841"/>
      <c r="X91" s="841"/>
      <c r="Y91" s="841"/>
      <c r="Z91" s="841"/>
      <c r="AA91" s="841"/>
      <c r="AB91" s="841"/>
      <c r="AC91" s="841"/>
      <c r="AD91" s="841"/>
      <c r="AE91" s="841"/>
      <c r="AF91" s="841"/>
      <c r="AG91" s="841"/>
    </row>
    <row r="92" spans="1:33" s="843" customFormat="1" x14ac:dyDescent="0.3">
      <c r="A92" s="405"/>
      <c r="B92" s="784" t="s">
        <v>850</v>
      </c>
      <c r="C92" s="783">
        <v>0</v>
      </c>
      <c r="D92" s="783">
        <v>0</v>
      </c>
      <c r="E92" s="783">
        <v>0</v>
      </c>
      <c r="F92" s="783">
        <v>3.3326274599999999</v>
      </c>
      <c r="G92" s="783">
        <v>0</v>
      </c>
      <c r="H92" s="783">
        <v>0</v>
      </c>
      <c r="I92" s="783">
        <v>0</v>
      </c>
      <c r="J92" s="783">
        <v>0</v>
      </c>
      <c r="K92" s="783">
        <v>0</v>
      </c>
      <c r="L92" s="773">
        <v>0</v>
      </c>
      <c r="M92" s="783">
        <v>0</v>
      </c>
      <c r="N92" s="783">
        <v>0</v>
      </c>
      <c r="O92" s="773">
        <f t="shared" si="29"/>
        <v>3.3326274599999999</v>
      </c>
      <c r="P92" s="841"/>
      <c r="Q92" s="841"/>
      <c r="R92" s="841"/>
      <c r="S92" s="841"/>
      <c r="T92" s="841"/>
      <c r="U92" s="841"/>
      <c r="V92" s="841"/>
      <c r="W92" s="841"/>
      <c r="X92" s="841"/>
      <c r="Y92" s="841"/>
      <c r="Z92" s="841"/>
      <c r="AA92" s="841"/>
      <c r="AB92" s="841"/>
      <c r="AC92" s="841"/>
      <c r="AD92" s="841"/>
      <c r="AE92" s="841"/>
      <c r="AF92" s="841"/>
      <c r="AG92" s="841"/>
    </row>
    <row r="93" spans="1:33" s="843" customFormat="1" x14ac:dyDescent="0.3">
      <c r="A93" s="405"/>
      <c r="B93" s="784" t="s">
        <v>803</v>
      </c>
      <c r="C93" s="783">
        <v>0</v>
      </c>
      <c r="D93" s="783">
        <v>0</v>
      </c>
      <c r="E93" s="783">
        <v>0</v>
      </c>
      <c r="F93" s="783">
        <v>0</v>
      </c>
      <c r="G93" s="783">
        <v>0</v>
      </c>
      <c r="H93" s="783">
        <v>0</v>
      </c>
      <c r="I93" s="783">
        <v>0</v>
      </c>
      <c r="J93" s="783">
        <v>0</v>
      </c>
      <c r="K93" s="783">
        <v>0</v>
      </c>
      <c r="L93" s="773">
        <v>0</v>
      </c>
      <c r="M93" s="783">
        <v>0</v>
      </c>
      <c r="N93" s="783">
        <v>0</v>
      </c>
      <c r="O93" s="773">
        <f t="shared" si="29"/>
        <v>0</v>
      </c>
      <c r="P93" s="841"/>
      <c r="Q93" s="841"/>
      <c r="R93" s="841"/>
      <c r="S93" s="841"/>
      <c r="T93" s="841"/>
      <c r="U93" s="841"/>
      <c r="V93" s="841"/>
      <c r="W93" s="841"/>
      <c r="X93" s="841"/>
      <c r="Y93" s="841"/>
      <c r="Z93" s="841"/>
      <c r="AA93" s="841"/>
      <c r="AB93" s="841"/>
      <c r="AC93" s="841"/>
      <c r="AD93" s="841"/>
      <c r="AE93" s="841"/>
      <c r="AF93" s="841"/>
      <c r="AG93" s="841"/>
    </row>
    <row r="94" spans="1:33" s="843" customFormat="1" x14ac:dyDescent="0.3">
      <c r="A94" s="405"/>
      <c r="B94" s="782" t="s">
        <v>780</v>
      </c>
      <c r="C94" s="783">
        <v>0.82811671024212796</v>
      </c>
      <c r="D94" s="783">
        <v>0</v>
      </c>
      <c r="E94" s="783">
        <v>0</v>
      </c>
      <c r="F94" s="783">
        <v>0</v>
      </c>
      <c r="G94" s="783">
        <v>0</v>
      </c>
      <c r="H94" s="783">
        <v>0</v>
      </c>
      <c r="I94" s="783">
        <v>0.82811671024212796</v>
      </c>
      <c r="J94" s="783">
        <v>0</v>
      </c>
      <c r="K94" s="783">
        <v>0</v>
      </c>
      <c r="L94" s="773">
        <v>0</v>
      </c>
      <c r="M94" s="783">
        <v>0</v>
      </c>
      <c r="N94" s="783">
        <v>0</v>
      </c>
      <c r="O94" s="773">
        <f t="shared" si="29"/>
        <v>1.6562334204842559</v>
      </c>
      <c r="P94" s="841"/>
      <c r="Q94" s="841"/>
      <c r="R94" s="841"/>
      <c r="S94" s="841"/>
      <c r="T94" s="841"/>
      <c r="U94" s="841"/>
      <c r="V94" s="841"/>
      <c r="W94" s="841"/>
      <c r="X94" s="841"/>
      <c r="Y94" s="841"/>
      <c r="Z94" s="841"/>
      <c r="AA94" s="841"/>
      <c r="AB94" s="841"/>
      <c r="AC94" s="841"/>
      <c r="AD94" s="841"/>
      <c r="AE94" s="841"/>
      <c r="AF94" s="841"/>
      <c r="AG94" s="841"/>
    </row>
    <row r="95" spans="1:33" s="843" customFormat="1" x14ac:dyDescent="0.3">
      <c r="A95" s="405"/>
      <c r="B95" s="782" t="s">
        <v>784</v>
      </c>
      <c r="C95" s="783">
        <v>0.25687659429350912</v>
      </c>
      <c r="D95" s="783">
        <v>0</v>
      </c>
      <c r="E95" s="783">
        <v>0</v>
      </c>
      <c r="F95" s="783">
        <v>0</v>
      </c>
      <c r="G95" s="783">
        <v>0</v>
      </c>
      <c r="H95" s="783">
        <v>0</v>
      </c>
      <c r="I95" s="783">
        <v>0.25687659429350912</v>
      </c>
      <c r="J95" s="783">
        <v>0</v>
      </c>
      <c r="K95" s="783">
        <v>0</v>
      </c>
      <c r="L95" s="773">
        <v>0</v>
      </c>
      <c r="M95" s="783">
        <v>0</v>
      </c>
      <c r="N95" s="783">
        <v>0</v>
      </c>
      <c r="O95" s="773">
        <f t="shared" si="29"/>
        <v>0.51375318858701824</v>
      </c>
      <c r="P95" s="841"/>
      <c r="Q95" s="841"/>
      <c r="R95" s="841"/>
      <c r="S95" s="841"/>
      <c r="T95" s="841"/>
      <c r="U95" s="841"/>
      <c r="V95" s="841"/>
      <c r="W95" s="841"/>
      <c r="X95" s="841"/>
      <c r="Y95" s="841"/>
      <c r="Z95" s="841"/>
      <c r="AA95" s="841"/>
      <c r="AB95" s="841"/>
      <c r="AC95" s="841"/>
      <c r="AD95" s="841"/>
      <c r="AE95" s="841"/>
      <c r="AF95" s="841"/>
      <c r="AG95" s="841"/>
    </row>
    <row r="96" spans="1:33" s="843" customFormat="1" x14ac:dyDescent="0.3">
      <c r="A96" s="405"/>
      <c r="B96" s="782" t="s">
        <v>782</v>
      </c>
      <c r="C96" s="783">
        <v>13.800218347163806</v>
      </c>
      <c r="D96" s="783">
        <v>0</v>
      </c>
      <c r="E96" s="783">
        <v>0</v>
      </c>
      <c r="F96" s="783">
        <v>0</v>
      </c>
      <c r="G96" s="783">
        <v>0</v>
      </c>
      <c r="H96" s="783">
        <v>0</v>
      </c>
      <c r="I96" s="783">
        <v>13.800218347163806</v>
      </c>
      <c r="J96" s="783">
        <v>0</v>
      </c>
      <c r="K96" s="783">
        <v>0</v>
      </c>
      <c r="L96" s="773">
        <v>0</v>
      </c>
      <c r="M96" s="783">
        <v>0</v>
      </c>
      <c r="N96" s="783">
        <v>0</v>
      </c>
      <c r="O96" s="773">
        <f t="shared" si="29"/>
        <v>27.600436694327612</v>
      </c>
      <c r="P96" s="841"/>
      <c r="Q96" s="841"/>
      <c r="R96" s="841"/>
      <c r="S96" s="841"/>
      <c r="T96" s="841"/>
      <c r="U96" s="841"/>
      <c r="V96" s="841"/>
      <c r="W96" s="841"/>
      <c r="X96" s="841"/>
      <c r="Y96" s="841"/>
      <c r="Z96" s="841"/>
      <c r="AA96" s="841"/>
      <c r="AB96" s="841"/>
      <c r="AC96" s="841"/>
      <c r="AD96" s="841"/>
      <c r="AE96" s="841"/>
      <c r="AF96" s="841"/>
      <c r="AG96" s="841"/>
    </row>
    <row r="97" spans="1:33" s="843" customFormat="1" x14ac:dyDescent="0.3">
      <c r="A97" s="405"/>
      <c r="B97" s="784" t="s">
        <v>781</v>
      </c>
      <c r="C97" s="783">
        <v>1.4859943958167556</v>
      </c>
      <c r="D97" s="783">
        <v>0</v>
      </c>
      <c r="E97" s="783">
        <v>0</v>
      </c>
      <c r="F97" s="783">
        <v>0</v>
      </c>
      <c r="G97" s="783">
        <v>0</v>
      </c>
      <c r="H97" s="783">
        <v>0</v>
      </c>
      <c r="I97" s="783">
        <v>1.4859943958167556</v>
      </c>
      <c r="J97" s="783">
        <v>0</v>
      </c>
      <c r="K97" s="783">
        <v>0</v>
      </c>
      <c r="L97" s="773">
        <v>0</v>
      </c>
      <c r="M97" s="783">
        <v>0</v>
      </c>
      <c r="N97" s="783">
        <v>0</v>
      </c>
      <c r="O97" s="773">
        <f t="shared" si="29"/>
        <v>2.9719887916335113</v>
      </c>
      <c r="P97" s="841"/>
      <c r="Q97" s="841"/>
      <c r="R97" s="841"/>
      <c r="S97" s="841"/>
      <c r="T97" s="841"/>
      <c r="U97" s="841"/>
      <c r="V97" s="841"/>
      <c r="W97" s="841"/>
      <c r="X97" s="841"/>
      <c r="Y97" s="841"/>
      <c r="Z97" s="841"/>
      <c r="AA97" s="841"/>
      <c r="AB97" s="841"/>
      <c r="AC97" s="841"/>
      <c r="AD97" s="841"/>
      <c r="AE97" s="841"/>
      <c r="AF97" s="841"/>
      <c r="AG97" s="841"/>
    </row>
    <row r="98" spans="1:33" s="843" customFormat="1" x14ac:dyDescent="0.3">
      <c r="A98" s="405"/>
      <c r="B98" s="784" t="s">
        <v>783</v>
      </c>
      <c r="C98" s="783">
        <v>24.580284972149595</v>
      </c>
      <c r="D98" s="783">
        <v>0</v>
      </c>
      <c r="E98" s="783">
        <v>0</v>
      </c>
      <c r="F98" s="783">
        <v>0</v>
      </c>
      <c r="G98" s="783">
        <v>0</v>
      </c>
      <c r="H98" s="783">
        <v>0</v>
      </c>
      <c r="I98" s="783">
        <v>24.580284972149595</v>
      </c>
      <c r="J98" s="783">
        <v>0</v>
      </c>
      <c r="K98" s="783">
        <v>0</v>
      </c>
      <c r="L98" s="773">
        <v>0</v>
      </c>
      <c r="M98" s="783">
        <v>0</v>
      </c>
      <c r="N98" s="783">
        <v>0</v>
      </c>
      <c r="O98" s="773">
        <f t="shared" si="29"/>
        <v>49.160569944299191</v>
      </c>
      <c r="P98" s="841"/>
      <c r="Q98" s="841"/>
      <c r="R98" s="841"/>
      <c r="S98" s="841"/>
      <c r="T98" s="841"/>
      <c r="U98" s="841"/>
      <c r="V98" s="841"/>
      <c r="W98" s="841"/>
      <c r="X98" s="841"/>
      <c r="Y98" s="841"/>
      <c r="Z98" s="841"/>
      <c r="AA98" s="841"/>
      <c r="AB98" s="841"/>
      <c r="AC98" s="841"/>
      <c r="AD98" s="841"/>
      <c r="AE98" s="841"/>
      <c r="AF98" s="841"/>
      <c r="AG98" s="841"/>
    </row>
    <row r="99" spans="1:33" s="843" customFormat="1" x14ac:dyDescent="0.3">
      <c r="A99" s="405"/>
      <c r="B99" s="782" t="s">
        <v>785</v>
      </c>
      <c r="C99" s="783">
        <v>1.2340020802546321</v>
      </c>
      <c r="D99" s="783">
        <v>0</v>
      </c>
      <c r="E99" s="783">
        <v>0</v>
      </c>
      <c r="F99" s="783">
        <v>0</v>
      </c>
      <c r="G99" s="783">
        <v>0</v>
      </c>
      <c r="H99" s="783">
        <v>0</v>
      </c>
      <c r="I99" s="783">
        <v>1.2340020802546321</v>
      </c>
      <c r="J99" s="783">
        <v>0</v>
      </c>
      <c r="K99" s="783">
        <v>0</v>
      </c>
      <c r="L99" s="773">
        <v>0</v>
      </c>
      <c r="M99" s="783">
        <v>0</v>
      </c>
      <c r="N99" s="783">
        <v>0</v>
      </c>
      <c r="O99" s="773">
        <f t="shared" si="29"/>
        <v>2.4680041605092642</v>
      </c>
      <c r="P99" s="841"/>
      <c r="Q99" s="841"/>
      <c r="R99" s="841"/>
      <c r="S99" s="841"/>
      <c r="T99" s="841"/>
      <c r="U99" s="841"/>
      <c r="V99" s="841"/>
      <c r="W99" s="841"/>
      <c r="X99" s="841"/>
      <c r="Y99" s="841"/>
      <c r="Z99" s="841"/>
      <c r="AA99" s="841"/>
      <c r="AB99" s="841"/>
      <c r="AC99" s="841"/>
      <c r="AD99" s="841"/>
      <c r="AE99" s="841"/>
      <c r="AF99" s="841"/>
      <c r="AG99" s="841"/>
    </row>
    <row r="100" spans="1:33" s="843" customFormat="1" x14ac:dyDescent="0.3">
      <c r="A100" s="405"/>
      <c r="B100" s="784" t="s">
        <v>773</v>
      </c>
      <c r="C100" s="783">
        <v>13.175143550000001</v>
      </c>
      <c r="D100" s="783">
        <v>0</v>
      </c>
      <c r="E100" s="783">
        <v>0</v>
      </c>
      <c r="F100" s="783">
        <v>0</v>
      </c>
      <c r="G100" s="783">
        <v>0</v>
      </c>
      <c r="H100" s="783">
        <v>0</v>
      </c>
      <c r="I100" s="783">
        <v>13.175143550000001</v>
      </c>
      <c r="J100" s="783">
        <v>0</v>
      </c>
      <c r="K100" s="783">
        <v>0</v>
      </c>
      <c r="L100" s="773">
        <v>0</v>
      </c>
      <c r="M100" s="783">
        <v>0</v>
      </c>
      <c r="N100" s="783">
        <v>0</v>
      </c>
      <c r="O100" s="773">
        <f t="shared" si="29"/>
        <v>26.350287100000003</v>
      </c>
      <c r="P100" s="841"/>
      <c r="Q100" s="841"/>
      <c r="R100" s="841"/>
      <c r="S100" s="841"/>
      <c r="T100" s="841"/>
      <c r="U100" s="841"/>
      <c r="V100" s="841"/>
      <c r="W100" s="841"/>
      <c r="X100" s="841"/>
      <c r="Y100" s="841"/>
      <c r="Z100" s="841"/>
      <c r="AA100" s="841"/>
      <c r="AB100" s="841"/>
      <c r="AC100" s="841"/>
      <c r="AD100" s="841"/>
      <c r="AE100" s="841"/>
      <c r="AF100" s="841"/>
      <c r="AG100" s="841"/>
    </row>
    <row r="101" spans="1:33" s="843" customFormat="1" x14ac:dyDescent="0.3">
      <c r="A101" s="405"/>
      <c r="B101" s="784" t="s">
        <v>771</v>
      </c>
      <c r="C101" s="783">
        <v>220.97313955000001</v>
      </c>
      <c r="D101" s="783">
        <v>0</v>
      </c>
      <c r="E101" s="783">
        <v>0</v>
      </c>
      <c r="F101" s="783">
        <v>0</v>
      </c>
      <c r="G101" s="783">
        <v>0</v>
      </c>
      <c r="H101" s="783">
        <v>0</v>
      </c>
      <c r="I101" s="783">
        <v>220.97313955000001</v>
      </c>
      <c r="J101" s="783">
        <v>0</v>
      </c>
      <c r="K101" s="783">
        <v>0</v>
      </c>
      <c r="L101" s="773">
        <v>0</v>
      </c>
      <c r="M101" s="783">
        <v>0</v>
      </c>
      <c r="N101" s="783">
        <v>0</v>
      </c>
      <c r="O101" s="773">
        <f t="shared" si="29"/>
        <v>441.94627910000003</v>
      </c>
      <c r="P101" s="841"/>
      <c r="Q101" s="841"/>
      <c r="R101" s="841"/>
      <c r="S101" s="841"/>
      <c r="T101" s="841"/>
      <c r="U101" s="841"/>
      <c r="V101" s="841"/>
      <c r="W101" s="841"/>
      <c r="X101" s="841"/>
      <c r="Y101" s="841"/>
      <c r="Z101" s="841"/>
      <c r="AA101" s="841"/>
      <c r="AB101" s="841"/>
      <c r="AC101" s="841"/>
      <c r="AD101" s="841"/>
      <c r="AE101" s="841"/>
      <c r="AF101" s="841"/>
      <c r="AG101" s="841"/>
    </row>
    <row r="102" spans="1:33" s="843" customFormat="1" x14ac:dyDescent="0.3">
      <c r="A102" s="405"/>
      <c r="B102" s="784" t="s">
        <v>769</v>
      </c>
      <c r="C102" s="783">
        <v>40.22653013</v>
      </c>
      <c r="D102" s="783">
        <v>0</v>
      </c>
      <c r="E102" s="783">
        <v>0</v>
      </c>
      <c r="F102" s="783">
        <v>0</v>
      </c>
      <c r="G102" s="783">
        <v>0</v>
      </c>
      <c r="H102" s="783">
        <v>0</v>
      </c>
      <c r="I102" s="783">
        <v>40.22653013</v>
      </c>
      <c r="J102" s="783">
        <v>0</v>
      </c>
      <c r="K102" s="783">
        <v>0</v>
      </c>
      <c r="L102" s="773">
        <v>0</v>
      </c>
      <c r="M102" s="783">
        <v>0</v>
      </c>
      <c r="N102" s="783">
        <v>0</v>
      </c>
      <c r="O102" s="773">
        <f t="shared" si="29"/>
        <v>80.453060260000001</v>
      </c>
      <c r="P102" s="841"/>
      <c r="Q102" s="841"/>
      <c r="R102" s="841"/>
      <c r="S102" s="841"/>
      <c r="T102" s="841"/>
      <c r="U102" s="841"/>
      <c r="V102" s="841"/>
      <c r="W102" s="841"/>
      <c r="X102" s="841"/>
      <c r="Y102" s="841"/>
      <c r="Z102" s="841"/>
      <c r="AA102" s="841"/>
      <c r="AB102" s="841"/>
      <c r="AC102" s="841"/>
      <c r="AD102" s="841"/>
      <c r="AE102" s="841"/>
      <c r="AF102" s="841"/>
      <c r="AG102" s="841"/>
    </row>
    <row r="103" spans="1:33" s="843" customFormat="1" x14ac:dyDescent="0.3">
      <c r="A103" s="405"/>
      <c r="B103" s="782" t="s">
        <v>770</v>
      </c>
      <c r="C103" s="783">
        <v>153.76288348</v>
      </c>
      <c r="D103" s="783">
        <v>0</v>
      </c>
      <c r="E103" s="783">
        <v>0</v>
      </c>
      <c r="F103" s="783">
        <v>0</v>
      </c>
      <c r="G103" s="783">
        <v>0</v>
      </c>
      <c r="H103" s="783">
        <v>0</v>
      </c>
      <c r="I103" s="783">
        <v>153.76288348</v>
      </c>
      <c r="J103" s="783">
        <v>0</v>
      </c>
      <c r="K103" s="783">
        <v>0</v>
      </c>
      <c r="L103" s="773">
        <v>0</v>
      </c>
      <c r="M103" s="783">
        <v>0</v>
      </c>
      <c r="N103" s="783">
        <v>0</v>
      </c>
      <c r="O103" s="773">
        <f t="shared" si="29"/>
        <v>307.52576696</v>
      </c>
      <c r="P103" s="841"/>
      <c r="Q103" s="841"/>
      <c r="R103" s="841"/>
      <c r="S103" s="841"/>
      <c r="T103" s="841"/>
      <c r="U103" s="841"/>
      <c r="V103" s="841"/>
      <c r="W103" s="841"/>
      <c r="X103" s="841"/>
      <c r="Y103" s="841"/>
      <c r="Z103" s="841"/>
      <c r="AA103" s="841"/>
      <c r="AB103" s="841"/>
      <c r="AC103" s="841"/>
      <c r="AD103" s="841"/>
      <c r="AE103" s="841"/>
      <c r="AF103" s="841"/>
      <c r="AG103" s="841"/>
    </row>
    <row r="104" spans="1:33" s="843" customFormat="1" x14ac:dyDescent="0.3">
      <c r="A104" s="405"/>
      <c r="B104" s="784" t="s">
        <v>772</v>
      </c>
      <c r="C104" s="783">
        <v>183.43694737999999</v>
      </c>
      <c r="D104" s="783">
        <v>0</v>
      </c>
      <c r="E104" s="783">
        <v>0</v>
      </c>
      <c r="F104" s="783">
        <v>0</v>
      </c>
      <c r="G104" s="783">
        <v>0</v>
      </c>
      <c r="H104" s="783">
        <v>0</v>
      </c>
      <c r="I104" s="783">
        <v>183.43694737999999</v>
      </c>
      <c r="J104" s="783">
        <v>0</v>
      </c>
      <c r="K104" s="783">
        <v>0</v>
      </c>
      <c r="L104" s="773">
        <v>0</v>
      </c>
      <c r="M104" s="783">
        <v>0</v>
      </c>
      <c r="N104" s="783">
        <v>0</v>
      </c>
      <c r="O104" s="773">
        <f t="shared" si="29"/>
        <v>366.87389475999998</v>
      </c>
      <c r="P104" s="841"/>
      <c r="Q104" s="841"/>
      <c r="R104" s="841"/>
      <c r="S104" s="841"/>
      <c r="T104" s="841"/>
      <c r="U104" s="841"/>
      <c r="V104" s="841"/>
      <c r="W104" s="841"/>
      <c r="X104" s="841"/>
      <c r="Y104" s="841"/>
      <c r="Z104" s="841"/>
      <c r="AA104" s="841"/>
      <c r="AB104" s="841"/>
      <c r="AC104" s="841"/>
      <c r="AD104" s="841"/>
      <c r="AE104" s="841"/>
      <c r="AF104" s="841"/>
      <c r="AG104" s="841"/>
    </row>
    <row r="105" spans="1:33" s="843" customFormat="1" x14ac:dyDescent="0.3">
      <c r="A105" s="405"/>
      <c r="B105" s="784" t="s">
        <v>774</v>
      </c>
      <c r="C105" s="783">
        <v>15.68997843</v>
      </c>
      <c r="D105" s="783">
        <v>0</v>
      </c>
      <c r="E105" s="783">
        <v>0</v>
      </c>
      <c r="F105" s="783">
        <v>0</v>
      </c>
      <c r="G105" s="783">
        <v>0</v>
      </c>
      <c r="H105" s="783">
        <v>0</v>
      </c>
      <c r="I105" s="783">
        <v>15.68997843</v>
      </c>
      <c r="J105" s="783">
        <v>0</v>
      </c>
      <c r="K105" s="783">
        <v>0</v>
      </c>
      <c r="L105" s="773">
        <v>0</v>
      </c>
      <c r="M105" s="783">
        <v>0</v>
      </c>
      <c r="N105" s="783">
        <v>0</v>
      </c>
      <c r="O105" s="773">
        <f t="shared" si="29"/>
        <v>31.37995686</v>
      </c>
      <c r="P105" s="841"/>
      <c r="Q105" s="841"/>
      <c r="R105" s="841"/>
      <c r="S105" s="841"/>
      <c r="T105" s="841"/>
      <c r="U105" s="841"/>
      <c r="V105" s="841"/>
      <c r="W105" s="841"/>
      <c r="X105" s="841"/>
      <c r="Y105" s="841"/>
      <c r="Z105" s="841"/>
      <c r="AA105" s="841"/>
      <c r="AB105" s="841"/>
      <c r="AC105" s="841"/>
      <c r="AD105" s="841"/>
      <c r="AE105" s="841"/>
      <c r="AF105" s="841"/>
      <c r="AG105" s="841"/>
    </row>
    <row r="106" spans="1:33" s="843" customFormat="1" x14ac:dyDescent="0.3">
      <c r="A106" s="405"/>
      <c r="B106" s="782" t="s">
        <v>779</v>
      </c>
      <c r="C106" s="783">
        <v>10.972158460000001</v>
      </c>
      <c r="D106" s="783">
        <v>0</v>
      </c>
      <c r="E106" s="783">
        <v>0</v>
      </c>
      <c r="F106" s="783">
        <v>0</v>
      </c>
      <c r="G106" s="783">
        <v>0</v>
      </c>
      <c r="H106" s="783">
        <v>0</v>
      </c>
      <c r="I106" s="783">
        <v>10.972158460000001</v>
      </c>
      <c r="J106" s="783">
        <v>0</v>
      </c>
      <c r="K106" s="783">
        <v>0</v>
      </c>
      <c r="L106" s="773">
        <v>0</v>
      </c>
      <c r="M106" s="783">
        <v>0</v>
      </c>
      <c r="N106" s="783">
        <v>0</v>
      </c>
      <c r="O106" s="773">
        <f t="shared" si="29"/>
        <v>21.944316920000002</v>
      </c>
      <c r="P106" s="841"/>
      <c r="Q106" s="841"/>
      <c r="R106" s="841"/>
      <c r="S106" s="841"/>
      <c r="T106" s="841"/>
      <c r="U106" s="841"/>
      <c r="V106" s="841"/>
      <c r="W106" s="841"/>
      <c r="X106" s="841"/>
      <c r="Y106" s="841"/>
      <c r="Z106" s="841"/>
      <c r="AA106" s="841"/>
      <c r="AB106" s="841"/>
      <c r="AC106" s="841"/>
      <c r="AD106" s="841"/>
      <c r="AE106" s="841"/>
      <c r="AF106" s="841"/>
      <c r="AG106" s="841"/>
    </row>
    <row r="107" spans="1:33" s="843" customFormat="1" x14ac:dyDescent="0.3">
      <c r="A107" s="405"/>
      <c r="B107" s="782" t="s">
        <v>777</v>
      </c>
      <c r="C107" s="830">
        <v>139.84252721999999</v>
      </c>
      <c r="D107" s="830">
        <v>0</v>
      </c>
      <c r="E107" s="830">
        <v>0</v>
      </c>
      <c r="F107" s="830">
        <v>0</v>
      </c>
      <c r="G107" s="830">
        <v>0</v>
      </c>
      <c r="H107" s="830">
        <v>0</v>
      </c>
      <c r="I107" s="830">
        <v>139.84252721999999</v>
      </c>
      <c r="J107" s="830">
        <v>0</v>
      </c>
      <c r="K107" s="830">
        <v>0</v>
      </c>
      <c r="L107" s="773">
        <v>0</v>
      </c>
      <c r="M107" s="830">
        <v>0</v>
      </c>
      <c r="N107" s="783">
        <v>0</v>
      </c>
      <c r="O107" s="773">
        <f t="shared" si="29"/>
        <v>279.68505443999999</v>
      </c>
      <c r="P107" s="841"/>
      <c r="Q107" s="841"/>
      <c r="R107" s="841"/>
      <c r="S107" s="841"/>
      <c r="T107" s="841"/>
      <c r="U107" s="841"/>
      <c r="V107" s="841"/>
      <c r="W107" s="841"/>
      <c r="X107" s="841"/>
      <c r="Y107" s="841"/>
      <c r="Z107" s="841"/>
      <c r="AA107" s="841"/>
      <c r="AB107" s="841"/>
      <c r="AC107" s="841"/>
      <c r="AD107" s="841"/>
      <c r="AE107" s="841"/>
      <c r="AF107" s="841"/>
      <c r="AG107" s="841"/>
    </row>
    <row r="108" spans="1:33" s="843" customFormat="1" x14ac:dyDescent="0.3">
      <c r="A108" s="405"/>
      <c r="B108" s="782" t="s">
        <v>775</v>
      </c>
      <c r="C108" s="830">
        <v>33.8102588</v>
      </c>
      <c r="D108" s="830">
        <v>0</v>
      </c>
      <c r="E108" s="830">
        <v>0</v>
      </c>
      <c r="F108" s="830">
        <v>0</v>
      </c>
      <c r="G108" s="830">
        <v>0</v>
      </c>
      <c r="H108" s="830">
        <v>0</v>
      </c>
      <c r="I108" s="830">
        <v>33.8102588</v>
      </c>
      <c r="J108" s="830">
        <v>0</v>
      </c>
      <c r="K108" s="830">
        <v>0</v>
      </c>
      <c r="L108" s="773">
        <v>0</v>
      </c>
      <c r="M108" s="830">
        <v>0</v>
      </c>
      <c r="N108" s="783">
        <v>0</v>
      </c>
      <c r="O108" s="773">
        <f t="shared" si="29"/>
        <v>67.620517599999999</v>
      </c>
      <c r="P108" s="841"/>
      <c r="Q108" s="841"/>
      <c r="R108" s="841"/>
      <c r="S108" s="841"/>
      <c r="T108" s="841"/>
      <c r="U108" s="841"/>
      <c r="V108" s="841"/>
      <c r="W108" s="841"/>
      <c r="X108" s="841"/>
      <c r="Y108" s="841"/>
      <c r="Z108" s="841"/>
      <c r="AA108" s="841"/>
      <c r="AB108" s="841"/>
      <c r="AC108" s="841"/>
      <c r="AD108" s="841"/>
      <c r="AE108" s="841"/>
      <c r="AF108" s="841"/>
      <c r="AG108" s="841"/>
    </row>
    <row r="109" spans="1:33" s="843" customFormat="1" x14ac:dyDescent="0.3">
      <c r="A109" s="405"/>
      <c r="B109" s="782" t="s">
        <v>776</v>
      </c>
      <c r="C109" s="830">
        <v>143.03134665000002</v>
      </c>
      <c r="D109" s="830">
        <v>0</v>
      </c>
      <c r="E109" s="830">
        <v>0</v>
      </c>
      <c r="F109" s="830">
        <v>0</v>
      </c>
      <c r="G109" s="830">
        <v>0</v>
      </c>
      <c r="H109" s="830">
        <v>0</v>
      </c>
      <c r="I109" s="830">
        <v>143.03134665000002</v>
      </c>
      <c r="J109" s="830">
        <v>0</v>
      </c>
      <c r="K109" s="830">
        <v>0</v>
      </c>
      <c r="L109" s="773">
        <v>0</v>
      </c>
      <c r="M109" s="830">
        <v>0</v>
      </c>
      <c r="N109" s="783">
        <v>0</v>
      </c>
      <c r="O109" s="773">
        <f t="shared" si="29"/>
        <v>286.06269330000003</v>
      </c>
      <c r="P109" s="841"/>
      <c r="Q109" s="841"/>
      <c r="R109" s="841"/>
      <c r="S109" s="841"/>
      <c r="T109" s="841"/>
      <c r="U109" s="841"/>
      <c r="V109" s="841"/>
      <c r="W109" s="841"/>
      <c r="X109" s="841"/>
      <c r="Y109" s="841"/>
      <c r="Z109" s="841"/>
      <c r="AA109" s="841"/>
      <c r="AB109" s="841"/>
      <c r="AC109" s="841"/>
      <c r="AD109" s="841"/>
      <c r="AE109" s="841"/>
      <c r="AF109" s="841"/>
      <c r="AG109" s="841"/>
    </row>
    <row r="110" spans="1:33" s="843" customFormat="1" x14ac:dyDescent="0.3">
      <c r="A110" s="405"/>
      <c r="B110" s="782" t="s">
        <v>778</v>
      </c>
      <c r="C110" s="830">
        <v>26.30297899</v>
      </c>
      <c r="D110" s="830">
        <v>0</v>
      </c>
      <c r="E110" s="830">
        <v>0</v>
      </c>
      <c r="F110" s="830">
        <v>0</v>
      </c>
      <c r="G110" s="830">
        <v>0</v>
      </c>
      <c r="H110" s="830">
        <v>0</v>
      </c>
      <c r="I110" s="830">
        <v>26.30297899</v>
      </c>
      <c r="J110" s="830">
        <v>0</v>
      </c>
      <c r="K110" s="830">
        <v>0</v>
      </c>
      <c r="L110" s="773">
        <v>0</v>
      </c>
      <c r="M110" s="830">
        <v>0</v>
      </c>
      <c r="N110" s="783">
        <v>0</v>
      </c>
      <c r="O110" s="773">
        <f t="shared" si="29"/>
        <v>52.605957979999999</v>
      </c>
      <c r="P110" s="841"/>
      <c r="Q110" s="841"/>
      <c r="R110" s="841"/>
      <c r="S110" s="841"/>
      <c r="T110" s="841"/>
      <c r="U110" s="841"/>
      <c r="V110" s="841"/>
      <c r="W110" s="841"/>
      <c r="X110" s="841"/>
      <c r="Y110" s="841"/>
      <c r="Z110" s="841"/>
      <c r="AA110" s="841"/>
      <c r="AB110" s="841"/>
      <c r="AC110" s="841"/>
      <c r="AD110" s="841"/>
      <c r="AE110" s="841"/>
      <c r="AF110" s="841"/>
      <c r="AG110" s="841"/>
    </row>
    <row r="111" spans="1:33" s="843" customFormat="1" x14ac:dyDescent="0.3">
      <c r="A111" s="405"/>
      <c r="B111" s="782" t="s">
        <v>217</v>
      </c>
      <c r="C111" s="830">
        <f>+C112+C113</f>
        <v>0</v>
      </c>
      <c r="D111" s="830">
        <f t="shared" ref="D111:N111" si="30">+D112+D113</f>
        <v>0</v>
      </c>
      <c r="E111" s="830">
        <f t="shared" si="30"/>
        <v>0</v>
      </c>
      <c r="F111" s="830">
        <f t="shared" si="30"/>
        <v>0</v>
      </c>
      <c r="G111" s="830">
        <f t="shared" si="30"/>
        <v>0</v>
      </c>
      <c r="H111" s="830">
        <f t="shared" si="30"/>
        <v>0</v>
      </c>
      <c r="I111" s="830">
        <f t="shared" si="30"/>
        <v>0</v>
      </c>
      <c r="J111" s="830">
        <f t="shared" si="30"/>
        <v>0</v>
      </c>
      <c r="K111" s="830">
        <f t="shared" si="30"/>
        <v>0</v>
      </c>
      <c r="L111" s="830">
        <f t="shared" si="30"/>
        <v>0</v>
      </c>
      <c r="M111" s="830">
        <f t="shared" si="30"/>
        <v>0</v>
      </c>
      <c r="N111" s="830">
        <f t="shared" si="30"/>
        <v>0</v>
      </c>
      <c r="O111" s="773">
        <f t="shared" si="29"/>
        <v>0</v>
      </c>
      <c r="P111" s="841"/>
      <c r="Q111" s="841"/>
      <c r="R111" s="841"/>
      <c r="S111" s="841"/>
      <c r="T111" s="841"/>
      <c r="U111" s="841"/>
      <c r="V111" s="841"/>
      <c r="W111" s="841"/>
      <c r="X111" s="841"/>
      <c r="Y111" s="841"/>
      <c r="Z111" s="841"/>
      <c r="AA111" s="841"/>
      <c r="AB111" s="841"/>
      <c r="AC111" s="841"/>
      <c r="AD111" s="841"/>
      <c r="AE111" s="841"/>
      <c r="AF111" s="841"/>
      <c r="AG111" s="841"/>
    </row>
    <row r="112" spans="1:33" s="843" customFormat="1" x14ac:dyDescent="0.3">
      <c r="A112" s="405"/>
      <c r="B112" s="782" t="s">
        <v>71</v>
      </c>
      <c r="C112" s="830">
        <v>0</v>
      </c>
      <c r="D112" s="830">
        <v>0</v>
      </c>
      <c r="E112" s="830">
        <v>0</v>
      </c>
      <c r="F112" s="830">
        <v>0</v>
      </c>
      <c r="G112" s="830">
        <v>0</v>
      </c>
      <c r="H112" s="830">
        <v>0</v>
      </c>
      <c r="I112" s="830">
        <v>0</v>
      </c>
      <c r="J112" s="830">
        <v>0</v>
      </c>
      <c r="K112" s="830">
        <v>0</v>
      </c>
      <c r="L112" s="773">
        <v>0</v>
      </c>
      <c r="M112" s="830">
        <v>0</v>
      </c>
      <c r="N112" s="783">
        <v>0</v>
      </c>
      <c r="O112" s="773">
        <f t="shared" si="29"/>
        <v>0</v>
      </c>
      <c r="P112" s="841"/>
      <c r="Q112" s="841"/>
      <c r="R112" s="841"/>
      <c r="S112" s="841"/>
      <c r="T112" s="841"/>
      <c r="U112" s="841"/>
      <c r="V112" s="841"/>
      <c r="W112" s="841"/>
      <c r="X112" s="841"/>
      <c r="Y112" s="841"/>
      <c r="Z112" s="841"/>
      <c r="AA112" s="841"/>
      <c r="AB112" s="841"/>
      <c r="AC112" s="841"/>
      <c r="AD112" s="841"/>
      <c r="AE112" s="841"/>
      <c r="AF112" s="841"/>
      <c r="AG112" s="841"/>
    </row>
    <row r="113" spans="1:33" s="843" customFormat="1" x14ac:dyDescent="0.3">
      <c r="A113" s="405"/>
      <c r="B113" s="782" t="s">
        <v>69</v>
      </c>
      <c r="C113" s="830">
        <v>0</v>
      </c>
      <c r="D113" s="830">
        <v>0</v>
      </c>
      <c r="E113" s="830">
        <v>0</v>
      </c>
      <c r="F113" s="830">
        <v>0</v>
      </c>
      <c r="G113" s="830">
        <v>0</v>
      </c>
      <c r="H113" s="830">
        <v>0</v>
      </c>
      <c r="I113" s="830">
        <v>0</v>
      </c>
      <c r="J113" s="830">
        <v>0</v>
      </c>
      <c r="K113" s="830">
        <v>0</v>
      </c>
      <c r="L113" s="773">
        <v>0</v>
      </c>
      <c r="M113" s="830">
        <v>0</v>
      </c>
      <c r="N113" s="783">
        <v>0</v>
      </c>
      <c r="O113" s="773">
        <f t="shared" si="29"/>
        <v>0</v>
      </c>
      <c r="P113" s="841"/>
      <c r="Q113" s="841"/>
      <c r="R113" s="841"/>
      <c r="S113" s="841"/>
      <c r="T113" s="841"/>
      <c r="U113" s="841"/>
      <c r="V113" s="841"/>
      <c r="W113" s="841"/>
      <c r="X113" s="841"/>
      <c r="Y113" s="841"/>
      <c r="Z113" s="841"/>
      <c r="AA113" s="841"/>
      <c r="AB113" s="841"/>
      <c r="AC113" s="841"/>
      <c r="AD113" s="841"/>
      <c r="AE113" s="841"/>
      <c r="AF113" s="841"/>
      <c r="AG113" s="841"/>
    </row>
    <row r="114" spans="1:33" s="843" customFormat="1" x14ac:dyDescent="0.3">
      <c r="A114" s="405"/>
      <c r="B114" s="859" t="s">
        <v>335</v>
      </c>
      <c r="C114" s="872">
        <f>+C115+C120</f>
        <v>0.1295811304689892</v>
      </c>
      <c r="D114" s="872">
        <f t="shared" ref="D114:N114" si="31">+D115+D120</f>
        <v>0.12121121247609098</v>
      </c>
      <c r="E114" s="872">
        <f t="shared" si="31"/>
        <v>0.13897129072243422</v>
      </c>
      <c r="F114" s="872">
        <f t="shared" si="31"/>
        <v>0.10447137272953602</v>
      </c>
      <c r="G114" s="872">
        <f t="shared" si="31"/>
        <v>9.6101454736637851E-2</v>
      </c>
      <c r="H114" s="872">
        <f t="shared" si="31"/>
        <v>8.7731532982981086E-2</v>
      </c>
      <c r="I114" s="872">
        <f t="shared" si="31"/>
        <v>7.9361614990082874E-2</v>
      </c>
      <c r="J114" s="872">
        <f t="shared" si="31"/>
        <v>7.0991693236426096E-2</v>
      </c>
      <c r="K114" s="872">
        <f t="shared" si="31"/>
        <v>8.8751775243527925E-2</v>
      </c>
      <c r="L114" s="872">
        <f t="shared" si="31"/>
        <v>5.4251853489871153E-2</v>
      </c>
      <c r="M114" s="872">
        <f t="shared" si="31"/>
        <v>4.5881935496972968E-2</v>
      </c>
      <c r="N114" s="872">
        <f t="shared" si="31"/>
        <v>3.7512017504074784E-2</v>
      </c>
      <c r="O114" s="861">
        <f t="shared" si="29"/>
        <v>1.0548188840776254</v>
      </c>
      <c r="P114" s="853"/>
      <c r="Q114" s="841"/>
      <c r="R114" s="841"/>
      <c r="S114" s="841"/>
      <c r="T114" s="841"/>
      <c r="U114" s="841"/>
      <c r="V114" s="841"/>
      <c r="W114" s="841"/>
      <c r="X114" s="841"/>
      <c r="Y114" s="841"/>
      <c r="Z114" s="841"/>
      <c r="AA114" s="841"/>
      <c r="AB114" s="841"/>
      <c r="AC114" s="841"/>
      <c r="AD114" s="841"/>
      <c r="AE114" s="841"/>
      <c r="AF114" s="841"/>
      <c r="AG114" s="841"/>
    </row>
    <row r="115" spans="1:33" s="843" customFormat="1" x14ac:dyDescent="0.3">
      <c r="A115" s="405"/>
      <c r="B115" s="774" t="s">
        <v>71</v>
      </c>
      <c r="C115" s="825">
        <f>+C116+C118</f>
        <v>0.1295811304689892</v>
      </c>
      <c r="D115" s="825">
        <f t="shared" ref="D115:N115" si="32">+D116+D118</f>
        <v>0.12121121247609098</v>
      </c>
      <c r="E115" s="825">
        <f t="shared" si="32"/>
        <v>0.11284129072243422</v>
      </c>
      <c r="F115" s="825">
        <f t="shared" si="32"/>
        <v>0.10447137272953602</v>
      </c>
      <c r="G115" s="825">
        <f t="shared" si="32"/>
        <v>9.6101454736637851E-2</v>
      </c>
      <c r="H115" s="825">
        <f t="shared" si="32"/>
        <v>8.7731532982981086E-2</v>
      </c>
      <c r="I115" s="825">
        <f t="shared" si="32"/>
        <v>7.9361614990082874E-2</v>
      </c>
      <c r="J115" s="825">
        <f t="shared" si="32"/>
        <v>7.0991693236426096E-2</v>
      </c>
      <c r="K115" s="825">
        <f t="shared" si="32"/>
        <v>6.2621775243527925E-2</v>
      </c>
      <c r="L115" s="825">
        <f t="shared" si="32"/>
        <v>5.4251853489871153E-2</v>
      </c>
      <c r="M115" s="825">
        <f t="shared" si="32"/>
        <v>4.5881935496972968E-2</v>
      </c>
      <c r="N115" s="825">
        <f t="shared" si="32"/>
        <v>3.7512017504074784E-2</v>
      </c>
      <c r="O115" s="825">
        <f t="shared" ref="O115" si="33">+O116+O118</f>
        <v>1.0025588840776252</v>
      </c>
      <c r="P115" s="841"/>
      <c r="Q115" s="841"/>
      <c r="R115" s="841"/>
      <c r="S115" s="841"/>
      <c r="T115" s="841"/>
      <c r="U115" s="841"/>
      <c r="V115" s="841"/>
      <c r="W115" s="841"/>
      <c r="X115" s="841"/>
      <c r="Y115" s="841"/>
      <c r="Z115" s="841"/>
      <c r="AA115" s="841"/>
      <c r="AB115" s="841"/>
      <c r="AC115" s="841"/>
      <c r="AD115" s="841"/>
      <c r="AE115" s="841"/>
      <c r="AF115" s="841"/>
      <c r="AG115" s="841"/>
    </row>
    <row r="116" spans="1:33" x14ac:dyDescent="0.3">
      <c r="B116" s="873" t="s">
        <v>583</v>
      </c>
      <c r="C116" s="787">
        <f>+C117</f>
        <v>0.1295811304689892</v>
      </c>
      <c r="D116" s="787">
        <f t="shared" ref="D116:N116" si="34">+D117</f>
        <v>0.12121121247609098</v>
      </c>
      <c r="E116" s="787">
        <f t="shared" si="34"/>
        <v>0.11284129072243422</v>
      </c>
      <c r="F116" s="787">
        <f t="shared" si="34"/>
        <v>0.10447137272953602</v>
      </c>
      <c r="G116" s="787">
        <f t="shared" si="34"/>
        <v>9.6101454736637851E-2</v>
      </c>
      <c r="H116" s="787">
        <f t="shared" si="34"/>
        <v>8.7731532982981086E-2</v>
      </c>
      <c r="I116" s="787">
        <f t="shared" si="34"/>
        <v>7.9361614990082874E-2</v>
      </c>
      <c r="J116" s="787">
        <f t="shared" si="34"/>
        <v>7.0991693236426096E-2</v>
      </c>
      <c r="K116" s="787">
        <f t="shared" si="34"/>
        <v>6.2621775243527925E-2</v>
      </c>
      <c r="L116" s="787">
        <f t="shared" si="34"/>
        <v>5.4251853489871153E-2</v>
      </c>
      <c r="M116" s="787">
        <f t="shared" si="34"/>
        <v>4.5881935496972968E-2</v>
      </c>
      <c r="N116" s="787">
        <f t="shared" si="34"/>
        <v>3.7512017504074784E-2</v>
      </c>
      <c r="O116" s="778">
        <f t="shared" si="29"/>
        <v>1.0025588840776252</v>
      </c>
      <c r="P116" s="841"/>
      <c r="Q116" s="841"/>
      <c r="R116" s="841"/>
      <c r="S116" s="841"/>
      <c r="T116" s="841"/>
      <c r="U116" s="841"/>
      <c r="V116" s="841"/>
      <c r="W116" s="841"/>
      <c r="X116" s="841"/>
      <c r="Y116" s="841"/>
      <c r="Z116" s="841"/>
      <c r="AA116" s="841"/>
      <c r="AB116" s="841"/>
      <c r="AC116" s="841"/>
      <c r="AD116" s="841"/>
      <c r="AE116" s="841"/>
      <c r="AF116" s="841"/>
      <c r="AG116" s="841"/>
    </row>
    <row r="117" spans="1:33" s="843" customFormat="1" x14ac:dyDescent="0.3">
      <c r="A117" s="405"/>
      <c r="B117" s="829" t="s">
        <v>669</v>
      </c>
      <c r="C117" s="787">
        <v>0.1295811304689892</v>
      </c>
      <c r="D117" s="787">
        <v>0.12121121247609098</v>
      </c>
      <c r="E117" s="787">
        <v>0.11284129072243422</v>
      </c>
      <c r="F117" s="787">
        <v>0.10447137272953602</v>
      </c>
      <c r="G117" s="787">
        <v>9.6101454736637851E-2</v>
      </c>
      <c r="H117" s="787">
        <v>8.7731532982981086E-2</v>
      </c>
      <c r="I117" s="787">
        <v>7.9361614990082874E-2</v>
      </c>
      <c r="J117" s="787">
        <v>7.0991693236426096E-2</v>
      </c>
      <c r="K117" s="787">
        <v>6.2621775243527925E-2</v>
      </c>
      <c r="L117" s="778">
        <v>5.4251853489871153E-2</v>
      </c>
      <c r="M117" s="787">
        <v>4.5881935496972968E-2</v>
      </c>
      <c r="N117" s="787">
        <v>3.7512017504074784E-2</v>
      </c>
      <c r="O117" s="778">
        <f t="shared" si="29"/>
        <v>1.0025588840776252</v>
      </c>
      <c r="P117" s="841"/>
      <c r="Q117" s="841"/>
      <c r="R117" s="841"/>
      <c r="S117" s="841"/>
      <c r="T117" s="841"/>
      <c r="U117" s="841"/>
      <c r="V117" s="841"/>
      <c r="W117" s="841"/>
      <c r="X117" s="841"/>
      <c r="Y117" s="841"/>
      <c r="Z117" s="841"/>
      <c r="AA117" s="841"/>
      <c r="AB117" s="841"/>
      <c r="AC117" s="841"/>
      <c r="AD117" s="841"/>
      <c r="AE117" s="841"/>
      <c r="AF117" s="841"/>
      <c r="AG117" s="841"/>
    </row>
    <row r="118" spans="1:33" s="843" customFormat="1" x14ac:dyDescent="0.3">
      <c r="A118" s="405"/>
      <c r="B118" s="874" t="s">
        <v>584</v>
      </c>
      <c r="C118" s="787">
        <f>+C119</f>
        <v>0</v>
      </c>
      <c r="D118" s="787">
        <f t="shared" ref="D118:N118" si="35">+D119</f>
        <v>0</v>
      </c>
      <c r="E118" s="787">
        <f t="shared" si="35"/>
        <v>0</v>
      </c>
      <c r="F118" s="787">
        <f t="shared" si="35"/>
        <v>0</v>
      </c>
      <c r="G118" s="787">
        <f t="shared" si="35"/>
        <v>0</v>
      </c>
      <c r="H118" s="787">
        <f t="shared" si="35"/>
        <v>0</v>
      </c>
      <c r="I118" s="787">
        <f t="shared" si="35"/>
        <v>0</v>
      </c>
      <c r="J118" s="787">
        <f t="shared" si="35"/>
        <v>0</v>
      </c>
      <c r="K118" s="787">
        <f t="shared" si="35"/>
        <v>0</v>
      </c>
      <c r="L118" s="787">
        <f t="shared" si="35"/>
        <v>0</v>
      </c>
      <c r="M118" s="787">
        <f t="shared" si="35"/>
        <v>0</v>
      </c>
      <c r="N118" s="787">
        <f t="shared" si="35"/>
        <v>0</v>
      </c>
      <c r="O118" s="778">
        <f t="shared" si="29"/>
        <v>0</v>
      </c>
      <c r="P118" s="841"/>
      <c r="Q118" s="841"/>
      <c r="R118" s="841"/>
      <c r="S118" s="841"/>
      <c r="T118" s="841"/>
      <c r="U118" s="841"/>
      <c r="V118" s="841"/>
      <c r="W118" s="841"/>
      <c r="X118" s="841"/>
      <c r="Y118" s="841"/>
      <c r="Z118" s="841"/>
      <c r="AA118" s="841"/>
      <c r="AB118" s="841"/>
      <c r="AC118" s="841"/>
      <c r="AD118" s="841"/>
      <c r="AE118" s="841"/>
      <c r="AF118" s="841"/>
      <c r="AG118" s="841"/>
    </row>
    <row r="119" spans="1:33" s="843" customFormat="1" x14ac:dyDescent="0.3">
      <c r="A119" s="405"/>
      <c r="B119" s="829" t="s">
        <v>669</v>
      </c>
      <c r="C119" s="787">
        <v>0</v>
      </c>
      <c r="D119" s="787">
        <v>0</v>
      </c>
      <c r="E119" s="787">
        <v>0</v>
      </c>
      <c r="F119" s="787">
        <v>0</v>
      </c>
      <c r="G119" s="787">
        <v>0</v>
      </c>
      <c r="H119" s="787">
        <v>0</v>
      </c>
      <c r="I119" s="787">
        <v>0</v>
      </c>
      <c r="J119" s="787">
        <v>0</v>
      </c>
      <c r="K119" s="787">
        <v>0</v>
      </c>
      <c r="L119" s="778">
        <v>0</v>
      </c>
      <c r="M119" s="787">
        <v>0</v>
      </c>
      <c r="N119" s="787">
        <v>0</v>
      </c>
      <c r="O119" s="778">
        <f t="shared" si="29"/>
        <v>0</v>
      </c>
      <c r="P119" s="841"/>
      <c r="Q119" s="841"/>
      <c r="R119" s="841"/>
      <c r="S119" s="841"/>
      <c r="T119" s="841"/>
      <c r="U119" s="841"/>
      <c r="V119" s="841"/>
      <c r="W119" s="841"/>
      <c r="X119" s="841"/>
      <c r="Y119" s="841"/>
      <c r="Z119" s="841"/>
      <c r="AA119" s="841"/>
      <c r="AB119" s="841"/>
      <c r="AC119" s="841"/>
      <c r="AD119" s="841"/>
      <c r="AE119" s="841"/>
      <c r="AF119" s="841"/>
      <c r="AG119" s="841"/>
    </row>
    <row r="120" spans="1:33" s="843" customFormat="1" x14ac:dyDescent="0.3">
      <c r="A120" s="405"/>
      <c r="B120" s="774" t="s">
        <v>69</v>
      </c>
      <c r="C120" s="825">
        <f>+C121</f>
        <v>0</v>
      </c>
      <c r="D120" s="825">
        <f t="shared" ref="D120:N120" si="36">+D121</f>
        <v>0</v>
      </c>
      <c r="E120" s="825">
        <f t="shared" si="36"/>
        <v>2.613E-2</v>
      </c>
      <c r="F120" s="825">
        <f t="shared" si="36"/>
        <v>0</v>
      </c>
      <c r="G120" s="825">
        <f t="shared" si="36"/>
        <v>0</v>
      </c>
      <c r="H120" s="825">
        <f t="shared" si="36"/>
        <v>0</v>
      </c>
      <c r="I120" s="825">
        <f t="shared" si="36"/>
        <v>0</v>
      </c>
      <c r="J120" s="825">
        <f t="shared" si="36"/>
        <v>0</v>
      </c>
      <c r="K120" s="825">
        <f t="shared" si="36"/>
        <v>2.613E-2</v>
      </c>
      <c r="L120" s="825">
        <f t="shared" si="36"/>
        <v>0</v>
      </c>
      <c r="M120" s="825">
        <f t="shared" si="36"/>
        <v>0</v>
      </c>
      <c r="N120" s="825">
        <f t="shared" si="36"/>
        <v>0</v>
      </c>
      <c r="O120" s="825">
        <f t="shared" si="29"/>
        <v>5.2260000000000001E-2</v>
      </c>
      <c r="P120" s="841"/>
      <c r="Q120" s="841"/>
      <c r="R120" s="841"/>
      <c r="S120" s="841"/>
      <c r="T120" s="841"/>
      <c r="U120" s="841"/>
      <c r="V120" s="841"/>
      <c r="W120" s="841"/>
      <c r="X120" s="841"/>
      <c r="Y120" s="841"/>
      <c r="Z120" s="841"/>
      <c r="AA120" s="841"/>
      <c r="AB120" s="841"/>
      <c r="AC120" s="841"/>
      <c r="AD120" s="841"/>
      <c r="AE120" s="841"/>
      <c r="AF120" s="841"/>
      <c r="AG120" s="841"/>
    </row>
    <row r="121" spans="1:33" s="843" customFormat="1" x14ac:dyDescent="0.3">
      <c r="A121" s="405"/>
      <c r="B121" s="829" t="s">
        <v>762</v>
      </c>
      <c r="C121" s="787">
        <v>0</v>
      </c>
      <c r="D121" s="787">
        <v>0</v>
      </c>
      <c r="E121" s="787">
        <v>2.613E-2</v>
      </c>
      <c r="F121" s="787">
        <v>0</v>
      </c>
      <c r="G121" s="787">
        <v>0</v>
      </c>
      <c r="H121" s="787">
        <v>0</v>
      </c>
      <c r="I121" s="787">
        <v>0</v>
      </c>
      <c r="J121" s="787">
        <v>0</v>
      </c>
      <c r="K121" s="787">
        <v>2.613E-2</v>
      </c>
      <c r="L121" s="778">
        <v>0</v>
      </c>
      <c r="M121" s="787">
        <v>0</v>
      </c>
      <c r="N121" s="787">
        <v>0</v>
      </c>
      <c r="O121" s="778">
        <f t="shared" si="29"/>
        <v>5.2260000000000001E-2</v>
      </c>
      <c r="P121" s="841"/>
      <c r="Q121" s="841"/>
      <c r="R121" s="841"/>
      <c r="S121" s="841"/>
      <c r="T121" s="841"/>
      <c r="U121" s="841"/>
      <c r="V121" s="841"/>
      <c r="W121" s="841"/>
      <c r="X121" s="841"/>
      <c r="Y121" s="841"/>
      <c r="Z121" s="841"/>
      <c r="AA121" s="841"/>
      <c r="AB121" s="841"/>
      <c r="AC121" s="841"/>
      <c r="AD121" s="841"/>
      <c r="AE121" s="841"/>
      <c r="AF121" s="841"/>
      <c r="AG121" s="841"/>
    </row>
    <row r="122" spans="1:33" s="843" customFormat="1" x14ac:dyDescent="0.3">
      <c r="A122" s="405"/>
      <c r="B122" s="794"/>
      <c r="C122" s="795"/>
      <c r="D122" s="795"/>
      <c r="E122" s="795"/>
      <c r="F122" s="795"/>
      <c r="G122" s="795"/>
      <c r="H122" s="795"/>
      <c r="I122" s="795"/>
      <c r="J122" s="795"/>
      <c r="K122" s="795"/>
      <c r="L122" s="795"/>
      <c r="M122" s="795"/>
      <c r="N122" s="795"/>
      <c r="O122" s="795"/>
      <c r="P122" s="841"/>
      <c r="Q122" s="841"/>
      <c r="R122" s="841"/>
      <c r="S122" s="841"/>
      <c r="T122" s="841"/>
      <c r="U122" s="841"/>
      <c r="V122" s="841"/>
      <c r="W122" s="841"/>
      <c r="X122" s="841"/>
      <c r="Y122" s="841"/>
      <c r="Z122" s="841"/>
      <c r="AA122" s="841"/>
      <c r="AB122" s="841"/>
      <c r="AC122" s="841"/>
      <c r="AD122" s="841"/>
      <c r="AE122" s="841"/>
      <c r="AF122" s="841"/>
      <c r="AG122" s="841"/>
    </row>
    <row r="123" spans="1:33" x14ac:dyDescent="0.3">
      <c r="B123" s="796" t="s">
        <v>104</v>
      </c>
      <c r="C123" s="798">
        <f>+C124+C125</f>
        <v>25.57185942759175</v>
      </c>
      <c r="D123" s="798">
        <f t="shared" ref="D123:N123" si="37">+D124+D125</f>
        <v>109.50658295683117</v>
      </c>
      <c r="E123" s="798">
        <f t="shared" si="37"/>
        <v>132.35003962701083</v>
      </c>
      <c r="F123" s="798">
        <f t="shared" si="37"/>
        <v>163.57098647640561</v>
      </c>
      <c r="G123" s="798">
        <f t="shared" si="37"/>
        <v>28.676497430345734</v>
      </c>
      <c r="H123" s="798">
        <f t="shared" si="37"/>
        <v>250.77835343343921</v>
      </c>
      <c r="I123" s="798">
        <f t="shared" si="37"/>
        <v>25.197532631993695</v>
      </c>
      <c r="J123" s="798">
        <f t="shared" si="37"/>
        <v>52.538522114574462</v>
      </c>
      <c r="K123" s="798">
        <f t="shared" si="37"/>
        <v>68.215607815808355</v>
      </c>
      <c r="L123" s="798">
        <f t="shared" si="37"/>
        <v>160.08047660673049</v>
      </c>
      <c r="M123" s="798">
        <f t="shared" si="37"/>
        <v>28.277729284169254</v>
      </c>
      <c r="N123" s="798">
        <f t="shared" si="37"/>
        <v>250.14493345759783</v>
      </c>
      <c r="O123" s="798">
        <f>SUM(C123:N123)</f>
        <v>1294.909121262498</v>
      </c>
      <c r="P123" s="875"/>
      <c r="Q123" s="841"/>
      <c r="R123" s="841"/>
      <c r="S123" s="841"/>
      <c r="T123" s="841"/>
      <c r="U123" s="841"/>
      <c r="V123" s="841"/>
      <c r="W123" s="841"/>
      <c r="X123" s="841"/>
      <c r="Y123" s="841"/>
      <c r="Z123" s="841"/>
      <c r="AA123" s="841"/>
      <c r="AB123" s="841"/>
      <c r="AC123" s="841"/>
      <c r="AD123" s="841"/>
      <c r="AE123" s="841"/>
      <c r="AF123" s="841"/>
      <c r="AG123" s="841"/>
    </row>
    <row r="124" spans="1:33" x14ac:dyDescent="0.3">
      <c r="B124" s="784" t="s">
        <v>105</v>
      </c>
      <c r="C124" s="787">
        <v>15.092618920827761</v>
      </c>
      <c r="D124" s="787">
        <v>39.980865523546484</v>
      </c>
      <c r="E124" s="787">
        <v>124.73098601825171</v>
      </c>
      <c r="F124" s="787">
        <v>27.206828973485905</v>
      </c>
      <c r="G124" s="787">
        <v>16.010157936817752</v>
      </c>
      <c r="H124" s="787">
        <v>243.2997628239988</v>
      </c>
      <c r="I124" s="787">
        <v>14.965101296032627</v>
      </c>
      <c r="J124" s="787">
        <v>39.930646004306823</v>
      </c>
      <c r="K124" s="787">
        <v>60.968849023594245</v>
      </c>
      <c r="L124" s="787">
        <v>27.079311344930016</v>
      </c>
      <c r="M124" s="787">
        <v>16.037236526894315</v>
      </c>
      <c r="N124" s="787">
        <v>243.17224519920367</v>
      </c>
      <c r="O124" s="773">
        <f>SUM(C124:N124)</f>
        <v>868.47460959189004</v>
      </c>
      <c r="P124" s="875"/>
      <c r="Q124" s="841"/>
      <c r="R124" s="841"/>
      <c r="S124" s="841"/>
      <c r="T124" s="841"/>
      <c r="U124" s="841"/>
      <c r="V124" s="841"/>
      <c r="W124" s="841"/>
      <c r="X124" s="841"/>
      <c r="Y124" s="841"/>
      <c r="Z124" s="841"/>
      <c r="AA124" s="841"/>
      <c r="AB124" s="841"/>
      <c r="AC124" s="841"/>
      <c r="AD124" s="841"/>
      <c r="AE124" s="841"/>
      <c r="AF124" s="841"/>
      <c r="AG124" s="841"/>
    </row>
    <row r="125" spans="1:33" x14ac:dyDescent="0.3">
      <c r="B125" s="784" t="s">
        <v>499</v>
      </c>
      <c r="C125" s="773">
        <v>10.47924050676399</v>
      </c>
      <c r="D125" s="773">
        <v>69.525717433284683</v>
      </c>
      <c r="E125" s="773">
        <v>7.6190536087591241</v>
      </c>
      <c r="F125" s="773">
        <v>136.36415750291971</v>
      </c>
      <c r="G125" s="773">
        <v>12.66633949352798</v>
      </c>
      <c r="H125" s="773">
        <v>7.4785906094403893</v>
      </c>
      <c r="I125" s="773">
        <v>10.232431335961071</v>
      </c>
      <c r="J125" s="773">
        <v>12.60787611026764</v>
      </c>
      <c r="K125" s="773">
        <v>7.2467587922141119</v>
      </c>
      <c r="L125" s="773">
        <v>133.00116526180048</v>
      </c>
      <c r="M125" s="773">
        <v>12.240492757274939</v>
      </c>
      <c r="N125" s="773">
        <v>6.972688258394161</v>
      </c>
      <c r="O125" s="773">
        <f>SUM(C125:N125)</f>
        <v>426.43451167060823</v>
      </c>
      <c r="P125" s="875"/>
      <c r="Q125" s="841"/>
      <c r="R125" s="841"/>
      <c r="S125" s="841"/>
      <c r="T125" s="841"/>
      <c r="U125" s="841"/>
      <c r="V125" s="841"/>
      <c r="W125" s="841"/>
      <c r="X125" s="841"/>
      <c r="Y125" s="841"/>
      <c r="Z125" s="841"/>
      <c r="AA125" s="841"/>
      <c r="AB125" s="841"/>
      <c r="AC125" s="841"/>
      <c r="AD125" s="841"/>
      <c r="AE125" s="841"/>
      <c r="AF125" s="841"/>
      <c r="AG125" s="841"/>
    </row>
    <row r="126" spans="1:33" x14ac:dyDescent="0.3">
      <c r="B126" s="796" t="s">
        <v>106</v>
      </c>
      <c r="C126" s="798">
        <v>1077.2556194291108</v>
      </c>
      <c r="D126" s="798">
        <v>209.59208510508256</v>
      </c>
      <c r="E126" s="798">
        <v>94.375124932995988</v>
      </c>
      <c r="F126" s="798">
        <v>42.090423721898816</v>
      </c>
      <c r="G126" s="798">
        <v>180.42345219131397</v>
      </c>
      <c r="H126" s="798">
        <v>49.782929000208853</v>
      </c>
      <c r="I126" s="798">
        <v>1073.6087073263789</v>
      </c>
      <c r="J126" s="798">
        <v>92.058530665814303</v>
      </c>
      <c r="K126" s="798">
        <v>92.109915350144732</v>
      </c>
      <c r="L126" s="798">
        <v>40.692210859049055</v>
      </c>
      <c r="M126" s="798">
        <v>80.874458668633906</v>
      </c>
      <c r="N126" s="798">
        <v>46.859212812768106</v>
      </c>
      <c r="O126" s="798">
        <f>SUM(C126:N126)</f>
        <v>3079.7226700634001</v>
      </c>
      <c r="P126" s="875"/>
      <c r="Q126" s="841"/>
      <c r="R126" s="841"/>
      <c r="S126" s="841"/>
      <c r="T126" s="841"/>
      <c r="U126" s="841"/>
      <c r="V126" s="841"/>
      <c r="W126" s="841"/>
      <c r="X126" s="841"/>
      <c r="Y126" s="841"/>
      <c r="Z126" s="841"/>
      <c r="AA126" s="841"/>
      <c r="AB126" s="841"/>
      <c r="AC126" s="841"/>
      <c r="AD126" s="841"/>
      <c r="AE126" s="841"/>
      <c r="AF126" s="841"/>
      <c r="AG126" s="841"/>
    </row>
    <row r="127" spans="1:33" x14ac:dyDescent="0.3">
      <c r="B127" s="876"/>
      <c r="C127" s="847"/>
      <c r="D127" s="737"/>
      <c r="E127" s="737"/>
      <c r="F127" s="737"/>
      <c r="G127" s="737"/>
      <c r="H127" s="737"/>
      <c r="I127" s="737"/>
      <c r="J127" s="737"/>
      <c r="K127" s="737"/>
      <c r="L127" s="737"/>
      <c r="M127" s="737"/>
      <c r="N127" s="737"/>
      <c r="O127" s="737"/>
    </row>
    <row r="128" spans="1:33" x14ac:dyDescent="0.3">
      <c r="B128" s="742" t="s">
        <v>336</v>
      </c>
      <c r="C128" s="877"/>
      <c r="D128" s="878"/>
      <c r="E128" s="878"/>
      <c r="F128" s="878"/>
      <c r="G128" s="878"/>
      <c r="H128" s="878"/>
      <c r="I128" s="878"/>
      <c r="J128" s="878"/>
      <c r="K128" s="878"/>
      <c r="L128" s="878"/>
      <c r="M128" s="878"/>
      <c r="N128" s="878"/>
      <c r="O128" s="879"/>
    </row>
    <row r="129" spans="3:15" x14ac:dyDescent="0.3">
      <c r="C129" s="879"/>
      <c r="D129" s="879"/>
      <c r="E129" s="879"/>
      <c r="F129" s="879"/>
      <c r="G129" s="879"/>
      <c r="H129" s="879"/>
      <c r="I129" s="879"/>
      <c r="J129" s="879"/>
      <c r="K129" s="879"/>
      <c r="L129" s="879"/>
      <c r="M129" s="880"/>
      <c r="N129" s="879"/>
      <c r="O129" s="879"/>
    </row>
    <row r="130" spans="3:15" x14ac:dyDescent="0.3">
      <c r="C130" s="877"/>
      <c r="D130" s="877"/>
      <c r="E130" s="877"/>
      <c r="F130" s="877"/>
      <c r="G130" s="877"/>
      <c r="H130" s="877"/>
      <c r="I130" s="877"/>
      <c r="J130" s="877"/>
      <c r="K130" s="877"/>
      <c r="L130" s="877"/>
      <c r="M130" s="877"/>
      <c r="N130" s="877"/>
      <c r="O130" s="877"/>
    </row>
    <row r="131" spans="3:15" x14ac:dyDescent="0.3">
      <c r="C131" s="848"/>
      <c r="D131" s="848"/>
      <c r="E131" s="848"/>
      <c r="F131" s="848"/>
      <c r="G131" s="848"/>
      <c r="H131" s="848"/>
      <c r="I131" s="848"/>
      <c r="J131" s="848"/>
      <c r="K131" s="848"/>
      <c r="L131" s="848"/>
      <c r="M131" s="848"/>
      <c r="N131" s="848"/>
      <c r="O131" s="848"/>
    </row>
    <row r="132" spans="3:15" x14ac:dyDescent="0.3">
      <c r="C132" s="848"/>
      <c r="D132" s="848"/>
      <c r="E132" s="853"/>
      <c r="F132" s="848"/>
      <c r="G132" s="848"/>
      <c r="H132" s="848"/>
      <c r="I132" s="848"/>
      <c r="J132" s="853"/>
      <c r="K132" s="853"/>
      <c r="L132" s="848"/>
      <c r="M132" s="848"/>
      <c r="N132" s="848"/>
      <c r="O132" s="848"/>
    </row>
    <row r="133" spans="3:15" x14ac:dyDescent="0.3">
      <c r="C133" s="881"/>
      <c r="D133" s="881"/>
      <c r="E133" s="881"/>
      <c r="F133" s="881"/>
      <c r="G133" s="881"/>
      <c r="H133" s="881"/>
      <c r="I133" s="881"/>
      <c r="J133" s="881"/>
      <c r="K133" s="882"/>
      <c r="L133" s="881"/>
      <c r="M133" s="881"/>
      <c r="N133" s="881"/>
      <c r="O133" s="881"/>
    </row>
    <row r="134" spans="3:15" x14ac:dyDescent="0.3">
      <c r="C134" s="881"/>
      <c r="D134" s="881"/>
      <c r="E134" s="881"/>
      <c r="F134" s="881"/>
      <c r="G134" s="881"/>
      <c r="H134" s="881"/>
      <c r="I134" s="881"/>
      <c r="J134" s="881"/>
      <c r="K134" s="881"/>
      <c r="L134" s="881"/>
      <c r="M134" s="881"/>
      <c r="N134" s="881"/>
      <c r="O134" s="881"/>
    </row>
    <row r="135" spans="3:15" x14ac:dyDescent="0.3">
      <c r="C135" s="881"/>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115"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P447"/>
  <sheetViews>
    <sheetView showGridLines="0" showRuler="0" zoomScale="85" zoomScaleNormal="85" zoomScaleSheetLayoutView="80" workbookViewId="0"/>
  </sheetViews>
  <sheetFormatPr baseColWidth="10" defaultColWidth="11.44140625" defaultRowHeight="14.4" x14ac:dyDescent="0.3"/>
  <cols>
    <col min="1" max="1" width="6.77734375" style="288" customWidth="1"/>
    <col min="2" max="2" width="44.77734375" style="883" customWidth="1"/>
    <col min="3" max="14" width="18.44140625" style="883" customWidth="1"/>
    <col min="15" max="15" width="22.21875" style="884" bestFit="1" customWidth="1"/>
    <col min="16" max="16384" width="11.44140625" style="884"/>
  </cols>
  <sheetData>
    <row r="1" spans="1:15" ht="15" x14ac:dyDescent="0.3">
      <c r="A1" s="1" t="s">
        <v>216</v>
      </c>
      <c r="B1" s="286"/>
    </row>
    <row r="2" spans="1:15" ht="15" customHeight="1" x14ac:dyDescent="0.3">
      <c r="A2" s="286"/>
      <c r="B2" s="4" t="s">
        <v>693</v>
      </c>
      <c r="C2" s="885"/>
      <c r="D2" s="885"/>
      <c r="E2" s="885"/>
      <c r="F2" s="885"/>
      <c r="G2" s="885"/>
      <c r="H2" s="885"/>
      <c r="I2" s="885"/>
      <c r="J2" s="885"/>
      <c r="K2" s="885"/>
      <c r="L2" s="885"/>
      <c r="M2" s="885"/>
      <c r="N2" s="885"/>
    </row>
    <row r="3" spans="1:15" ht="15" customHeight="1" x14ac:dyDescent="0.3">
      <c r="A3" s="286"/>
      <c r="B3" s="4" t="s">
        <v>299</v>
      </c>
      <c r="C3" s="885"/>
      <c r="D3" s="885"/>
      <c r="E3" s="885"/>
      <c r="F3" s="885"/>
      <c r="G3" s="885"/>
      <c r="H3" s="885"/>
      <c r="I3" s="885"/>
      <c r="J3" s="885"/>
      <c r="K3" s="885"/>
      <c r="L3" s="885"/>
      <c r="M3" s="885"/>
      <c r="N3" s="885"/>
    </row>
    <row r="4" spans="1:15" ht="10.199999999999999" x14ac:dyDescent="0.2">
      <c r="A4" s="883"/>
      <c r="B4" s="886"/>
      <c r="C4" s="885"/>
      <c r="D4" s="885"/>
      <c r="E4" s="885"/>
      <c r="F4" s="885"/>
      <c r="G4" s="885"/>
      <c r="H4" s="885"/>
      <c r="I4" s="885"/>
      <c r="J4" s="885"/>
      <c r="K4" s="885"/>
      <c r="L4" s="885"/>
      <c r="M4" s="885"/>
      <c r="N4" s="885"/>
    </row>
    <row r="5" spans="1:15" ht="10.199999999999999" x14ac:dyDescent="0.2">
      <c r="A5" s="883"/>
      <c r="B5" s="886"/>
      <c r="C5" s="885"/>
      <c r="D5" s="885"/>
      <c r="E5" s="885"/>
      <c r="F5" s="885"/>
      <c r="G5" s="885"/>
      <c r="H5" s="885"/>
      <c r="I5" s="885"/>
      <c r="J5" s="885"/>
      <c r="K5" s="885"/>
      <c r="L5" s="885"/>
      <c r="M5" s="885"/>
      <c r="N5" s="885"/>
    </row>
    <row r="6" spans="1:15" ht="18" x14ac:dyDescent="0.2">
      <c r="A6" s="883"/>
      <c r="B6" s="1435" t="s">
        <v>653</v>
      </c>
      <c r="C6" s="1435"/>
      <c r="D6" s="1435"/>
      <c r="E6" s="1435"/>
      <c r="F6" s="1435"/>
      <c r="G6" s="1435"/>
      <c r="H6" s="1435"/>
      <c r="I6" s="1435"/>
      <c r="J6" s="1435"/>
      <c r="K6" s="1435"/>
      <c r="L6" s="1435"/>
      <c r="M6" s="1435"/>
      <c r="N6" s="1435"/>
    </row>
    <row r="7" spans="1:15" ht="18" x14ac:dyDescent="0.2">
      <c r="A7" s="883"/>
      <c r="B7" s="1435" t="s">
        <v>334</v>
      </c>
      <c r="C7" s="1435"/>
      <c r="D7" s="1435"/>
      <c r="E7" s="1435"/>
      <c r="F7" s="1435"/>
      <c r="G7" s="1435"/>
      <c r="H7" s="1435"/>
      <c r="I7" s="1435"/>
      <c r="J7" s="1435"/>
      <c r="K7" s="1435"/>
      <c r="L7" s="1435"/>
      <c r="M7" s="1435"/>
      <c r="N7" s="1435"/>
    </row>
    <row r="8" spans="1:15" ht="10.199999999999999" x14ac:dyDescent="0.2">
      <c r="A8" s="883"/>
      <c r="B8" s="887"/>
      <c r="C8" s="888"/>
      <c r="D8" s="889"/>
      <c r="E8" s="889"/>
      <c r="F8" s="889"/>
      <c r="G8" s="889"/>
      <c r="H8" s="889"/>
      <c r="I8" s="889"/>
      <c r="J8" s="889"/>
      <c r="K8" s="889"/>
      <c r="L8" s="889"/>
      <c r="M8" s="889"/>
      <c r="N8" s="889"/>
    </row>
    <row r="9" spans="1:15" ht="13.5" customHeight="1" thickBot="1" x14ac:dyDescent="0.25">
      <c r="A9" s="883"/>
      <c r="B9" s="890" t="s">
        <v>906</v>
      </c>
      <c r="C9" s="888"/>
      <c r="D9" s="889"/>
      <c r="E9" s="889"/>
      <c r="F9" s="889"/>
      <c r="G9" s="889"/>
      <c r="H9" s="889"/>
      <c r="I9" s="889"/>
      <c r="J9" s="889"/>
      <c r="K9" s="889"/>
      <c r="L9" s="889"/>
      <c r="M9" s="889"/>
      <c r="N9" s="889"/>
    </row>
    <row r="10" spans="1:15" ht="12" customHeight="1" thickTop="1" x14ac:dyDescent="0.2">
      <c r="A10" s="883"/>
      <c r="B10" s="1436" t="s">
        <v>295</v>
      </c>
      <c r="C10" s="1438">
        <v>2022</v>
      </c>
      <c r="D10" s="1438">
        <v>2023</v>
      </c>
      <c r="E10" s="1438">
        <v>2024</v>
      </c>
      <c r="F10" s="1438">
        <v>2025</v>
      </c>
      <c r="G10" s="1438">
        <v>2026</v>
      </c>
      <c r="H10" s="1438">
        <v>2027</v>
      </c>
      <c r="I10" s="1438">
        <v>2028</v>
      </c>
      <c r="J10" s="1438">
        <v>2029</v>
      </c>
      <c r="K10" s="1438">
        <v>2030</v>
      </c>
      <c r="L10" s="1438">
        <v>2031</v>
      </c>
      <c r="M10" s="1438" t="s">
        <v>912</v>
      </c>
      <c r="N10" s="1438" t="s">
        <v>275</v>
      </c>
    </row>
    <row r="11" spans="1:15" ht="12" customHeight="1" thickBot="1" x14ac:dyDescent="0.25">
      <c r="A11" s="883"/>
      <c r="B11" s="1437"/>
      <c r="C11" s="1439"/>
      <c r="D11" s="1439"/>
      <c r="E11" s="1439"/>
      <c r="F11" s="1439"/>
      <c r="G11" s="1439"/>
      <c r="H11" s="1439"/>
      <c r="I11" s="1439"/>
      <c r="J11" s="1439"/>
      <c r="K11" s="1439"/>
      <c r="L11" s="1439"/>
      <c r="M11" s="1439"/>
      <c r="N11" s="1439"/>
    </row>
    <row r="12" spans="1:15" s="895" customFormat="1" ht="9.75" customHeight="1" thickTop="1" thickBot="1" x14ac:dyDescent="0.35">
      <c r="A12" s="891"/>
      <c r="B12" s="892"/>
      <c r="C12" s="893"/>
      <c r="D12" s="893"/>
      <c r="E12" s="893"/>
      <c r="F12" s="893"/>
      <c r="G12" s="893"/>
      <c r="H12" s="893"/>
      <c r="I12" s="893"/>
      <c r="J12" s="893"/>
      <c r="K12" s="893"/>
      <c r="L12" s="893"/>
      <c r="M12" s="893"/>
      <c r="N12" s="894"/>
    </row>
    <row r="13" spans="1:15" s="895" customFormat="1" ht="15.6" thickTop="1" x14ac:dyDescent="0.2">
      <c r="A13" s="891"/>
      <c r="B13" s="896" t="s">
        <v>233</v>
      </c>
      <c r="C13" s="897">
        <f t="shared" ref="C13:M13" si="0">+C15+C16</f>
        <v>31925377.32022135</v>
      </c>
      <c r="D13" s="897">
        <f t="shared" si="0"/>
        <v>28241564.682788532</v>
      </c>
      <c r="E13" s="897">
        <f t="shared" si="0"/>
        <v>24766011.88746151</v>
      </c>
      <c r="F13" s="897">
        <f t="shared" si="0"/>
        <v>22910378.60136915</v>
      </c>
      <c r="G13" s="897">
        <f t="shared" si="0"/>
        <v>12372092.773441821</v>
      </c>
      <c r="H13" s="897">
        <f t="shared" si="0"/>
        <v>11236299.167449821</v>
      </c>
      <c r="I13" s="897">
        <f t="shared" si="0"/>
        <v>13335136.723790165</v>
      </c>
      <c r="J13" s="897">
        <f t="shared" si="0"/>
        <v>17762343.410762213</v>
      </c>
      <c r="K13" s="897">
        <f t="shared" si="0"/>
        <v>12321110.85191714</v>
      </c>
      <c r="L13" s="897">
        <f t="shared" ref="L13" si="1">+L15+L16</f>
        <v>28641457.039444987</v>
      </c>
      <c r="M13" s="897">
        <f t="shared" si="0"/>
        <v>76754060.020926461</v>
      </c>
      <c r="N13" s="897">
        <f>+N15+N16</f>
        <v>280265832.47957313</v>
      </c>
    </row>
    <row r="14" spans="1:15" s="895" customFormat="1" ht="15" x14ac:dyDescent="0.2">
      <c r="A14" s="891"/>
      <c r="B14" s="898" t="s">
        <v>352</v>
      </c>
      <c r="C14" s="899">
        <f t="shared" ref="C14:N14" si="2">+C13/$N$70</f>
        <v>7.6344493802925975E-2</v>
      </c>
      <c r="D14" s="899">
        <f t="shared" si="2"/>
        <v>6.7535238136228026E-2</v>
      </c>
      <c r="E14" s="899">
        <f t="shared" si="2"/>
        <v>5.922400296481091E-2</v>
      </c>
      <c r="F14" s="899">
        <f t="shared" si="2"/>
        <v>5.4786549258638108E-2</v>
      </c>
      <c r="G14" s="899">
        <f t="shared" si="2"/>
        <v>2.9585904360572346E-2</v>
      </c>
      <c r="H14" s="899">
        <f t="shared" si="2"/>
        <v>2.6869833473004898E-2</v>
      </c>
      <c r="I14" s="899">
        <f t="shared" si="2"/>
        <v>3.1888871751117341E-2</v>
      </c>
      <c r="J14" s="899">
        <f t="shared" si="2"/>
        <v>4.2475836787979324E-2</v>
      </c>
      <c r="K14" s="899">
        <f t="shared" si="2"/>
        <v>2.9463989153341984E-2</v>
      </c>
      <c r="L14" s="899">
        <f t="shared" ref="L14" si="3">+L13/$N$70</f>
        <v>6.8491517501022212E-2</v>
      </c>
      <c r="M14" s="899">
        <f t="shared" si="2"/>
        <v>0.18354520295381119</v>
      </c>
      <c r="N14" s="900">
        <f t="shared" si="2"/>
        <v>0.67021144014345224</v>
      </c>
    </row>
    <row r="15" spans="1:15" s="895" customFormat="1" ht="15" x14ac:dyDescent="0.2">
      <c r="A15" s="891"/>
      <c r="B15" s="901" t="s">
        <v>271</v>
      </c>
      <c r="C15" s="902">
        <v>28266225.363390189</v>
      </c>
      <c r="D15" s="902">
        <v>24936187.654220328</v>
      </c>
      <c r="E15" s="903">
        <v>20770837.417342242</v>
      </c>
      <c r="F15" s="903">
        <v>18711679.120180406</v>
      </c>
      <c r="G15" s="903">
        <v>8293975.2110012453</v>
      </c>
      <c r="H15" s="903">
        <v>7399836.0854467768</v>
      </c>
      <c r="I15" s="903">
        <v>9274782.8190105166</v>
      </c>
      <c r="J15" s="903">
        <v>13836675.847010467</v>
      </c>
      <c r="K15" s="903">
        <v>8478240.1476651747</v>
      </c>
      <c r="L15" s="903">
        <v>25134218.324751377</v>
      </c>
      <c r="M15" s="903">
        <v>65266351.215365231</v>
      </c>
      <c r="N15" s="903">
        <f>SUM(C15:M15)</f>
        <v>230369009.20538396</v>
      </c>
    </row>
    <row r="16" spans="1:15" ht="15" x14ac:dyDescent="0.2">
      <c r="A16" s="891"/>
      <c r="B16" s="901" t="s">
        <v>301</v>
      </c>
      <c r="C16" s="902">
        <v>3659151.95683116</v>
      </c>
      <c r="D16" s="902">
        <v>3305377.0285682036</v>
      </c>
      <c r="E16" s="903">
        <v>3995174.4701192677</v>
      </c>
      <c r="F16" s="903">
        <v>4198699.4811887424</v>
      </c>
      <c r="G16" s="903">
        <v>4078117.562440577</v>
      </c>
      <c r="H16" s="903">
        <v>3836463.082003043</v>
      </c>
      <c r="I16" s="903">
        <v>4060353.9047796479</v>
      </c>
      <c r="J16" s="903">
        <v>3925667.5637517441</v>
      </c>
      <c r="K16" s="903">
        <v>3842870.7042519646</v>
      </c>
      <c r="L16" s="903">
        <v>3507238.7146936101</v>
      </c>
      <c r="M16" s="903">
        <v>11487708.80556123</v>
      </c>
      <c r="N16" s="903">
        <f>SUM(C16:M16)</f>
        <v>49896823.274189197</v>
      </c>
      <c r="O16" s="895"/>
    </row>
    <row r="17" spans="1:14" ht="9.75" customHeight="1" x14ac:dyDescent="0.2">
      <c r="A17" s="883"/>
      <c r="B17" s="904"/>
      <c r="C17" s="905"/>
      <c r="D17" s="905"/>
      <c r="E17" s="905"/>
      <c r="F17" s="905"/>
      <c r="G17" s="905"/>
      <c r="H17" s="905"/>
      <c r="I17" s="905"/>
      <c r="J17" s="905"/>
      <c r="K17" s="905"/>
      <c r="L17" s="905"/>
      <c r="M17" s="905"/>
      <c r="N17" s="905"/>
    </row>
    <row r="18" spans="1:14" ht="15" x14ac:dyDescent="0.2">
      <c r="A18" s="883"/>
      <c r="B18" s="898" t="s">
        <v>234</v>
      </c>
      <c r="C18" s="906">
        <f t="shared" ref="C18:G18" si="4">+C20+C21</f>
        <v>23286110.644214634</v>
      </c>
      <c r="D18" s="907">
        <f t="shared" si="4"/>
        <v>448025.78200000001</v>
      </c>
      <c r="E18" s="907">
        <f t="shared" si="4"/>
        <v>45310.326999999997</v>
      </c>
      <c r="F18" s="907">
        <f t="shared" si="4"/>
        <v>0</v>
      </c>
      <c r="G18" s="907">
        <f t="shared" si="4"/>
        <v>0</v>
      </c>
      <c r="H18" s="907">
        <f>+H20+H21</f>
        <v>0</v>
      </c>
      <c r="I18" s="907">
        <f t="shared" ref="I18:K18" si="5">+I20+I21</f>
        <v>0</v>
      </c>
      <c r="J18" s="907">
        <f t="shared" si="5"/>
        <v>0</v>
      </c>
      <c r="K18" s="907">
        <f t="shared" si="5"/>
        <v>0</v>
      </c>
      <c r="L18" s="907">
        <f t="shared" ref="L18" si="6">+L20+L21</f>
        <v>0</v>
      </c>
      <c r="M18" s="907">
        <f>+M20+M21</f>
        <v>0</v>
      </c>
      <c r="N18" s="906">
        <f>+N20+N21</f>
        <v>23779446.753214635</v>
      </c>
    </row>
    <row r="19" spans="1:14" ht="15" x14ac:dyDescent="0.2">
      <c r="A19" s="883"/>
      <c r="B19" s="898" t="s">
        <v>352</v>
      </c>
      <c r="C19" s="899">
        <f>+C18/$N$70</f>
        <v>5.5685053051682046E-2</v>
      </c>
      <c r="D19" s="899">
        <f t="shared" ref="D19:N19" si="7">+D18/$N$70</f>
        <v>1.0713828436347173E-3</v>
      </c>
      <c r="E19" s="899">
        <f t="shared" si="7"/>
        <v>1.083524853649581E-4</v>
      </c>
      <c r="F19" s="899">
        <f t="shared" si="7"/>
        <v>0</v>
      </c>
      <c r="G19" s="899">
        <f t="shared" si="7"/>
        <v>0</v>
      </c>
      <c r="H19" s="899">
        <f t="shared" si="7"/>
        <v>0</v>
      </c>
      <c r="I19" s="899">
        <f t="shared" si="7"/>
        <v>0</v>
      </c>
      <c r="J19" s="899">
        <f t="shared" si="7"/>
        <v>0</v>
      </c>
      <c r="K19" s="899">
        <f t="shared" si="7"/>
        <v>0</v>
      </c>
      <c r="L19" s="899">
        <f t="shared" ref="L19" si="8">+L18/$N$70</f>
        <v>0</v>
      </c>
      <c r="M19" s="899">
        <f t="shared" si="7"/>
        <v>0</v>
      </c>
      <c r="N19" s="900">
        <f t="shared" si="7"/>
        <v>5.6864788380681722E-2</v>
      </c>
    </row>
    <row r="20" spans="1:14" ht="15" x14ac:dyDescent="0.2">
      <c r="A20" s="883"/>
      <c r="B20" s="901" t="s">
        <v>271</v>
      </c>
      <c r="C20" s="908">
        <v>23216788.255256776</v>
      </c>
      <c r="D20" s="908">
        <v>448025.78200000001</v>
      </c>
      <c r="E20" s="908">
        <v>45310.326999999997</v>
      </c>
      <c r="F20" s="908">
        <v>0</v>
      </c>
      <c r="G20" s="908">
        <v>0</v>
      </c>
      <c r="H20" s="908">
        <v>0</v>
      </c>
      <c r="I20" s="908">
        <v>0</v>
      </c>
      <c r="J20" s="908">
        <v>0</v>
      </c>
      <c r="K20" s="908">
        <v>0</v>
      </c>
      <c r="L20" s="908">
        <v>0</v>
      </c>
      <c r="M20" s="908">
        <v>0</v>
      </c>
      <c r="N20" s="902">
        <f>SUM(C20:M20)</f>
        <v>23710124.364256777</v>
      </c>
    </row>
    <row r="21" spans="1:14" ht="15" x14ac:dyDescent="0.2">
      <c r="A21" s="883"/>
      <c r="B21" s="901" t="s">
        <v>301</v>
      </c>
      <c r="C21" s="908">
        <v>69322.388957858871</v>
      </c>
      <c r="D21" s="908">
        <v>0</v>
      </c>
      <c r="E21" s="908">
        <v>0</v>
      </c>
      <c r="F21" s="908">
        <v>0</v>
      </c>
      <c r="G21" s="908">
        <v>0</v>
      </c>
      <c r="H21" s="908">
        <v>0</v>
      </c>
      <c r="I21" s="908">
        <v>0</v>
      </c>
      <c r="J21" s="908">
        <v>0</v>
      </c>
      <c r="K21" s="908">
        <v>0</v>
      </c>
      <c r="L21" s="908">
        <v>0</v>
      </c>
      <c r="M21" s="908">
        <v>0</v>
      </c>
      <c r="N21" s="902">
        <f>SUM(C21:M21)</f>
        <v>69322.388957858871</v>
      </c>
    </row>
    <row r="22" spans="1:14" ht="9.75" customHeight="1" x14ac:dyDescent="0.2">
      <c r="A22" s="883"/>
      <c r="B22" s="904"/>
      <c r="C22" s="909"/>
      <c r="D22" s="909"/>
      <c r="E22" s="909"/>
      <c r="F22" s="909"/>
      <c r="G22" s="909"/>
      <c r="H22" s="909"/>
      <c r="I22" s="909"/>
      <c r="J22" s="909"/>
      <c r="K22" s="909"/>
      <c r="L22" s="909"/>
      <c r="M22" s="909"/>
      <c r="N22" s="909"/>
    </row>
    <row r="23" spans="1:14" ht="15" x14ac:dyDescent="0.3">
      <c r="A23" s="883"/>
      <c r="B23" s="910" t="s">
        <v>595</v>
      </c>
      <c r="C23" s="906">
        <f t="shared" ref="C23:N23" si="9">+C25+C26</f>
        <v>345913.77500000002</v>
      </c>
      <c r="D23" s="906">
        <f t="shared" si="9"/>
        <v>351538.77500000002</v>
      </c>
      <c r="E23" s="906">
        <f t="shared" si="9"/>
        <v>351538.77500000002</v>
      </c>
      <c r="F23" s="906">
        <f t="shared" si="9"/>
        <v>351538.77500000002</v>
      </c>
      <c r="G23" s="906">
        <f t="shared" si="9"/>
        <v>351538.77500000002</v>
      </c>
      <c r="H23" s="906">
        <f t="shared" si="9"/>
        <v>351538.77500000002</v>
      </c>
      <c r="I23" s="906">
        <f t="shared" si="9"/>
        <v>351538.77500000002</v>
      </c>
      <c r="J23" s="906">
        <f t="shared" si="9"/>
        <v>351538.77500000002</v>
      </c>
      <c r="K23" s="906">
        <f t="shared" si="9"/>
        <v>351538.77500000002</v>
      </c>
      <c r="L23" s="906">
        <f t="shared" ref="L23" si="10">+L25+L26</f>
        <v>351538.77500000002</v>
      </c>
      <c r="M23" s="906">
        <f t="shared" si="9"/>
        <v>2900630.800000004</v>
      </c>
      <c r="N23" s="906">
        <f t="shared" si="9"/>
        <v>6410393.5500000035</v>
      </c>
    </row>
    <row r="24" spans="1:14" ht="15" x14ac:dyDescent="0.2">
      <c r="A24" s="883"/>
      <c r="B24" s="898" t="s">
        <v>352</v>
      </c>
      <c r="C24" s="899">
        <f>+C23/$N$70</f>
        <v>8.2719811850452804E-4</v>
      </c>
      <c r="D24" s="899">
        <f t="shared" ref="D24:N24" si="11">+D23/$N$70</f>
        <v>8.4064941692878984E-4</v>
      </c>
      <c r="E24" s="899">
        <f t="shared" si="11"/>
        <v>8.4064941692878984E-4</v>
      </c>
      <c r="F24" s="899">
        <f t="shared" si="11"/>
        <v>8.4064941692878984E-4</v>
      </c>
      <c r="G24" s="899">
        <f t="shared" si="11"/>
        <v>8.4064941692878984E-4</v>
      </c>
      <c r="H24" s="899">
        <f t="shared" si="11"/>
        <v>8.4064941692878984E-4</v>
      </c>
      <c r="I24" s="899">
        <f t="shared" si="11"/>
        <v>8.4064941692878984E-4</v>
      </c>
      <c r="J24" s="899">
        <f t="shared" si="11"/>
        <v>8.4064941692878984E-4</v>
      </c>
      <c r="K24" s="899">
        <f t="shared" si="11"/>
        <v>8.4064941692878984E-4</v>
      </c>
      <c r="L24" s="899">
        <f t="shared" ref="L24" si="12">+L23/$N$70</f>
        <v>8.4064941692878984E-4</v>
      </c>
      <c r="M24" s="899">
        <f t="shared" si="11"/>
        <v>6.9364000905609699E-3</v>
      </c>
      <c r="N24" s="900">
        <f t="shared" si="11"/>
        <v>1.5329442961424605E-2</v>
      </c>
    </row>
    <row r="25" spans="1:14" ht="15" x14ac:dyDescent="0.2">
      <c r="A25" s="883"/>
      <c r="B25" s="911" t="s">
        <v>271</v>
      </c>
      <c r="C25" s="912">
        <v>345913.77500000002</v>
      </c>
      <c r="D25" s="912">
        <v>351538.77500000002</v>
      </c>
      <c r="E25" s="912">
        <v>351538.77500000002</v>
      </c>
      <c r="F25" s="912">
        <v>351538.77500000002</v>
      </c>
      <c r="G25" s="912">
        <v>351538.77500000002</v>
      </c>
      <c r="H25" s="912">
        <v>351538.77500000002</v>
      </c>
      <c r="I25" s="912">
        <v>351538.77500000002</v>
      </c>
      <c r="J25" s="912">
        <v>351538.77500000002</v>
      </c>
      <c r="K25" s="912">
        <v>351538.77500000002</v>
      </c>
      <c r="L25" s="912">
        <v>351538.77500000002</v>
      </c>
      <c r="M25" s="912">
        <v>2900630.800000004</v>
      </c>
      <c r="N25" s="902">
        <f>SUM(C25:M25)</f>
        <v>6410393.5500000035</v>
      </c>
    </row>
    <row r="26" spans="1:14" ht="15" x14ac:dyDescent="0.2">
      <c r="A26" s="883"/>
      <c r="B26" s="911" t="s">
        <v>301</v>
      </c>
      <c r="C26" s="913">
        <v>0</v>
      </c>
      <c r="D26" s="913">
        <v>0</v>
      </c>
      <c r="E26" s="913">
        <v>0</v>
      </c>
      <c r="F26" s="913">
        <v>0</v>
      </c>
      <c r="G26" s="913">
        <v>0</v>
      </c>
      <c r="H26" s="913">
        <v>0</v>
      </c>
      <c r="I26" s="913">
        <v>0</v>
      </c>
      <c r="J26" s="913">
        <v>0</v>
      </c>
      <c r="K26" s="913">
        <v>0</v>
      </c>
      <c r="L26" s="913">
        <v>0</v>
      </c>
      <c r="M26" s="913">
        <v>0</v>
      </c>
      <c r="N26" s="914">
        <f>SUM(C26:M26)</f>
        <v>0</v>
      </c>
    </row>
    <row r="27" spans="1:14" ht="9.75" customHeight="1" x14ac:dyDescent="0.2">
      <c r="A27" s="883"/>
      <c r="B27" s="904"/>
      <c r="C27" s="909"/>
      <c r="D27" s="909"/>
      <c r="E27" s="909"/>
      <c r="F27" s="909"/>
      <c r="G27" s="909"/>
      <c r="H27" s="909"/>
      <c r="I27" s="909"/>
      <c r="J27" s="909"/>
      <c r="K27" s="909"/>
      <c r="L27" s="909"/>
      <c r="M27" s="909"/>
      <c r="N27" s="909"/>
    </row>
    <row r="28" spans="1:14" ht="15" x14ac:dyDescent="0.2">
      <c r="A28" s="883"/>
      <c r="B28" s="898" t="s">
        <v>516</v>
      </c>
      <c r="C28" s="906">
        <f t="shared" ref="C28:N28" si="13">+C30+C31</f>
        <v>26977356.26983171</v>
      </c>
      <c r="D28" s="906">
        <f t="shared" si="13"/>
        <v>21921927.699169256</v>
      </c>
      <c r="E28" s="906">
        <f t="shared" si="13"/>
        <v>7681481.7055253545</v>
      </c>
      <c r="F28" s="906">
        <f t="shared" si="13"/>
        <v>2771191.2545580878</v>
      </c>
      <c r="G28" s="906">
        <f t="shared" si="13"/>
        <v>2579195.1553282249</v>
      </c>
      <c r="H28" s="906">
        <f t="shared" si="13"/>
        <v>3456451.9381681425</v>
      </c>
      <c r="I28" s="906">
        <f t="shared" si="13"/>
        <v>2397683.3519268106</v>
      </c>
      <c r="J28" s="906">
        <f t="shared" si="13"/>
        <v>2266207.5457361094</v>
      </c>
      <c r="K28" s="906">
        <f t="shared" si="13"/>
        <v>2136317.9913044698</v>
      </c>
      <c r="L28" s="906">
        <f t="shared" ref="L28" si="14">+L30+L31</f>
        <v>2563995.067507104</v>
      </c>
      <c r="M28" s="906">
        <f t="shared" si="13"/>
        <v>11818864.464409817</v>
      </c>
      <c r="N28" s="906">
        <f t="shared" si="13"/>
        <v>86570672.443465069</v>
      </c>
    </row>
    <row r="29" spans="1:14" ht="15" x14ac:dyDescent="0.2">
      <c r="A29" s="883"/>
      <c r="B29" s="898" t="s">
        <v>352</v>
      </c>
      <c r="C29" s="899">
        <f t="shared" ref="C29:N29" si="15">+C28/$N$70</f>
        <v>6.4512083534780079E-2</v>
      </c>
      <c r="D29" s="899">
        <f t="shared" si="15"/>
        <v>5.2422825158509816E-2</v>
      </c>
      <c r="E29" s="899">
        <f t="shared" si="15"/>
        <v>1.836904937982746E-2</v>
      </c>
      <c r="F29" s="899">
        <f t="shared" si="15"/>
        <v>6.6268658765805226E-3</v>
      </c>
      <c r="G29" s="899">
        <f t="shared" si="15"/>
        <v>6.1677375517742864E-3</v>
      </c>
      <c r="H29" s="899">
        <f t="shared" si="15"/>
        <v>8.2655584905631935E-3</v>
      </c>
      <c r="I29" s="899">
        <f t="shared" si="15"/>
        <v>5.7336807633159093E-3</v>
      </c>
      <c r="J29" s="899">
        <f t="shared" si="15"/>
        <v>5.4192771536018579E-3</v>
      </c>
      <c r="K29" s="899">
        <f t="shared" si="15"/>
        <v>5.1086668142499674E-3</v>
      </c>
      <c r="L29" s="899">
        <f t="shared" ref="L29" si="16">+L28/$N$70</f>
        <v>6.1313889442441731E-3</v>
      </c>
      <c r="M29" s="899">
        <f t="shared" si="15"/>
        <v>2.8262946301632036E-2</v>
      </c>
      <c r="N29" s="900">
        <f t="shared" si="15"/>
        <v>0.20702007996907926</v>
      </c>
    </row>
    <row r="30" spans="1:14" ht="15" x14ac:dyDescent="0.2">
      <c r="A30" s="883"/>
      <c r="B30" s="911" t="s">
        <v>271</v>
      </c>
      <c r="C30" s="912">
        <f t="shared" ref="C30:K31" si="17">+C35+C40+C45+C50+C55+C60</f>
        <v>24705393.022333834</v>
      </c>
      <c r="D30" s="912">
        <f t="shared" si="17"/>
        <v>20852672.93641156</v>
      </c>
      <c r="E30" s="912">
        <f t="shared" si="17"/>
        <v>7065502.1108311294</v>
      </c>
      <c r="F30" s="912">
        <f t="shared" si="17"/>
        <v>2235554.5933828219</v>
      </c>
      <c r="G30" s="912">
        <f t="shared" si="17"/>
        <v>2099317.45857378</v>
      </c>
      <c r="H30" s="912">
        <f t="shared" si="17"/>
        <v>3031551.1615219763</v>
      </c>
      <c r="I30" s="912">
        <f t="shared" si="17"/>
        <v>2030031.7057350029</v>
      </c>
      <c r="J30" s="912">
        <f t="shared" si="17"/>
        <v>1949382.5848726064</v>
      </c>
      <c r="K30" s="912">
        <f t="shared" si="17"/>
        <v>1864623.9313269758</v>
      </c>
      <c r="L30" s="912">
        <f t="shared" ref="L30" si="18">+L35+L40+L45+L50+L55+L60</f>
        <v>2347741.8438952924</v>
      </c>
      <c r="M30" s="912">
        <f>+M35+M40+M45+M50+M55+M60</f>
        <v>10868546.962838134</v>
      </c>
      <c r="N30" s="912">
        <f>SUM(C30:M30)</f>
        <v>79050318.311723098</v>
      </c>
    </row>
    <row r="31" spans="1:14" ht="15" x14ac:dyDescent="0.2">
      <c r="A31" s="883"/>
      <c r="B31" s="911" t="s">
        <v>301</v>
      </c>
      <c r="C31" s="912">
        <f t="shared" si="17"/>
        <v>2271963.2474978757</v>
      </c>
      <c r="D31" s="912">
        <f t="shared" si="17"/>
        <v>1069254.7627576955</v>
      </c>
      <c r="E31" s="912">
        <f t="shared" si="17"/>
        <v>615979.59469422523</v>
      </c>
      <c r="F31" s="912">
        <f t="shared" si="17"/>
        <v>535636.66117526591</v>
      </c>
      <c r="G31" s="912">
        <f t="shared" si="17"/>
        <v>479877.69675444503</v>
      </c>
      <c r="H31" s="912">
        <f t="shared" si="17"/>
        <v>424900.77664616593</v>
      </c>
      <c r="I31" s="912">
        <f t="shared" si="17"/>
        <v>367651.64619180781</v>
      </c>
      <c r="J31" s="912">
        <f t="shared" si="17"/>
        <v>316824.96086350305</v>
      </c>
      <c r="K31" s="912">
        <f t="shared" si="17"/>
        <v>271694.05997749377</v>
      </c>
      <c r="L31" s="912">
        <f t="shared" ref="L31" si="19">+L36+L41+L46+L51+L56+L61</f>
        <v>216253.22361181141</v>
      </c>
      <c r="M31" s="912">
        <f>+M36+M41+M46+M51+M56+M61</f>
        <v>950317.50157168263</v>
      </c>
      <c r="N31" s="912">
        <f>SUM(C31:M31)</f>
        <v>7520354.1317419717</v>
      </c>
    </row>
    <row r="32" spans="1:14" ht="9.75" customHeight="1" x14ac:dyDescent="0.2">
      <c r="A32" s="883"/>
      <c r="B32" s="915"/>
      <c r="C32" s="916"/>
      <c r="D32" s="916"/>
      <c r="E32" s="916"/>
      <c r="F32" s="916"/>
      <c r="G32" s="916"/>
      <c r="H32" s="916"/>
      <c r="I32" s="916"/>
      <c r="J32" s="916"/>
      <c r="K32" s="916"/>
      <c r="L32" s="916"/>
      <c r="M32" s="916"/>
      <c r="N32" s="916"/>
    </row>
    <row r="33" spans="1:14" ht="6.75" customHeight="1" x14ac:dyDescent="0.2">
      <c r="A33" s="883"/>
      <c r="B33" s="917"/>
      <c r="C33" s="918"/>
      <c r="D33" s="918"/>
      <c r="E33" s="918"/>
      <c r="F33" s="918"/>
      <c r="G33" s="918"/>
      <c r="H33" s="918"/>
      <c r="I33" s="918"/>
      <c r="J33" s="918"/>
      <c r="K33" s="918"/>
      <c r="L33" s="918"/>
      <c r="M33" s="918"/>
      <c r="N33" s="918"/>
    </row>
    <row r="34" spans="1:14" ht="15" x14ac:dyDescent="0.2">
      <c r="A34" s="883"/>
      <c r="B34" s="904" t="s">
        <v>158</v>
      </c>
      <c r="C34" s="919">
        <f t="shared" ref="C34:N34" si="20">+C35+C36</f>
        <v>21087949.530384891</v>
      </c>
      <c r="D34" s="919">
        <f t="shared" si="20"/>
        <v>21233546.209720518</v>
      </c>
      <c r="E34" s="919">
        <f t="shared" si="20"/>
        <v>7097202.2652630555</v>
      </c>
      <c r="F34" s="919">
        <f t="shared" si="20"/>
        <v>2219277.0095883207</v>
      </c>
      <c r="G34" s="919">
        <f t="shared" si="20"/>
        <v>2054027.0872263133</v>
      </c>
      <c r="H34" s="919">
        <f t="shared" si="20"/>
        <v>2003432.1474198473</v>
      </c>
      <c r="I34" s="919">
        <f t="shared" si="20"/>
        <v>1916234.7400399884</v>
      </c>
      <c r="J34" s="919">
        <f t="shared" si="20"/>
        <v>1818038.9182811768</v>
      </c>
      <c r="K34" s="919">
        <f t="shared" si="20"/>
        <v>1743794.5082411775</v>
      </c>
      <c r="L34" s="919">
        <f t="shared" ref="L34" si="21">+L35+L36</f>
        <v>1661144.9387771771</v>
      </c>
      <c r="M34" s="919">
        <f t="shared" si="20"/>
        <v>11318569.083203755</v>
      </c>
      <c r="N34" s="919">
        <f t="shared" si="20"/>
        <v>74153216.438146219</v>
      </c>
    </row>
    <row r="35" spans="1:14" ht="15" x14ac:dyDescent="0.2">
      <c r="A35" s="883"/>
      <c r="B35" s="904" t="s">
        <v>271</v>
      </c>
      <c r="C35" s="919">
        <v>19333589.015530836</v>
      </c>
      <c r="D35" s="919">
        <v>20331368.50495274</v>
      </c>
      <c r="E35" s="919">
        <v>6629860.1647833399</v>
      </c>
      <c r="F35" s="919">
        <v>1816192.0187397613</v>
      </c>
      <c r="G35" s="919">
        <v>1691160.7825826707</v>
      </c>
      <c r="H35" s="919">
        <v>1677917.4042086583</v>
      </c>
      <c r="I35" s="919">
        <v>1626430.7999373465</v>
      </c>
      <c r="J35" s="919">
        <v>1564041.8905719989</v>
      </c>
      <c r="K35" s="919">
        <v>1522017.2880219992</v>
      </c>
      <c r="L35" s="919">
        <v>1471302.8865279991</v>
      </c>
      <c r="M35" s="919">
        <v>10401535.67870789</v>
      </c>
      <c r="N35" s="919">
        <f>SUM(C35:M35)</f>
        <v>68065416.434565231</v>
      </c>
    </row>
    <row r="36" spans="1:14" ht="15" x14ac:dyDescent="0.2">
      <c r="A36" s="883"/>
      <c r="B36" s="904" t="s">
        <v>301</v>
      </c>
      <c r="C36" s="919">
        <v>1754360.514854054</v>
      </c>
      <c r="D36" s="919">
        <v>902177.70476777991</v>
      </c>
      <c r="E36" s="919">
        <v>467342.1004797155</v>
      </c>
      <c r="F36" s="919">
        <v>403084.99084855936</v>
      </c>
      <c r="G36" s="919">
        <v>362866.30464364268</v>
      </c>
      <c r="H36" s="919">
        <v>325514.74321118911</v>
      </c>
      <c r="I36" s="919">
        <v>289803.94010264199</v>
      </c>
      <c r="J36" s="919">
        <v>253997.02770917802</v>
      </c>
      <c r="K36" s="919">
        <v>221777.2202191783</v>
      </c>
      <c r="L36" s="919">
        <v>189842.05224917806</v>
      </c>
      <c r="M36" s="919">
        <v>917033.40449586418</v>
      </c>
      <c r="N36" s="919">
        <f>SUM(C36:M36)</f>
        <v>6087800.0035809809</v>
      </c>
    </row>
    <row r="37" spans="1:14" ht="6.75" customHeight="1" x14ac:dyDescent="0.2">
      <c r="A37" s="883"/>
      <c r="B37" s="915"/>
      <c r="C37" s="916"/>
      <c r="D37" s="916"/>
      <c r="E37" s="916"/>
      <c r="F37" s="916"/>
      <c r="G37" s="916"/>
      <c r="H37" s="916"/>
      <c r="I37" s="916"/>
      <c r="J37" s="916"/>
      <c r="K37" s="916"/>
      <c r="L37" s="916"/>
      <c r="M37" s="916"/>
      <c r="N37" s="916"/>
    </row>
    <row r="38" spans="1:14" ht="6.75" customHeight="1" x14ac:dyDescent="0.2">
      <c r="A38" s="883"/>
      <c r="B38" s="904"/>
      <c r="C38" s="905"/>
      <c r="D38" s="905"/>
      <c r="E38" s="905"/>
      <c r="F38" s="905"/>
      <c r="G38" s="905"/>
      <c r="H38" s="905"/>
      <c r="I38" s="905"/>
      <c r="J38" s="905"/>
      <c r="K38" s="905"/>
      <c r="L38" s="905"/>
      <c r="M38" s="905"/>
      <c r="N38" s="905"/>
    </row>
    <row r="39" spans="1:14" ht="15" x14ac:dyDescent="0.2">
      <c r="A39" s="883"/>
      <c r="B39" s="904" t="s">
        <v>160</v>
      </c>
      <c r="C39" s="919">
        <f t="shared" ref="C39:M39" si="22">+C40+C41</f>
        <v>2509327.9608236346</v>
      </c>
      <c r="D39" s="919">
        <f t="shared" si="22"/>
        <v>460177.61348884774</v>
      </c>
      <c r="E39" s="919">
        <f t="shared" si="22"/>
        <v>418354.62744603091</v>
      </c>
      <c r="F39" s="919">
        <f t="shared" si="22"/>
        <v>404466.27910689556</v>
      </c>
      <c r="G39" s="919">
        <f t="shared" si="22"/>
        <v>383269.49982279225</v>
      </c>
      <c r="H39" s="919">
        <f t="shared" si="22"/>
        <v>370618.62360012939</v>
      </c>
      <c r="I39" s="919">
        <f t="shared" si="22"/>
        <v>358128.19695584336</v>
      </c>
      <c r="J39" s="919">
        <f t="shared" si="22"/>
        <v>345504.20629601303</v>
      </c>
      <c r="K39" s="919">
        <f t="shared" si="22"/>
        <v>117607.80775880803</v>
      </c>
      <c r="L39" s="919">
        <f t="shared" ref="L39" si="23">+L40+L41</f>
        <v>47417.33442432592</v>
      </c>
      <c r="M39" s="919">
        <f t="shared" si="22"/>
        <v>105148.32314442552</v>
      </c>
      <c r="N39" s="919">
        <f>+N40+N41</f>
        <v>5520020.4728677459</v>
      </c>
    </row>
    <row r="40" spans="1:14" ht="15" x14ac:dyDescent="0.2">
      <c r="A40" s="883"/>
      <c r="B40" s="904" t="s">
        <v>271</v>
      </c>
      <c r="C40" s="920">
        <v>2079884.4454553842</v>
      </c>
      <c r="D40" s="920">
        <v>369829.38470827288</v>
      </c>
      <c r="E40" s="920">
        <v>340696.34167609469</v>
      </c>
      <c r="F40" s="920">
        <v>339665.35616087017</v>
      </c>
      <c r="G40" s="920">
        <v>331090.2863108702</v>
      </c>
      <c r="H40" s="920">
        <v>330997.06651087024</v>
      </c>
      <c r="I40" s="920">
        <v>330997.06651087024</v>
      </c>
      <c r="J40" s="920">
        <v>330997.06651087024</v>
      </c>
      <c r="K40" s="920">
        <v>111648.4651308702</v>
      </c>
      <c r="L40" s="920">
        <v>44148.465130870201</v>
      </c>
      <c r="M40" s="920">
        <v>99914.667167982087</v>
      </c>
      <c r="N40" s="919">
        <f>SUM(C40:M40)</f>
        <v>4709868.6112738252</v>
      </c>
    </row>
    <row r="41" spans="1:14" ht="15" x14ac:dyDescent="0.2">
      <c r="A41" s="883"/>
      <c r="B41" s="904" t="s">
        <v>301</v>
      </c>
      <c r="C41" s="920">
        <v>429443.51536825037</v>
      </c>
      <c r="D41" s="920">
        <v>90348.228780574893</v>
      </c>
      <c r="E41" s="920">
        <v>77658.285769936221</v>
      </c>
      <c r="F41" s="920">
        <v>64800.922946025385</v>
      </c>
      <c r="G41" s="920">
        <v>52179.213511922026</v>
      </c>
      <c r="H41" s="920">
        <v>39621.55708925915</v>
      </c>
      <c r="I41" s="920">
        <v>27131.130444973132</v>
      </c>
      <c r="J41" s="920">
        <v>14507.139785142808</v>
      </c>
      <c r="K41" s="920">
        <v>5959.34262793783</v>
      </c>
      <c r="L41" s="920">
        <v>3268.8692934557157</v>
      </c>
      <c r="M41" s="920">
        <v>5233.6559764434351</v>
      </c>
      <c r="N41" s="919">
        <f>SUM(C41:M41)</f>
        <v>810151.86159392097</v>
      </c>
    </row>
    <row r="42" spans="1:14" ht="6.75" customHeight="1" x14ac:dyDescent="0.2">
      <c r="A42" s="883"/>
      <c r="B42" s="915"/>
      <c r="C42" s="916"/>
      <c r="D42" s="916"/>
      <c r="E42" s="916"/>
      <c r="F42" s="916"/>
      <c r="G42" s="916"/>
      <c r="H42" s="916"/>
      <c r="I42" s="916"/>
      <c r="J42" s="916"/>
      <c r="K42" s="916"/>
      <c r="L42" s="916"/>
      <c r="M42" s="916"/>
      <c r="N42" s="916"/>
    </row>
    <row r="43" spans="1:14" ht="6.75" customHeight="1" x14ac:dyDescent="0.2">
      <c r="A43" s="883"/>
      <c r="B43" s="904"/>
      <c r="C43" s="905"/>
      <c r="D43" s="905"/>
      <c r="E43" s="905"/>
      <c r="F43" s="905"/>
      <c r="G43" s="905"/>
      <c r="H43" s="905"/>
      <c r="I43" s="905"/>
      <c r="J43" s="905"/>
      <c r="K43" s="905"/>
      <c r="L43" s="905"/>
      <c r="M43" s="905"/>
      <c r="N43" s="905"/>
    </row>
    <row r="44" spans="1:14" s="895" customFormat="1" ht="15" x14ac:dyDescent="0.2">
      <c r="A44" s="883"/>
      <c r="B44" s="921" t="s">
        <v>506</v>
      </c>
      <c r="C44" s="919">
        <f t="shared" ref="C44:N44" si="24">+C45+C46</f>
        <v>37937.154139955885</v>
      </c>
      <c r="D44" s="919">
        <f t="shared" si="24"/>
        <v>37937.154139955885</v>
      </c>
      <c r="E44" s="919">
        <f t="shared" si="24"/>
        <v>38014.452253032869</v>
      </c>
      <c r="F44" s="919">
        <f t="shared" si="24"/>
        <v>37937.154139955885</v>
      </c>
      <c r="G44" s="919">
        <f t="shared" si="24"/>
        <v>37937.154139955885</v>
      </c>
      <c r="H44" s="919">
        <f t="shared" si="24"/>
        <v>188136.54925954423</v>
      </c>
      <c r="I44" s="919">
        <f t="shared" si="24"/>
        <v>30409.419590844511</v>
      </c>
      <c r="J44" s="919">
        <f t="shared" si="24"/>
        <v>30332.12147776753</v>
      </c>
      <c r="K44" s="919">
        <f t="shared" si="24"/>
        <v>70724.908669977653</v>
      </c>
      <c r="L44" s="919">
        <f t="shared" ref="L44" si="25">+L45+L46</f>
        <v>571735.40550379502</v>
      </c>
      <c r="M44" s="919">
        <f t="shared" si="24"/>
        <v>0</v>
      </c>
      <c r="N44" s="919">
        <f t="shared" si="24"/>
        <v>1081101.4733147854</v>
      </c>
    </row>
    <row r="45" spans="1:14" s="895" customFormat="1" ht="15" x14ac:dyDescent="0.2">
      <c r="A45" s="891"/>
      <c r="B45" s="904" t="s">
        <v>271</v>
      </c>
      <c r="C45" s="920">
        <v>0</v>
      </c>
      <c r="D45" s="922">
        <v>0</v>
      </c>
      <c r="E45" s="922">
        <v>0</v>
      </c>
      <c r="F45" s="922">
        <v>0</v>
      </c>
      <c r="G45" s="922">
        <v>0</v>
      </c>
      <c r="H45" s="922">
        <v>152100.65328513546</v>
      </c>
      <c r="I45" s="922">
        <v>0</v>
      </c>
      <c r="J45" s="922">
        <v>0</v>
      </c>
      <c r="K45" s="922">
        <v>41252.208193339102</v>
      </c>
      <c r="L45" s="922">
        <v>557662.50724886218</v>
      </c>
      <c r="M45" s="920">
        <v>0</v>
      </c>
      <c r="N45" s="919">
        <f>SUM(C45:M45)</f>
        <v>751015.36872733675</v>
      </c>
    </row>
    <row r="46" spans="1:14" ht="15" x14ac:dyDescent="0.2">
      <c r="A46" s="891"/>
      <c r="B46" s="904" t="s">
        <v>301</v>
      </c>
      <c r="C46" s="920">
        <v>37937.154139955885</v>
      </c>
      <c r="D46" s="920">
        <v>37937.154139955885</v>
      </c>
      <c r="E46" s="920">
        <v>38014.452253032869</v>
      </c>
      <c r="F46" s="920">
        <v>37937.154139955885</v>
      </c>
      <c r="G46" s="920">
        <v>37937.154139955885</v>
      </c>
      <c r="H46" s="920">
        <v>36035.895974408792</v>
      </c>
      <c r="I46" s="920">
        <v>30409.419590844511</v>
      </c>
      <c r="J46" s="920">
        <v>30332.12147776753</v>
      </c>
      <c r="K46" s="920">
        <v>29472.700476638551</v>
      </c>
      <c r="L46" s="920">
        <v>14072.898254932803</v>
      </c>
      <c r="M46" s="920">
        <v>0</v>
      </c>
      <c r="N46" s="919">
        <f>SUM(C46:M46)</f>
        <v>330086.10458744853</v>
      </c>
    </row>
    <row r="47" spans="1:14" ht="6.75" customHeight="1" x14ac:dyDescent="0.2">
      <c r="A47" s="883"/>
      <c r="B47" s="915"/>
      <c r="C47" s="916"/>
      <c r="D47" s="916"/>
      <c r="E47" s="916"/>
      <c r="F47" s="916"/>
      <c r="G47" s="916"/>
      <c r="H47" s="916"/>
      <c r="I47" s="916"/>
      <c r="J47" s="916"/>
      <c r="K47" s="916"/>
      <c r="L47" s="916"/>
      <c r="M47" s="916"/>
      <c r="N47" s="916"/>
    </row>
    <row r="48" spans="1:14" ht="6.75" customHeight="1" x14ac:dyDescent="0.2">
      <c r="A48" s="883"/>
      <c r="B48" s="917"/>
      <c r="C48" s="918"/>
      <c r="D48" s="918"/>
      <c r="E48" s="918"/>
      <c r="F48" s="918"/>
      <c r="G48" s="918"/>
      <c r="H48" s="918"/>
      <c r="I48" s="918"/>
      <c r="J48" s="918"/>
      <c r="K48" s="918"/>
      <c r="L48" s="918"/>
      <c r="M48" s="918"/>
      <c r="N48" s="918"/>
    </row>
    <row r="49" spans="1:14" s="895" customFormat="1" ht="15" x14ac:dyDescent="0.2">
      <c r="A49" s="883"/>
      <c r="B49" s="923" t="s">
        <v>161</v>
      </c>
      <c r="C49" s="919">
        <f t="shared" ref="C49:K49" si="26">+C50+C51</f>
        <v>2166394.4942208761</v>
      </c>
      <c r="D49" s="919">
        <f t="shared" si="26"/>
        <v>72914.305906175345</v>
      </c>
      <c r="E49" s="919">
        <f t="shared" si="26"/>
        <v>71937.024488265466</v>
      </c>
      <c r="F49" s="919">
        <f t="shared" si="26"/>
        <v>67089.0928574094</v>
      </c>
      <c r="G49" s="919">
        <f t="shared" si="26"/>
        <v>64373.559113681935</v>
      </c>
      <c r="H49" s="919">
        <f t="shared" si="26"/>
        <v>57160.12604296919</v>
      </c>
      <c r="I49" s="919">
        <f t="shared" si="26"/>
        <v>25846.217392292827</v>
      </c>
      <c r="J49" s="919">
        <f t="shared" si="26"/>
        <v>15130.907377515063</v>
      </c>
      <c r="K49" s="919">
        <f t="shared" si="26"/>
        <v>7790.3207911788113</v>
      </c>
      <c r="L49" s="919">
        <f t="shared" ref="L49" si="27">+L50+L51</f>
        <v>4234.963783107878</v>
      </c>
      <c r="M49" s="924">
        <f>+M50+M51</f>
        <v>0</v>
      </c>
      <c r="N49" s="919">
        <f>+N50+N51</f>
        <v>2552871.0119734728</v>
      </c>
    </row>
    <row r="50" spans="1:14" s="895" customFormat="1" ht="15" x14ac:dyDescent="0.2">
      <c r="A50" s="891"/>
      <c r="B50" s="923" t="s">
        <v>271</v>
      </c>
      <c r="C50" s="925">
        <v>2160533.2051192094</v>
      </c>
      <c r="D50" s="925">
        <v>67978.123109571301</v>
      </c>
      <c r="E50" s="925">
        <v>67945.214804858391</v>
      </c>
      <c r="F50" s="925">
        <v>64041.930693479648</v>
      </c>
      <c r="G50" s="925">
        <v>62182.382987027391</v>
      </c>
      <c r="H50" s="925">
        <v>55766.292145049447</v>
      </c>
      <c r="I50" s="925">
        <v>25074.76662498579</v>
      </c>
      <c r="J50" s="925">
        <v>14703.806820506992</v>
      </c>
      <c r="K50" s="925">
        <v>7606.5874388996253</v>
      </c>
      <c r="L50" s="925">
        <v>4169.7067181993862</v>
      </c>
      <c r="M50" s="926">
        <v>0</v>
      </c>
      <c r="N50" s="919">
        <f>SUM(C50:M50)</f>
        <v>2530002.0164617877</v>
      </c>
    </row>
    <row r="51" spans="1:14" s="895" customFormat="1" ht="15" x14ac:dyDescent="0.2">
      <c r="A51" s="891"/>
      <c r="B51" s="927" t="s">
        <v>301</v>
      </c>
      <c r="C51" s="928">
        <v>5861.28910166694</v>
      </c>
      <c r="D51" s="928">
        <v>4936.1827966040473</v>
      </c>
      <c r="E51" s="928">
        <v>3991.8096834070784</v>
      </c>
      <c r="F51" s="928">
        <v>3047.1621639297464</v>
      </c>
      <c r="G51" s="928">
        <v>2191.1761266545409</v>
      </c>
      <c r="H51" s="928">
        <v>1393.8338979197451</v>
      </c>
      <c r="I51" s="928">
        <v>771.45076730703647</v>
      </c>
      <c r="J51" s="928">
        <v>427.10055700807095</v>
      </c>
      <c r="K51" s="928">
        <v>183.73335227918605</v>
      </c>
      <c r="L51" s="928">
        <v>65.257064908491515</v>
      </c>
      <c r="M51" s="929">
        <v>0</v>
      </c>
      <c r="N51" s="919">
        <f>SUM(C51:M51)</f>
        <v>22868.99551168488</v>
      </c>
    </row>
    <row r="52" spans="1:14" s="895" customFormat="1" ht="6.75" customHeight="1" x14ac:dyDescent="0.2">
      <c r="A52" s="891"/>
      <c r="B52" s="915"/>
      <c r="C52" s="916"/>
      <c r="D52" s="916"/>
      <c r="E52" s="916"/>
      <c r="F52" s="916"/>
      <c r="G52" s="916"/>
      <c r="H52" s="916"/>
      <c r="I52" s="916"/>
      <c r="J52" s="916"/>
      <c r="K52" s="916"/>
      <c r="L52" s="916"/>
      <c r="M52" s="916"/>
      <c r="N52" s="916"/>
    </row>
    <row r="53" spans="1:14" ht="6.75" customHeight="1" x14ac:dyDescent="0.2">
      <c r="A53" s="891"/>
      <c r="B53" s="904"/>
      <c r="C53" s="909"/>
      <c r="D53" s="909"/>
      <c r="E53" s="909"/>
      <c r="F53" s="909"/>
      <c r="G53" s="909"/>
      <c r="H53" s="909"/>
      <c r="I53" s="909"/>
      <c r="J53" s="909"/>
      <c r="K53" s="909"/>
      <c r="L53" s="909"/>
      <c r="M53" s="909"/>
      <c r="N53" s="909"/>
    </row>
    <row r="54" spans="1:14" ht="15" x14ac:dyDescent="0.2">
      <c r="A54" s="883"/>
      <c r="B54" s="930" t="s">
        <v>676</v>
      </c>
      <c r="C54" s="919">
        <f t="shared" ref="C54:N54" si="28">+C55+C56</f>
        <v>341795.30985222547</v>
      </c>
      <c r="D54" s="919">
        <f t="shared" si="28"/>
        <v>110651.2037761314</v>
      </c>
      <c r="E54" s="919">
        <f t="shared" si="28"/>
        <v>49272.12393734794</v>
      </c>
      <c r="F54" s="919">
        <f t="shared" si="28"/>
        <v>35720.506727883214</v>
      </c>
      <c r="G54" s="919">
        <f t="shared" si="28"/>
        <v>32886.642887858878</v>
      </c>
      <c r="H54" s="919">
        <f t="shared" si="28"/>
        <v>830403.27970802924</v>
      </c>
      <c r="I54" s="924">
        <f t="shared" si="28"/>
        <v>60363.565810218977</v>
      </c>
      <c r="J54" s="924">
        <f t="shared" si="28"/>
        <v>30226.173946472016</v>
      </c>
      <c r="K54" s="924">
        <f t="shared" si="28"/>
        <v>149855.41643795621</v>
      </c>
      <c r="L54" s="924">
        <f t="shared" ref="L54" si="29">+L55+L56</f>
        <v>233856.3225109489</v>
      </c>
      <c r="M54" s="924">
        <f t="shared" si="28"/>
        <v>83146.949999999953</v>
      </c>
      <c r="N54" s="919">
        <f t="shared" si="28"/>
        <v>1958177.4955950722</v>
      </c>
    </row>
    <row r="55" spans="1:14" ht="15" x14ac:dyDescent="0.2">
      <c r="A55" s="883"/>
      <c r="B55" s="904" t="s">
        <v>271</v>
      </c>
      <c r="C55" s="919">
        <v>304135.74795589945</v>
      </c>
      <c r="D55" s="919">
        <v>83496.92364097324</v>
      </c>
      <c r="E55" s="919">
        <v>27000.389566836984</v>
      </c>
      <c r="F55" s="919">
        <v>15655.287788710464</v>
      </c>
      <c r="G55" s="919">
        <v>14884.006693211681</v>
      </c>
      <c r="H55" s="919">
        <v>814769.74537226278</v>
      </c>
      <c r="I55" s="924">
        <v>47529.072661800485</v>
      </c>
      <c r="J55" s="924">
        <v>20709.843172749388</v>
      </c>
      <c r="K55" s="924">
        <v>144239.42694890511</v>
      </c>
      <c r="L55" s="924">
        <v>232598.32267639902</v>
      </c>
      <c r="M55" s="924">
        <v>83146.949999999953</v>
      </c>
      <c r="N55" s="919">
        <f>SUM(C55:M55)</f>
        <v>1788165.7164777485</v>
      </c>
    </row>
    <row r="56" spans="1:14" ht="15" x14ac:dyDescent="0.2">
      <c r="A56" s="883"/>
      <c r="B56" s="904" t="s">
        <v>301</v>
      </c>
      <c r="C56" s="919">
        <v>37659.561896326035</v>
      </c>
      <c r="D56" s="919">
        <v>27154.280135158155</v>
      </c>
      <c r="E56" s="919">
        <v>22271.734370510956</v>
      </c>
      <c r="F56" s="919">
        <v>20065.218939172752</v>
      </c>
      <c r="G56" s="924">
        <v>18002.636194647199</v>
      </c>
      <c r="H56" s="924">
        <v>15633.534335766426</v>
      </c>
      <c r="I56" s="924">
        <v>12834.493148418491</v>
      </c>
      <c r="J56" s="924">
        <v>9516.3307737226278</v>
      </c>
      <c r="K56" s="924">
        <v>5615.9894890510941</v>
      </c>
      <c r="L56" s="924">
        <v>1257.9998345498782</v>
      </c>
      <c r="M56" s="924">
        <v>0</v>
      </c>
      <c r="N56" s="919">
        <f>SUM(C56:M56)</f>
        <v>170011.7791173236</v>
      </c>
    </row>
    <row r="57" spans="1:14" ht="6.75" customHeight="1" x14ac:dyDescent="0.2">
      <c r="A57" s="883"/>
      <c r="B57" s="915"/>
      <c r="C57" s="919"/>
      <c r="D57" s="919"/>
      <c r="E57" s="919"/>
      <c r="F57" s="919"/>
      <c r="G57" s="919"/>
      <c r="H57" s="919"/>
      <c r="I57" s="919"/>
      <c r="J57" s="919"/>
      <c r="K57" s="919"/>
      <c r="L57" s="919"/>
      <c r="M57" s="919"/>
      <c r="N57" s="919"/>
    </row>
    <row r="58" spans="1:14" ht="6.75" customHeight="1" x14ac:dyDescent="0.2">
      <c r="A58" s="883"/>
      <c r="B58" s="931"/>
      <c r="C58" s="932"/>
      <c r="D58" s="932"/>
      <c r="E58" s="932"/>
      <c r="F58" s="932"/>
      <c r="G58" s="932"/>
      <c r="H58" s="932"/>
      <c r="I58" s="932"/>
      <c r="J58" s="932"/>
      <c r="K58" s="932"/>
      <c r="L58" s="932"/>
      <c r="M58" s="932"/>
      <c r="N58" s="932"/>
    </row>
    <row r="59" spans="1:14" ht="15" x14ac:dyDescent="0.2">
      <c r="A59" s="883"/>
      <c r="B59" s="930" t="s">
        <v>807</v>
      </c>
      <c r="C59" s="919">
        <f t="shared" ref="C59:N59" si="30">+C60+C61</f>
        <v>833951.8204101288</v>
      </c>
      <c r="D59" s="919">
        <f t="shared" si="30"/>
        <v>6701.2121376227042</v>
      </c>
      <c r="E59" s="919">
        <f t="shared" si="30"/>
        <v>6701.2121376227042</v>
      </c>
      <c r="F59" s="919">
        <f t="shared" si="30"/>
        <v>6701.2121376227042</v>
      </c>
      <c r="G59" s="919">
        <f t="shared" si="30"/>
        <v>6701.2121376227042</v>
      </c>
      <c r="H59" s="919">
        <f t="shared" si="30"/>
        <v>6701.2121376227042</v>
      </c>
      <c r="I59" s="919">
        <f t="shared" si="30"/>
        <v>6701.2121376227042</v>
      </c>
      <c r="J59" s="919">
        <f t="shared" si="30"/>
        <v>26975.218357165264</v>
      </c>
      <c r="K59" s="919">
        <f t="shared" si="30"/>
        <v>46545.029405371417</v>
      </c>
      <c r="L59" s="919">
        <f t="shared" ref="L59" si="31">+L60+L61</f>
        <v>45606.102507749049</v>
      </c>
      <c r="M59" s="919">
        <f t="shared" si="30"/>
        <v>312000.10806163726</v>
      </c>
      <c r="N59" s="919">
        <f t="shared" si="30"/>
        <v>1305285.551567788</v>
      </c>
    </row>
    <row r="60" spans="1:14" ht="15" x14ac:dyDescent="0.2">
      <c r="A60" s="883"/>
      <c r="B60" s="904" t="s">
        <v>271</v>
      </c>
      <c r="C60" s="919">
        <v>827250.60827250604</v>
      </c>
      <c r="D60" s="924">
        <v>0</v>
      </c>
      <c r="E60" s="924">
        <v>0</v>
      </c>
      <c r="F60" s="924">
        <v>0</v>
      </c>
      <c r="G60" s="924">
        <v>0</v>
      </c>
      <c r="H60" s="924">
        <v>0</v>
      </c>
      <c r="I60" s="924">
        <v>0</v>
      </c>
      <c r="J60" s="924">
        <v>18929.977796481286</v>
      </c>
      <c r="K60" s="919">
        <v>37859.955592962571</v>
      </c>
      <c r="L60" s="919">
        <v>37859.955592962571</v>
      </c>
      <c r="M60" s="919">
        <v>283949.66696226224</v>
      </c>
      <c r="N60" s="919">
        <f>SUM(C60:M60)</f>
        <v>1205850.1642171748</v>
      </c>
    </row>
    <row r="61" spans="1:14" ht="15" x14ac:dyDescent="0.2">
      <c r="A61" s="883"/>
      <c r="B61" s="904" t="s">
        <v>301</v>
      </c>
      <c r="C61" s="919">
        <v>6701.2121376227042</v>
      </c>
      <c r="D61" s="919">
        <v>6701.2121376227042</v>
      </c>
      <c r="E61" s="919">
        <v>6701.2121376227042</v>
      </c>
      <c r="F61" s="919">
        <v>6701.2121376227042</v>
      </c>
      <c r="G61" s="919">
        <v>6701.2121376227042</v>
      </c>
      <c r="H61" s="919">
        <v>6701.2121376227042</v>
      </c>
      <c r="I61" s="919">
        <v>6701.2121376227042</v>
      </c>
      <c r="J61" s="919">
        <v>8045.2405606839766</v>
      </c>
      <c r="K61" s="919">
        <v>8685.0738124088493</v>
      </c>
      <c r="L61" s="919">
        <v>7746.1469147864764</v>
      </c>
      <c r="M61" s="919">
        <v>28050.441099375035</v>
      </c>
      <c r="N61" s="919">
        <f>SUM(C61:M61)</f>
        <v>99435.387350613251</v>
      </c>
    </row>
    <row r="62" spans="1:14" ht="6.75" customHeight="1" x14ac:dyDescent="0.2">
      <c r="A62" s="883"/>
      <c r="B62" s="921"/>
      <c r="C62" s="920"/>
      <c r="D62" s="920"/>
      <c r="E62" s="920"/>
      <c r="F62" s="920"/>
      <c r="G62" s="920"/>
      <c r="H62" s="920"/>
      <c r="I62" s="920"/>
      <c r="J62" s="920"/>
      <c r="K62" s="920"/>
      <c r="L62" s="920"/>
      <c r="M62" s="920"/>
      <c r="N62" s="920"/>
    </row>
    <row r="63" spans="1:14" ht="6" customHeight="1" x14ac:dyDescent="0.2">
      <c r="A63" s="883"/>
      <c r="B63" s="921"/>
      <c r="C63" s="920"/>
      <c r="D63" s="920"/>
      <c r="E63" s="920"/>
      <c r="F63" s="920"/>
      <c r="G63" s="920"/>
      <c r="H63" s="920"/>
      <c r="I63" s="920"/>
      <c r="J63" s="920"/>
      <c r="K63" s="920"/>
      <c r="L63" s="920"/>
      <c r="M63" s="920"/>
      <c r="N63" s="920"/>
    </row>
    <row r="64" spans="1:14" ht="15" x14ac:dyDescent="0.3">
      <c r="B64" s="898" t="s">
        <v>159</v>
      </c>
      <c r="C64" s="906">
        <f>+C66+C67</f>
        <v>16448168.796000004</v>
      </c>
      <c r="D64" s="907">
        <f t="shared" ref="D64:M64" si="32">+D66+D67</f>
        <v>4700729.9270072998</v>
      </c>
      <c r="E64" s="907">
        <f t="shared" si="32"/>
        <v>0</v>
      </c>
      <c r="F64" s="907">
        <f t="shared" si="32"/>
        <v>0</v>
      </c>
      <c r="G64" s="907">
        <f t="shared" si="32"/>
        <v>0</v>
      </c>
      <c r="H64" s="907">
        <f t="shared" si="32"/>
        <v>0</v>
      </c>
      <c r="I64" s="907">
        <f t="shared" si="32"/>
        <v>0</v>
      </c>
      <c r="J64" s="907">
        <f t="shared" si="32"/>
        <v>0</v>
      </c>
      <c r="K64" s="907">
        <f t="shared" si="32"/>
        <v>0</v>
      </c>
      <c r="L64" s="907">
        <f t="shared" ref="L64" si="33">+L66+L67</f>
        <v>0</v>
      </c>
      <c r="M64" s="907">
        <f t="shared" si="32"/>
        <v>0</v>
      </c>
      <c r="N64" s="906">
        <f>+N66+N67</f>
        <v>21148898.723007303</v>
      </c>
    </row>
    <row r="65" spans="1:16" ht="15" x14ac:dyDescent="0.3">
      <c r="B65" s="898" t="s">
        <v>352</v>
      </c>
      <c r="C65" s="899">
        <f t="shared" ref="C65:N65" si="34">+C64/$N$70</f>
        <v>3.9333195912467173E-2</v>
      </c>
      <c r="D65" s="899">
        <f>+D64/$N$70</f>
        <v>1.1241052632894905E-2</v>
      </c>
      <c r="E65" s="899">
        <f t="shared" si="34"/>
        <v>0</v>
      </c>
      <c r="F65" s="899">
        <f t="shared" si="34"/>
        <v>0</v>
      </c>
      <c r="G65" s="899">
        <f t="shared" si="34"/>
        <v>0</v>
      </c>
      <c r="H65" s="899">
        <f t="shared" si="34"/>
        <v>0</v>
      </c>
      <c r="I65" s="899">
        <f t="shared" si="34"/>
        <v>0</v>
      </c>
      <c r="J65" s="899">
        <f t="shared" si="34"/>
        <v>0</v>
      </c>
      <c r="K65" s="899">
        <f t="shared" si="34"/>
        <v>0</v>
      </c>
      <c r="L65" s="899">
        <f t="shared" ref="L65" si="35">+L64/$N$70</f>
        <v>0</v>
      </c>
      <c r="M65" s="899">
        <f t="shared" si="34"/>
        <v>0</v>
      </c>
      <c r="N65" s="900">
        <f t="shared" si="34"/>
        <v>5.0574248545362077E-2</v>
      </c>
    </row>
    <row r="66" spans="1:16" ht="15" x14ac:dyDescent="0.3">
      <c r="B66" s="911" t="s">
        <v>271</v>
      </c>
      <c r="C66" s="913">
        <v>16448168.796000004</v>
      </c>
      <c r="D66" s="913">
        <v>4700729.9270072998</v>
      </c>
      <c r="E66" s="913">
        <v>0</v>
      </c>
      <c r="F66" s="913">
        <v>0</v>
      </c>
      <c r="G66" s="913">
        <v>0</v>
      </c>
      <c r="H66" s="913">
        <v>0</v>
      </c>
      <c r="I66" s="913">
        <v>0</v>
      </c>
      <c r="J66" s="913">
        <v>0</v>
      </c>
      <c r="K66" s="913">
        <v>0</v>
      </c>
      <c r="L66" s="913">
        <v>0</v>
      </c>
      <c r="M66" s="913">
        <v>0</v>
      </c>
      <c r="N66" s="912">
        <f>SUM(C66:M66)</f>
        <v>21148898.723007303</v>
      </c>
    </row>
    <row r="67" spans="1:16" ht="15" x14ac:dyDescent="0.3">
      <c r="B67" s="911" t="s">
        <v>301</v>
      </c>
      <c r="C67" s="913">
        <v>0</v>
      </c>
      <c r="D67" s="913">
        <v>0</v>
      </c>
      <c r="E67" s="913">
        <v>0</v>
      </c>
      <c r="F67" s="913">
        <v>0</v>
      </c>
      <c r="G67" s="913">
        <v>0</v>
      </c>
      <c r="H67" s="913">
        <v>0</v>
      </c>
      <c r="I67" s="913">
        <v>0</v>
      </c>
      <c r="J67" s="913">
        <v>0</v>
      </c>
      <c r="K67" s="913">
        <v>0</v>
      </c>
      <c r="L67" s="913">
        <v>0</v>
      </c>
      <c r="M67" s="913">
        <v>0</v>
      </c>
      <c r="N67" s="913">
        <f>SUM(C67:M67)</f>
        <v>0</v>
      </c>
    </row>
    <row r="68" spans="1:16" ht="9.75" customHeight="1" thickBot="1" x14ac:dyDescent="0.35">
      <c r="B68" s="933"/>
      <c r="C68" s="912"/>
      <c r="D68" s="912"/>
      <c r="E68" s="912"/>
      <c r="F68" s="912"/>
      <c r="G68" s="912"/>
      <c r="H68" s="912"/>
      <c r="I68" s="912"/>
      <c r="J68" s="912"/>
      <c r="K68" s="912"/>
      <c r="L68" s="912"/>
      <c r="M68" s="912"/>
      <c r="N68" s="912"/>
    </row>
    <row r="69" spans="1:16" ht="9.75" customHeight="1" thickTop="1" x14ac:dyDescent="0.3">
      <c r="B69" s="934"/>
      <c r="C69" s="935"/>
      <c r="D69" s="935"/>
      <c r="E69" s="935"/>
      <c r="F69" s="935"/>
      <c r="G69" s="935"/>
      <c r="H69" s="935"/>
      <c r="I69" s="935"/>
      <c r="J69" s="935"/>
      <c r="K69" s="935"/>
      <c r="L69" s="935"/>
      <c r="M69" s="935"/>
      <c r="N69" s="935"/>
    </row>
    <row r="70" spans="1:16" ht="15" x14ac:dyDescent="0.3">
      <c r="B70" s="898" t="s">
        <v>622</v>
      </c>
      <c r="C70" s="906">
        <f t="shared" ref="C70:M70" si="36">+C72+C73</f>
        <v>98982926.805267692</v>
      </c>
      <c r="D70" s="906">
        <f t="shared" si="36"/>
        <v>55663786.865965083</v>
      </c>
      <c r="E70" s="906">
        <f t="shared" si="36"/>
        <v>32844342.694986865</v>
      </c>
      <c r="F70" s="906">
        <f t="shared" si="36"/>
        <v>26033108.630927235</v>
      </c>
      <c r="G70" s="906">
        <f t="shared" si="36"/>
        <v>15302826.703770049</v>
      </c>
      <c r="H70" s="906">
        <f t="shared" si="36"/>
        <v>15044289.880617963</v>
      </c>
      <c r="I70" s="906">
        <f t="shared" si="36"/>
        <v>16084358.850716976</v>
      </c>
      <c r="J70" s="906">
        <f t="shared" si="36"/>
        <v>20380089.731498323</v>
      </c>
      <c r="K70" s="906">
        <f t="shared" si="36"/>
        <v>14808967.618221609</v>
      </c>
      <c r="L70" s="906">
        <f t="shared" ref="L70" si="37">+L72+L73</f>
        <v>31556990.881952092</v>
      </c>
      <c r="M70" s="906">
        <f t="shared" si="36"/>
        <v>91473555.285336271</v>
      </c>
      <c r="N70" s="936">
        <f>+N72+N73</f>
        <v>418175243.94926018</v>
      </c>
    </row>
    <row r="71" spans="1:16" ht="15" x14ac:dyDescent="0.3">
      <c r="B71" s="898" t="s">
        <v>352</v>
      </c>
      <c r="C71" s="899">
        <f t="shared" ref="C71:N71" si="38">+C70/$N$70</f>
        <v>0.23670202442035979</v>
      </c>
      <c r="D71" s="899">
        <f t="shared" si="38"/>
        <v>0.13311114818819625</v>
      </c>
      <c r="E71" s="899">
        <f t="shared" si="38"/>
        <v>7.8542054246932114E-2</v>
      </c>
      <c r="F71" s="899">
        <f t="shared" si="38"/>
        <v>6.2254064552147416E-2</v>
      </c>
      <c r="G71" s="899">
        <f t="shared" si="38"/>
        <v>3.6594291329275427E-2</v>
      </c>
      <c r="H71" s="899">
        <f t="shared" si="38"/>
        <v>3.5976041380496884E-2</v>
      </c>
      <c r="I71" s="899">
        <f t="shared" si="38"/>
        <v>3.8463201931362039E-2</v>
      </c>
      <c r="J71" s="899">
        <f t="shared" si="38"/>
        <v>4.8735763358509973E-2</v>
      </c>
      <c r="K71" s="899">
        <f t="shared" si="38"/>
        <v>3.5413305384520741E-2</v>
      </c>
      <c r="L71" s="899">
        <f t="shared" ref="L71" si="39">+L70/$N$70</f>
        <v>7.5463555862195178E-2</v>
      </c>
      <c r="M71" s="899">
        <f t="shared" si="38"/>
        <v>0.21874454934600415</v>
      </c>
      <c r="N71" s="900">
        <f t="shared" si="38"/>
        <v>1</v>
      </c>
    </row>
    <row r="72" spans="1:16" ht="15" x14ac:dyDescent="0.2">
      <c r="A72" s="884"/>
      <c r="B72" s="937" t="s">
        <v>271</v>
      </c>
      <c r="C72" s="912">
        <f>+C15+C20+C25+C30+C66</f>
        <v>92982489.211980805</v>
      </c>
      <c r="D72" s="912">
        <f t="shared" ref="D72:M72" si="40">+D15+D20+D25+D30+D66</f>
        <v>51289155.074639186</v>
      </c>
      <c r="E72" s="912">
        <f t="shared" si="40"/>
        <v>28233188.63017337</v>
      </c>
      <c r="F72" s="912">
        <f t="shared" si="40"/>
        <v>21298772.488563225</v>
      </c>
      <c r="G72" s="912">
        <f t="shared" si="40"/>
        <v>10744831.444575027</v>
      </c>
      <c r="H72" s="912">
        <f t="shared" si="40"/>
        <v>10782926.021968754</v>
      </c>
      <c r="I72" s="912">
        <f t="shared" si="40"/>
        <v>11656353.299745521</v>
      </c>
      <c r="J72" s="912">
        <f t="shared" si="40"/>
        <v>16137597.206883075</v>
      </c>
      <c r="K72" s="912">
        <f t="shared" si="40"/>
        <v>10694402.853992151</v>
      </c>
      <c r="L72" s="912">
        <f t="shared" ref="L72" si="41">+L15+L20+L25+L30+L66</f>
        <v>27833498.943646669</v>
      </c>
      <c r="M72" s="912">
        <f t="shared" si="40"/>
        <v>79035528.978203356</v>
      </c>
      <c r="N72" s="912">
        <f>SUM(C72:M72)</f>
        <v>360688744.15437114</v>
      </c>
    </row>
    <row r="73" spans="1:16" ht="15" x14ac:dyDescent="0.2">
      <c r="A73" s="884"/>
      <c r="B73" s="937" t="s">
        <v>301</v>
      </c>
      <c r="C73" s="912">
        <f t="shared" ref="C73:M73" si="42">+C67+C31+C26+C21+C16</f>
        <v>6000437.5932868943</v>
      </c>
      <c r="D73" s="912">
        <f t="shared" si="42"/>
        <v>4374631.7913258988</v>
      </c>
      <c r="E73" s="912">
        <f t="shared" si="42"/>
        <v>4611154.0648134928</v>
      </c>
      <c r="F73" s="912">
        <f t="shared" si="42"/>
        <v>4734336.1423640084</v>
      </c>
      <c r="G73" s="912">
        <f t="shared" si="42"/>
        <v>4557995.2591950223</v>
      </c>
      <c r="H73" s="912">
        <f t="shared" si="42"/>
        <v>4261363.8586492091</v>
      </c>
      <c r="I73" s="912">
        <f t="shared" si="42"/>
        <v>4428005.5509714559</v>
      </c>
      <c r="J73" s="912">
        <f t="shared" si="42"/>
        <v>4242492.5246152468</v>
      </c>
      <c r="K73" s="912">
        <f t="shared" si="42"/>
        <v>4114564.7642294583</v>
      </c>
      <c r="L73" s="912">
        <f t="shared" ref="L73" si="43">+L67+L31+L26+L21+L16</f>
        <v>3723491.9383054217</v>
      </c>
      <c r="M73" s="912">
        <f t="shared" si="42"/>
        <v>12438026.307132913</v>
      </c>
      <c r="N73" s="912">
        <f>SUM(C73:M73)</f>
        <v>57486499.794889033</v>
      </c>
    </row>
    <row r="74" spans="1:16" ht="9.75" customHeight="1" thickBot="1" x14ac:dyDescent="0.25">
      <c r="A74" s="884"/>
      <c r="B74" s="938"/>
      <c r="C74" s="939"/>
      <c r="D74" s="939"/>
      <c r="E74" s="939"/>
      <c r="F74" s="939"/>
      <c r="G74" s="939"/>
      <c r="H74" s="939"/>
      <c r="I74" s="939"/>
      <c r="J74" s="939"/>
      <c r="K74" s="939"/>
      <c r="L74" s="939"/>
      <c r="M74" s="939"/>
      <c r="N74" s="939"/>
    </row>
    <row r="75" spans="1:16" ht="15" thickTop="1" x14ac:dyDescent="0.3">
      <c r="A75" s="884"/>
      <c r="B75" s="940"/>
      <c r="C75" s="940"/>
      <c r="D75" s="940"/>
      <c r="E75" s="940"/>
      <c r="F75" s="940"/>
      <c r="G75" s="940"/>
      <c r="H75" s="940"/>
      <c r="I75" s="940"/>
      <c r="J75" s="940"/>
      <c r="K75" s="940"/>
      <c r="L75" s="940"/>
      <c r="M75" s="940"/>
      <c r="N75" s="940"/>
    </row>
    <row r="76" spans="1:16" ht="15" x14ac:dyDescent="0.3">
      <c r="A76" s="884"/>
      <c r="B76" s="290" t="s">
        <v>357</v>
      </c>
      <c r="C76" s="941"/>
      <c r="D76" s="941"/>
      <c r="E76" s="941"/>
      <c r="F76" s="941"/>
      <c r="G76" s="941"/>
      <c r="H76" s="941"/>
      <c r="I76" s="941"/>
      <c r="J76" s="941"/>
      <c r="K76" s="941"/>
      <c r="L76" s="941"/>
      <c r="M76" s="941"/>
      <c r="N76" s="942"/>
    </row>
    <row r="77" spans="1:16" ht="15" x14ac:dyDescent="0.3">
      <c r="A77" s="884"/>
      <c r="B77" s="290" t="s">
        <v>913</v>
      </c>
      <c r="C77" s="941"/>
      <c r="D77" s="941"/>
      <c r="E77" s="941"/>
      <c r="F77" s="941"/>
      <c r="G77" s="941"/>
      <c r="H77" s="941"/>
      <c r="I77" s="941"/>
      <c r="J77" s="941"/>
      <c r="K77" s="941"/>
      <c r="L77" s="941"/>
      <c r="M77" s="941"/>
      <c r="N77" s="942"/>
    </row>
    <row r="78" spans="1:16" ht="15" x14ac:dyDescent="0.3">
      <c r="A78" s="884"/>
      <c r="B78" s="290" t="s">
        <v>812</v>
      </c>
      <c r="C78" s="941"/>
      <c r="D78" s="941"/>
      <c r="E78" s="941"/>
      <c r="F78" s="941"/>
      <c r="G78" s="941"/>
      <c r="H78" s="941"/>
      <c r="I78" s="941"/>
      <c r="J78" s="941"/>
      <c r="K78" s="941"/>
      <c r="L78" s="941"/>
      <c r="M78" s="941"/>
      <c r="N78" s="941"/>
      <c r="O78" s="941"/>
      <c r="P78" s="941"/>
    </row>
    <row r="79" spans="1:16" ht="15" x14ac:dyDescent="0.3">
      <c r="A79" s="884"/>
      <c r="B79" s="225"/>
      <c r="C79" s="941"/>
      <c r="D79" s="941"/>
      <c r="E79" s="941"/>
      <c r="F79" s="941"/>
      <c r="G79" s="941"/>
      <c r="H79" s="941"/>
      <c r="I79" s="941"/>
      <c r="J79" s="941"/>
      <c r="K79" s="941"/>
      <c r="L79" s="941"/>
      <c r="M79" s="941"/>
      <c r="N79" s="941"/>
      <c r="O79" s="941"/>
      <c r="P79" s="941"/>
    </row>
    <row r="80" spans="1:16" ht="15" x14ac:dyDescent="0.3">
      <c r="C80" s="884"/>
      <c r="D80" s="884"/>
      <c r="E80" s="884"/>
      <c r="F80" s="884"/>
      <c r="G80" s="884"/>
      <c r="H80" s="884"/>
      <c r="I80" s="884"/>
      <c r="J80" s="884"/>
      <c r="K80" s="884"/>
      <c r="L80" s="884"/>
      <c r="M80" s="884"/>
      <c r="N80" s="941"/>
      <c r="O80" s="941"/>
      <c r="P80" s="941"/>
    </row>
    <row r="81" spans="1:16" ht="15" x14ac:dyDescent="0.3">
      <c r="A81" s="884"/>
      <c r="C81" s="943"/>
      <c r="D81" s="943"/>
      <c r="E81" s="943"/>
      <c r="F81" s="944"/>
      <c r="G81" s="944"/>
      <c r="H81" s="943"/>
      <c r="I81" s="943"/>
      <c r="J81" s="943"/>
      <c r="K81" s="943"/>
      <c r="L81" s="943"/>
      <c r="M81" s="941"/>
      <c r="N81" s="941"/>
      <c r="O81" s="941"/>
      <c r="P81" s="941"/>
    </row>
    <row r="82" spans="1:16" ht="15" x14ac:dyDescent="0.3">
      <c r="C82" s="945"/>
      <c r="D82" s="945"/>
      <c r="E82" s="945"/>
      <c r="F82" s="945"/>
      <c r="G82" s="945"/>
      <c r="H82" s="945"/>
      <c r="I82" s="945"/>
      <c r="J82" s="945"/>
      <c r="K82" s="945"/>
      <c r="L82" s="945"/>
      <c r="M82" s="941"/>
      <c r="N82" s="941"/>
      <c r="O82" s="941"/>
      <c r="P82" s="941"/>
    </row>
    <row r="83" spans="1:16" ht="15" x14ac:dyDescent="0.3">
      <c r="C83" s="945"/>
      <c r="D83" s="945"/>
      <c r="E83" s="945"/>
      <c r="F83" s="945"/>
      <c r="G83" s="945"/>
      <c r="H83" s="945"/>
      <c r="I83" s="945"/>
      <c r="J83" s="945"/>
      <c r="K83" s="945"/>
      <c r="L83" s="945"/>
      <c r="M83" s="941"/>
      <c r="N83" s="941"/>
      <c r="O83" s="941"/>
      <c r="P83" s="941"/>
    </row>
    <row r="84" spans="1:16" ht="15" x14ac:dyDescent="0.3">
      <c r="M84" s="941"/>
      <c r="N84" s="941"/>
      <c r="O84" s="941"/>
      <c r="P84" s="941"/>
    </row>
    <row r="85" spans="1:16" ht="15" x14ac:dyDescent="0.3">
      <c r="M85" s="941"/>
      <c r="N85" s="941"/>
      <c r="O85" s="941"/>
      <c r="P85" s="941"/>
    </row>
    <row r="86" spans="1:16" ht="15" x14ac:dyDescent="0.3">
      <c r="M86" s="941"/>
      <c r="N86" s="941"/>
      <c r="O86" s="941"/>
      <c r="P86" s="941"/>
    </row>
    <row r="87" spans="1:16" ht="15" x14ac:dyDescent="0.3">
      <c r="M87" s="941"/>
      <c r="N87" s="941"/>
      <c r="O87" s="941"/>
      <c r="P87" s="941"/>
    </row>
    <row r="88" spans="1:16" ht="15" x14ac:dyDescent="0.3">
      <c r="M88" s="941"/>
      <c r="N88" s="941"/>
      <c r="O88" s="941"/>
      <c r="P88" s="941"/>
    </row>
    <row r="89" spans="1:16" ht="15" x14ac:dyDescent="0.3">
      <c r="M89" s="941"/>
      <c r="N89" s="941"/>
      <c r="O89" s="941"/>
      <c r="P89" s="941"/>
    </row>
    <row r="90" spans="1:16" ht="15" x14ac:dyDescent="0.3">
      <c r="M90" s="941"/>
      <c r="N90" s="941"/>
      <c r="O90" s="941"/>
      <c r="P90" s="941"/>
    </row>
    <row r="91" spans="1:16" ht="15" x14ac:dyDescent="0.3">
      <c r="M91" s="941"/>
      <c r="N91" s="941"/>
      <c r="O91" s="941"/>
      <c r="P91" s="941"/>
    </row>
    <row r="92" spans="1:16" ht="15" x14ac:dyDescent="0.3">
      <c r="M92" s="941"/>
      <c r="N92" s="941"/>
      <c r="O92" s="941"/>
      <c r="P92" s="941"/>
    </row>
    <row r="93" spans="1:16" ht="15" x14ac:dyDescent="0.3">
      <c r="M93" s="941"/>
      <c r="N93" s="941"/>
      <c r="O93" s="941"/>
      <c r="P93" s="941"/>
    </row>
    <row r="94" spans="1:16" ht="15" x14ac:dyDescent="0.3">
      <c r="M94" s="941"/>
      <c r="N94" s="941"/>
      <c r="O94" s="941"/>
      <c r="P94" s="941"/>
    </row>
    <row r="95" spans="1:16" ht="15" x14ac:dyDescent="0.3">
      <c r="M95" s="941"/>
      <c r="N95" s="941"/>
      <c r="O95" s="941"/>
      <c r="P95" s="941"/>
    </row>
    <row r="96" spans="1:16" ht="15" x14ac:dyDescent="0.3">
      <c r="M96" s="941"/>
      <c r="N96" s="941"/>
      <c r="O96" s="941"/>
      <c r="P96" s="941"/>
    </row>
    <row r="97" spans="13:16" ht="15" x14ac:dyDescent="0.3">
      <c r="M97" s="941"/>
      <c r="N97" s="941"/>
      <c r="O97" s="941"/>
      <c r="P97" s="941"/>
    </row>
    <row r="98" spans="13:16" ht="15" x14ac:dyDescent="0.3">
      <c r="M98" s="941"/>
      <c r="N98" s="941"/>
      <c r="O98" s="941"/>
      <c r="P98" s="941"/>
    </row>
    <row r="99" spans="13:16" ht="15" x14ac:dyDescent="0.3">
      <c r="M99" s="941"/>
      <c r="N99" s="941"/>
      <c r="O99" s="941"/>
      <c r="P99" s="941"/>
    </row>
    <row r="100" spans="13:16" ht="15" x14ac:dyDescent="0.3">
      <c r="M100" s="941"/>
      <c r="N100" s="941"/>
      <c r="O100" s="941"/>
      <c r="P100" s="941"/>
    </row>
    <row r="101" spans="13:16" ht="15" x14ac:dyDescent="0.3">
      <c r="M101" s="941"/>
      <c r="N101" s="941"/>
      <c r="O101" s="941"/>
      <c r="P101" s="941"/>
    </row>
    <row r="102" spans="13:16" ht="15" x14ac:dyDescent="0.3">
      <c r="M102" s="941"/>
      <c r="N102" s="941"/>
      <c r="O102" s="941"/>
      <c r="P102" s="941"/>
    </row>
    <row r="103" spans="13:16" ht="15" x14ac:dyDescent="0.3">
      <c r="M103" s="941"/>
      <c r="N103" s="941"/>
      <c r="O103" s="941"/>
      <c r="P103" s="941"/>
    </row>
    <row r="104" spans="13:16" ht="15" x14ac:dyDescent="0.3">
      <c r="M104" s="941"/>
      <c r="N104" s="941"/>
      <c r="O104" s="941"/>
      <c r="P104" s="941"/>
    </row>
    <row r="105" spans="13:16" ht="15" x14ac:dyDescent="0.3">
      <c r="M105" s="941"/>
      <c r="N105" s="941"/>
      <c r="O105" s="941"/>
      <c r="P105" s="941"/>
    </row>
    <row r="106" spans="13:16" ht="15" x14ac:dyDescent="0.3">
      <c r="M106" s="941"/>
      <c r="N106" s="941"/>
      <c r="O106" s="941"/>
      <c r="P106" s="941"/>
    </row>
    <row r="107" spans="13:16" ht="15" x14ac:dyDescent="0.3">
      <c r="M107" s="941"/>
      <c r="N107" s="941"/>
      <c r="O107" s="941"/>
      <c r="P107" s="941"/>
    </row>
    <row r="108" spans="13:16" ht="15" x14ac:dyDescent="0.3">
      <c r="M108" s="941"/>
      <c r="N108" s="941"/>
      <c r="O108" s="941"/>
      <c r="P108" s="941"/>
    </row>
    <row r="109" spans="13:16" ht="15" x14ac:dyDescent="0.3">
      <c r="M109" s="941"/>
      <c r="N109" s="941"/>
      <c r="O109" s="941"/>
      <c r="P109" s="941"/>
    </row>
    <row r="110" spans="13:16" ht="15" x14ac:dyDescent="0.3">
      <c r="M110" s="941"/>
      <c r="N110" s="941"/>
      <c r="O110" s="941"/>
      <c r="P110" s="941"/>
    </row>
    <row r="111" spans="13:16" ht="15" x14ac:dyDescent="0.3">
      <c r="M111" s="941"/>
      <c r="N111" s="941"/>
      <c r="O111" s="941"/>
      <c r="P111" s="941"/>
    </row>
    <row r="112" spans="13:16" ht="15" x14ac:dyDescent="0.3">
      <c r="M112" s="941"/>
      <c r="N112" s="941"/>
      <c r="O112" s="941"/>
      <c r="P112" s="941"/>
    </row>
    <row r="113" spans="13:16" ht="15" x14ac:dyDescent="0.3">
      <c r="M113" s="941"/>
      <c r="N113" s="941"/>
      <c r="O113" s="941"/>
      <c r="P113" s="941"/>
    </row>
    <row r="114" spans="13:16" ht="15" x14ac:dyDescent="0.3">
      <c r="M114" s="941"/>
      <c r="N114" s="941"/>
      <c r="O114" s="941"/>
      <c r="P114" s="941"/>
    </row>
    <row r="115" spans="13:16" ht="15" x14ac:dyDescent="0.3">
      <c r="M115" s="941"/>
      <c r="N115" s="941"/>
      <c r="O115" s="941"/>
      <c r="P115" s="941"/>
    </row>
    <row r="116" spans="13:16" ht="15" x14ac:dyDescent="0.3">
      <c r="M116" s="941"/>
      <c r="N116" s="941"/>
      <c r="O116" s="941"/>
      <c r="P116" s="941"/>
    </row>
    <row r="117" spans="13:16" ht="15" x14ac:dyDescent="0.3">
      <c r="M117" s="941"/>
      <c r="N117" s="941"/>
      <c r="O117" s="941"/>
      <c r="P117" s="941"/>
    </row>
    <row r="118" spans="13:16" ht="15" x14ac:dyDescent="0.3">
      <c r="M118" s="941"/>
      <c r="N118" s="941"/>
      <c r="O118" s="941"/>
      <c r="P118" s="941"/>
    </row>
    <row r="119" spans="13:16" ht="15" x14ac:dyDescent="0.3">
      <c r="M119" s="941"/>
      <c r="N119" s="941"/>
      <c r="O119" s="941"/>
      <c r="P119" s="941"/>
    </row>
    <row r="120" spans="13:16" ht="15" x14ac:dyDescent="0.3">
      <c r="M120" s="941"/>
      <c r="N120" s="941"/>
      <c r="O120" s="941"/>
      <c r="P120" s="941"/>
    </row>
    <row r="121" spans="13:16" ht="15" x14ac:dyDescent="0.3">
      <c r="M121" s="941"/>
      <c r="N121" s="941"/>
      <c r="O121" s="941"/>
      <c r="P121" s="941"/>
    </row>
    <row r="122" spans="13:16" ht="15" x14ac:dyDescent="0.3">
      <c r="M122" s="941"/>
      <c r="N122" s="941"/>
      <c r="O122" s="941"/>
      <c r="P122" s="941"/>
    </row>
    <row r="123" spans="13:16" ht="15" x14ac:dyDescent="0.3">
      <c r="M123" s="941"/>
      <c r="N123" s="941"/>
      <c r="O123" s="941"/>
      <c r="P123" s="941"/>
    </row>
    <row r="124" spans="13:16" ht="15" x14ac:dyDescent="0.3">
      <c r="M124" s="941"/>
      <c r="N124" s="941"/>
      <c r="O124" s="941"/>
      <c r="P124" s="941"/>
    </row>
    <row r="125" spans="13:16" ht="15" x14ac:dyDescent="0.3">
      <c r="M125" s="941"/>
      <c r="N125" s="941"/>
      <c r="O125" s="941"/>
      <c r="P125" s="941"/>
    </row>
    <row r="126" spans="13:16" ht="15" x14ac:dyDescent="0.3">
      <c r="M126" s="941"/>
      <c r="N126" s="941"/>
      <c r="O126" s="941"/>
      <c r="P126" s="941"/>
    </row>
    <row r="127" spans="13:16" ht="15" x14ac:dyDescent="0.3">
      <c r="M127" s="941"/>
      <c r="N127" s="941"/>
      <c r="O127" s="941"/>
      <c r="P127" s="941"/>
    </row>
    <row r="128" spans="13:16" ht="15" x14ac:dyDescent="0.3">
      <c r="M128" s="941"/>
      <c r="N128" s="941"/>
      <c r="O128" s="941"/>
      <c r="P128" s="941"/>
    </row>
    <row r="129" spans="13:16" ht="15" x14ac:dyDescent="0.3">
      <c r="M129" s="941"/>
      <c r="N129" s="941"/>
      <c r="O129" s="941"/>
      <c r="P129" s="941"/>
    </row>
    <row r="130" spans="13:16" ht="15" x14ac:dyDescent="0.3">
      <c r="M130" s="941"/>
      <c r="N130" s="941"/>
      <c r="O130" s="941"/>
      <c r="P130" s="941"/>
    </row>
    <row r="131" spans="13:16" ht="15" x14ac:dyDescent="0.3">
      <c r="M131" s="941"/>
      <c r="N131" s="941"/>
      <c r="O131" s="941"/>
      <c r="P131" s="941"/>
    </row>
    <row r="132" spans="13:16" ht="15" x14ac:dyDescent="0.3">
      <c r="M132" s="941"/>
      <c r="N132" s="941"/>
      <c r="O132" s="941"/>
      <c r="P132" s="941"/>
    </row>
    <row r="133" spans="13:16" ht="15" x14ac:dyDescent="0.3">
      <c r="M133" s="941"/>
      <c r="N133" s="941"/>
      <c r="O133" s="941"/>
      <c r="P133" s="941"/>
    </row>
    <row r="134" spans="13:16" ht="15" x14ac:dyDescent="0.3">
      <c r="M134" s="941"/>
      <c r="N134" s="941"/>
      <c r="O134" s="941"/>
      <c r="P134" s="941"/>
    </row>
    <row r="135" spans="13:16" ht="15" x14ac:dyDescent="0.3">
      <c r="M135" s="941"/>
      <c r="N135" s="941"/>
      <c r="O135" s="941"/>
      <c r="P135" s="941"/>
    </row>
    <row r="136" spans="13:16" ht="15" x14ac:dyDescent="0.3">
      <c r="M136" s="941"/>
      <c r="N136" s="941"/>
      <c r="O136" s="941"/>
      <c r="P136" s="941"/>
    </row>
    <row r="137" spans="13:16" ht="15" x14ac:dyDescent="0.3">
      <c r="M137" s="941"/>
      <c r="N137" s="941"/>
      <c r="O137" s="941"/>
      <c r="P137" s="941"/>
    </row>
    <row r="138" spans="13:16" ht="15" x14ac:dyDescent="0.3">
      <c r="M138" s="941"/>
      <c r="N138" s="941"/>
      <c r="O138" s="941"/>
      <c r="P138" s="941"/>
    </row>
    <row r="139" spans="13:16" ht="15" x14ac:dyDescent="0.3">
      <c r="M139" s="941"/>
      <c r="N139" s="941"/>
      <c r="O139" s="941"/>
      <c r="P139" s="941"/>
    </row>
    <row r="140" spans="13:16" ht="15" x14ac:dyDescent="0.3">
      <c r="M140" s="941"/>
      <c r="N140" s="941"/>
      <c r="O140" s="941"/>
      <c r="P140" s="941"/>
    </row>
    <row r="141" spans="13:16" ht="15" x14ac:dyDescent="0.3">
      <c r="M141" s="941"/>
      <c r="N141" s="941"/>
      <c r="O141" s="941"/>
      <c r="P141" s="941"/>
    </row>
    <row r="142" spans="13:16" ht="15" x14ac:dyDescent="0.3">
      <c r="M142" s="941"/>
      <c r="N142" s="941"/>
      <c r="O142" s="941"/>
      <c r="P142" s="941"/>
    </row>
    <row r="143" spans="13:16" ht="15" x14ac:dyDescent="0.3">
      <c r="M143" s="941"/>
      <c r="N143" s="941"/>
      <c r="O143" s="941"/>
      <c r="P143" s="941"/>
    </row>
    <row r="144" spans="13:16" ht="15" x14ac:dyDescent="0.3">
      <c r="M144" s="941"/>
      <c r="N144" s="941"/>
      <c r="O144" s="941"/>
      <c r="P144" s="941"/>
    </row>
    <row r="145" spans="13:16" ht="15" x14ac:dyDescent="0.3">
      <c r="M145" s="941"/>
      <c r="N145" s="941"/>
      <c r="O145" s="941"/>
      <c r="P145" s="941"/>
    </row>
    <row r="146" spans="13:16" ht="15" x14ac:dyDescent="0.3">
      <c r="M146" s="941"/>
      <c r="N146" s="941"/>
      <c r="O146" s="941"/>
      <c r="P146" s="941"/>
    </row>
    <row r="147" spans="13:16" ht="15" x14ac:dyDescent="0.3">
      <c r="M147" s="941"/>
      <c r="N147" s="941"/>
      <c r="O147" s="941"/>
      <c r="P147" s="941"/>
    </row>
    <row r="148" spans="13:16" ht="15" x14ac:dyDescent="0.3">
      <c r="M148" s="941"/>
      <c r="N148" s="941"/>
      <c r="O148" s="941"/>
      <c r="P148" s="941"/>
    </row>
    <row r="149" spans="13:16" ht="15" x14ac:dyDescent="0.3">
      <c r="M149" s="941"/>
      <c r="N149" s="941"/>
      <c r="O149" s="941"/>
      <c r="P149" s="941"/>
    </row>
    <row r="150" spans="13:16" ht="15" x14ac:dyDescent="0.3">
      <c r="M150" s="941"/>
      <c r="N150" s="941"/>
      <c r="O150" s="941"/>
      <c r="P150" s="941"/>
    </row>
    <row r="151" spans="13:16" ht="15" x14ac:dyDescent="0.3">
      <c r="M151" s="941"/>
      <c r="N151" s="941"/>
      <c r="O151" s="941"/>
      <c r="P151" s="941"/>
    </row>
    <row r="152" spans="13:16" ht="15" x14ac:dyDescent="0.3">
      <c r="M152" s="941"/>
      <c r="N152" s="941"/>
      <c r="O152" s="941"/>
      <c r="P152" s="941"/>
    </row>
    <row r="153" spans="13:16" ht="15" x14ac:dyDescent="0.3">
      <c r="M153" s="941"/>
      <c r="N153" s="941"/>
      <c r="O153" s="941"/>
      <c r="P153" s="941"/>
    </row>
    <row r="154" spans="13:16" ht="15" x14ac:dyDescent="0.3">
      <c r="M154" s="941"/>
      <c r="N154" s="941"/>
      <c r="O154" s="941"/>
      <c r="P154" s="941"/>
    </row>
    <row r="155" spans="13:16" ht="15" x14ac:dyDescent="0.3">
      <c r="M155" s="941"/>
      <c r="N155" s="941"/>
      <c r="O155" s="941"/>
      <c r="P155" s="941"/>
    </row>
    <row r="156" spans="13:16" ht="15" x14ac:dyDescent="0.3">
      <c r="M156" s="941"/>
      <c r="N156" s="941"/>
      <c r="O156" s="941"/>
      <c r="P156" s="941"/>
    </row>
    <row r="157" spans="13:16" ht="15" x14ac:dyDescent="0.3">
      <c r="M157" s="941"/>
      <c r="N157" s="941"/>
      <c r="O157" s="941"/>
      <c r="P157" s="941"/>
    </row>
    <row r="158" spans="13:16" ht="15" x14ac:dyDescent="0.3">
      <c r="M158" s="941"/>
      <c r="N158" s="941"/>
      <c r="O158" s="941"/>
      <c r="P158" s="941"/>
    </row>
    <row r="159" spans="13:16" ht="15" x14ac:dyDescent="0.3">
      <c r="M159" s="941"/>
      <c r="N159" s="941"/>
      <c r="O159" s="941"/>
      <c r="P159" s="941"/>
    </row>
    <row r="160" spans="13:16" ht="15" x14ac:dyDescent="0.3">
      <c r="M160" s="941"/>
      <c r="N160" s="941"/>
      <c r="O160" s="941"/>
      <c r="P160" s="941"/>
    </row>
    <row r="161" spans="13:16" ht="15" x14ac:dyDescent="0.3">
      <c r="M161" s="941"/>
      <c r="N161" s="941"/>
      <c r="O161" s="941"/>
      <c r="P161" s="941"/>
    </row>
    <row r="162" spans="13:16" ht="15" x14ac:dyDescent="0.3">
      <c r="M162" s="941"/>
      <c r="N162" s="941"/>
      <c r="O162" s="941"/>
      <c r="P162" s="941"/>
    </row>
    <row r="163" spans="13:16" ht="15" x14ac:dyDescent="0.3">
      <c r="M163" s="941"/>
      <c r="N163" s="941"/>
      <c r="O163" s="941"/>
      <c r="P163" s="941"/>
    </row>
    <row r="164" spans="13:16" ht="15" x14ac:dyDescent="0.3">
      <c r="M164" s="941"/>
      <c r="N164" s="941"/>
      <c r="O164" s="941"/>
      <c r="P164" s="941"/>
    </row>
    <row r="165" spans="13:16" ht="15" x14ac:dyDescent="0.3">
      <c r="M165" s="941"/>
      <c r="N165" s="941"/>
      <c r="O165" s="941"/>
      <c r="P165" s="941"/>
    </row>
    <row r="166" spans="13:16" ht="15" x14ac:dyDescent="0.3">
      <c r="M166" s="941"/>
      <c r="N166" s="941"/>
      <c r="O166" s="941"/>
      <c r="P166" s="941"/>
    </row>
    <row r="167" spans="13:16" ht="15" x14ac:dyDescent="0.3">
      <c r="M167" s="941"/>
      <c r="N167" s="941"/>
      <c r="O167" s="941"/>
      <c r="P167" s="941"/>
    </row>
    <row r="168" spans="13:16" ht="15" x14ac:dyDescent="0.3">
      <c r="M168" s="941"/>
      <c r="N168" s="941"/>
      <c r="O168" s="941"/>
      <c r="P168" s="941"/>
    </row>
    <row r="169" spans="13:16" ht="15" x14ac:dyDescent="0.3">
      <c r="M169" s="941"/>
      <c r="N169" s="941"/>
      <c r="O169" s="941"/>
      <c r="P169" s="941"/>
    </row>
    <row r="170" spans="13:16" ht="15" x14ac:dyDescent="0.3">
      <c r="M170" s="941"/>
      <c r="N170" s="941"/>
      <c r="O170" s="941"/>
      <c r="P170" s="941"/>
    </row>
    <row r="171" spans="13:16" ht="15" x14ac:dyDescent="0.3">
      <c r="M171" s="941"/>
      <c r="N171" s="941"/>
      <c r="O171" s="941"/>
      <c r="P171" s="941"/>
    </row>
    <row r="172" spans="13:16" ht="15" x14ac:dyDescent="0.3">
      <c r="M172" s="941"/>
      <c r="N172" s="941"/>
      <c r="O172" s="941"/>
      <c r="P172" s="941"/>
    </row>
    <row r="173" spans="13:16" ht="15" x14ac:dyDescent="0.3">
      <c r="M173" s="941"/>
      <c r="N173" s="941"/>
      <c r="O173" s="941"/>
      <c r="P173" s="941"/>
    </row>
    <row r="174" spans="13:16" ht="15" x14ac:dyDescent="0.3">
      <c r="M174" s="941"/>
      <c r="N174" s="941"/>
      <c r="O174" s="941"/>
      <c r="P174" s="941"/>
    </row>
    <row r="175" spans="13:16" ht="15" x14ac:dyDescent="0.3">
      <c r="M175" s="941"/>
      <c r="N175" s="941"/>
      <c r="O175" s="941"/>
      <c r="P175" s="941"/>
    </row>
    <row r="176" spans="13:16" ht="15" x14ac:dyDescent="0.3">
      <c r="M176" s="941"/>
      <c r="N176" s="941"/>
      <c r="O176" s="941"/>
      <c r="P176" s="941"/>
    </row>
    <row r="177" spans="13:16" ht="15" x14ac:dyDescent="0.3">
      <c r="M177" s="941"/>
      <c r="N177" s="941"/>
      <c r="O177" s="941"/>
      <c r="P177" s="941"/>
    </row>
    <row r="178" spans="13:16" ht="15" x14ac:dyDescent="0.3">
      <c r="M178" s="941"/>
      <c r="N178" s="941"/>
      <c r="O178" s="941"/>
      <c r="P178" s="941"/>
    </row>
    <row r="179" spans="13:16" ht="15" x14ac:dyDescent="0.3">
      <c r="M179" s="941"/>
      <c r="N179" s="941"/>
      <c r="O179" s="941"/>
      <c r="P179" s="941"/>
    </row>
    <row r="180" spans="13:16" ht="15" x14ac:dyDescent="0.3">
      <c r="M180" s="941"/>
      <c r="N180" s="941"/>
      <c r="O180" s="941"/>
      <c r="P180" s="941"/>
    </row>
    <row r="181" spans="13:16" ht="15" x14ac:dyDescent="0.3">
      <c r="M181" s="941"/>
      <c r="N181" s="941"/>
      <c r="O181" s="941"/>
      <c r="P181" s="941"/>
    </row>
    <row r="182" spans="13:16" ht="15" x14ac:dyDescent="0.3">
      <c r="M182" s="941"/>
      <c r="N182" s="941"/>
      <c r="O182" s="941"/>
      <c r="P182" s="941"/>
    </row>
    <row r="183" spans="13:16" ht="15" x14ac:dyDescent="0.3">
      <c r="M183" s="941"/>
      <c r="N183" s="941"/>
      <c r="O183" s="941"/>
      <c r="P183" s="941"/>
    </row>
    <row r="184" spans="13:16" ht="15" x14ac:dyDescent="0.3">
      <c r="M184" s="941"/>
      <c r="N184" s="941"/>
      <c r="O184" s="941"/>
      <c r="P184" s="941"/>
    </row>
    <row r="185" spans="13:16" ht="15" x14ac:dyDescent="0.3">
      <c r="M185" s="941"/>
      <c r="N185" s="941"/>
      <c r="O185" s="941"/>
      <c r="P185" s="941"/>
    </row>
    <row r="186" spans="13:16" ht="15" x14ac:dyDescent="0.3">
      <c r="M186" s="941"/>
      <c r="N186" s="941"/>
      <c r="O186" s="941"/>
      <c r="P186" s="941"/>
    </row>
    <row r="187" spans="13:16" ht="15" x14ac:dyDescent="0.3">
      <c r="M187" s="941"/>
      <c r="N187" s="941"/>
      <c r="O187" s="941"/>
      <c r="P187" s="941"/>
    </row>
    <row r="188" spans="13:16" ht="15" x14ac:dyDescent="0.3">
      <c r="M188" s="941"/>
      <c r="N188" s="941"/>
      <c r="O188" s="941"/>
      <c r="P188" s="941"/>
    </row>
    <row r="189" spans="13:16" ht="15" x14ac:dyDescent="0.3">
      <c r="M189" s="941"/>
      <c r="N189" s="941"/>
      <c r="O189" s="941"/>
      <c r="P189" s="941"/>
    </row>
    <row r="190" spans="13:16" ht="15" x14ac:dyDescent="0.3">
      <c r="M190" s="941"/>
      <c r="N190" s="941"/>
      <c r="O190" s="941"/>
      <c r="P190" s="941"/>
    </row>
    <row r="191" spans="13:16" ht="15" x14ac:dyDescent="0.3">
      <c r="M191" s="941"/>
      <c r="N191" s="941"/>
      <c r="O191" s="941"/>
      <c r="P191" s="941"/>
    </row>
    <row r="192" spans="13:16" ht="15" x14ac:dyDescent="0.3">
      <c r="M192" s="941"/>
      <c r="N192" s="941"/>
      <c r="O192" s="941"/>
      <c r="P192" s="941"/>
    </row>
    <row r="193" spans="13:16" ht="15" x14ac:dyDescent="0.3">
      <c r="M193" s="941"/>
      <c r="N193" s="941"/>
      <c r="O193" s="941"/>
      <c r="P193" s="941"/>
    </row>
    <row r="194" spans="13:16" ht="15" x14ac:dyDescent="0.3">
      <c r="M194" s="941"/>
      <c r="N194" s="941"/>
      <c r="O194" s="941"/>
      <c r="P194" s="941"/>
    </row>
    <row r="195" spans="13:16" ht="15" x14ac:dyDescent="0.3">
      <c r="M195" s="941"/>
      <c r="N195" s="941"/>
      <c r="O195" s="941"/>
      <c r="P195" s="941"/>
    </row>
    <row r="196" spans="13:16" ht="15" x14ac:dyDescent="0.3">
      <c r="M196" s="941"/>
      <c r="N196" s="941"/>
      <c r="O196" s="941"/>
      <c r="P196" s="941"/>
    </row>
    <row r="197" spans="13:16" ht="15" x14ac:dyDescent="0.3">
      <c r="M197" s="941"/>
      <c r="N197" s="941"/>
      <c r="O197" s="941"/>
      <c r="P197" s="941"/>
    </row>
    <row r="198" spans="13:16" ht="15" x14ac:dyDescent="0.3">
      <c r="M198" s="941"/>
      <c r="N198" s="941"/>
      <c r="O198" s="941"/>
      <c r="P198" s="941"/>
    </row>
    <row r="199" spans="13:16" ht="15" x14ac:dyDescent="0.3">
      <c r="M199" s="941"/>
      <c r="N199" s="941"/>
      <c r="O199" s="941"/>
      <c r="P199" s="941"/>
    </row>
    <row r="200" spans="13:16" ht="15" x14ac:dyDescent="0.3">
      <c r="M200" s="941"/>
      <c r="N200" s="941"/>
      <c r="O200" s="941"/>
      <c r="P200" s="941"/>
    </row>
    <row r="201" spans="13:16" ht="15" x14ac:dyDescent="0.3">
      <c r="M201" s="941"/>
      <c r="N201" s="941"/>
      <c r="O201" s="941"/>
      <c r="P201" s="941"/>
    </row>
    <row r="202" spans="13:16" ht="15" x14ac:dyDescent="0.3">
      <c r="M202" s="941"/>
      <c r="N202" s="941"/>
      <c r="O202" s="941"/>
      <c r="P202" s="941"/>
    </row>
    <row r="203" spans="13:16" ht="15" x14ac:dyDescent="0.3">
      <c r="M203" s="941"/>
      <c r="N203" s="941"/>
      <c r="O203" s="941"/>
      <c r="P203" s="941"/>
    </row>
    <row r="204" spans="13:16" ht="15" x14ac:dyDescent="0.3">
      <c r="M204" s="941"/>
      <c r="N204" s="941"/>
      <c r="O204" s="941"/>
      <c r="P204" s="941"/>
    </row>
    <row r="205" spans="13:16" ht="15" x14ac:dyDescent="0.3">
      <c r="M205" s="941"/>
      <c r="N205" s="941"/>
      <c r="O205" s="941"/>
      <c r="P205" s="941"/>
    </row>
    <row r="206" spans="13:16" ht="15" x14ac:dyDescent="0.3">
      <c r="M206" s="941"/>
      <c r="N206" s="941"/>
      <c r="O206" s="941"/>
      <c r="P206" s="941"/>
    </row>
    <row r="207" spans="13:16" ht="15" x14ac:dyDescent="0.3">
      <c r="M207" s="941"/>
      <c r="N207" s="941"/>
      <c r="O207" s="941"/>
      <c r="P207" s="941"/>
    </row>
    <row r="208" spans="13:16" ht="15" x14ac:dyDescent="0.3">
      <c r="M208" s="941"/>
      <c r="N208" s="941"/>
      <c r="O208" s="941"/>
      <c r="P208" s="941"/>
    </row>
    <row r="209" spans="13:16" ht="15" x14ac:dyDescent="0.3">
      <c r="M209" s="941"/>
      <c r="N209" s="941"/>
      <c r="O209" s="941"/>
      <c r="P209" s="941"/>
    </row>
    <row r="210" spans="13:16" ht="15" x14ac:dyDescent="0.3">
      <c r="M210" s="941"/>
      <c r="N210" s="941"/>
      <c r="O210" s="941"/>
      <c r="P210" s="941"/>
    </row>
    <row r="211" spans="13:16" ht="15" x14ac:dyDescent="0.3">
      <c r="M211" s="941"/>
      <c r="N211" s="941"/>
      <c r="O211" s="941"/>
      <c r="P211" s="941"/>
    </row>
    <row r="212" spans="13:16" ht="15" x14ac:dyDescent="0.3">
      <c r="M212" s="941"/>
      <c r="N212" s="941"/>
      <c r="O212" s="941"/>
      <c r="P212" s="941"/>
    </row>
    <row r="213" spans="13:16" ht="15" x14ac:dyDescent="0.3">
      <c r="M213" s="941"/>
      <c r="N213" s="941"/>
      <c r="O213" s="941"/>
      <c r="P213" s="941"/>
    </row>
    <row r="214" spans="13:16" ht="15" x14ac:dyDescent="0.3">
      <c r="M214" s="941"/>
      <c r="N214" s="941"/>
      <c r="O214" s="941"/>
      <c r="P214" s="941"/>
    </row>
    <row r="215" spans="13:16" ht="15" x14ac:dyDescent="0.3">
      <c r="M215" s="941"/>
      <c r="N215" s="941"/>
      <c r="O215" s="941"/>
      <c r="P215" s="941"/>
    </row>
    <row r="216" spans="13:16" ht="15" x14ac:dyDescent="0.3">
      <c r="M216" s="941"/>
      <c r="N216" s="941"/>
      <c r="O216" s="941"/>
      <c r="P216" s="941"/>
    </row>
    <row r="217" spans="13:16" ht="15" x14ac:dyDescent="0.3">
      <c r="M217" s="941"/>
      <c r="N217" s="941"/>
      <c r="O217" s="941"/>
      <c r="P217" s="941"/>
    </row>
    <row r="218" spans="13:16" ht="15" x14ac:dyDescent="0.3">
      <c r="M218" s="941"/>
      <c r="N218" s="941"/>
      <c r="O218" s="941"/>
      <c r="P218" s="941"/>
    </row>
    <row r="219" spans="13:16" ht="15" x14ac:dyDescent="0.3">
      <c r="M219" s="941"/>
      <c r="N219" s="941"/>
      <c r="O219" s="941"/>
      <c r="P219" s="941"/>
    </row>
    <row r="220" spans="13:16" ht="15" x14ac:dyDescent="0.3">
      <c r="M220" s="941"/>
      <c r="N220" s="941"/>
      <c r="O220" s="941"/>
      <c r="P220" s="941"/>
    </row>
    <row r="221" spans="13:16" ht="15" x14ac:dyDescent="0.3">
      <c r="M221" s="941"/>
      <c r="N221" s="941"/>
      <c r="O221" s="941"/>
      <c r="P221" s="941"/>
    </row>
    <row r="222" spans="13:16" ht="15" x14ac:dyDescent="0.3">
      <c r="M222" s="941"/>
      <c r="N222" s="941"/>
      <c r="O222" s="941"/>
      <c r="P222" s="941"/>
    </row>
    <row r="223" spans="13:16" ht="15" x14ac:dyDescent="0.3">
      <c r="M223" s="941"/>
      <c r="N223" s="941"/>
      <c r="O223" s="941"/>
      <c r="P223" s="941"/>
    </row>
    <row r="224" spans="13:16" ht="15" x14ac:dyDescent="0.3">
      <c r="M224" s="941"/>
      <c r="N224" s="941"/>
      <c r="O224" s="941"/>
      <c r="P224" s="941"/>
    </row>
    <row r="225" spans="13:16" ht="15" x14ac:dyDescent="0.3">
      <c r="M225" s="941"/>
      <c r="N225" s="941"/>
      <c r="O225" s="941"/>
      <c r="P225" s="941"/>
    </row>
    <row r="226" spans="13:16" ht="15" x14ac:dyDescent="0.3">
      <c r="M226" s="941"/>
      <c r="N226" s="941"/>
      <c r="O226" s="941"/>
      <c r="P226" s="941"/>
    </row>
    <row r="227" spans="13:16" ht="15" x14ac:dyDescent="0.3">
      <c r="M227" s="941"/>
      <c r="N227" s="941"/>
      <c r="O227" s="941"/>
      <c r="P227" s="941"/>
    </row>
    <row r="228" spans="13:16" ht="15" x14ac:dyDescent="0.3">
      <c r="M228" s="941"/>
      <c r="N228" s="941"/>
      <c r="O228" s="941"/>
      <c r="P228" s="941"/>
    </row>
    <row r="229" spans="13:16" ht="15" x14ac:dyDescent="0.3">
      <c r="M229" s="941"/>
      <c r="N229" s="941"/>
      <c r="O229" s="941"/>
      <c r="P229" s="941"/>
    </row>
    <row r="230" spans="13:16" ht="15" x14ac:dyDescent="0.3">
      <c r="M230" s="941"/>
      <c r="N230" s="941"/>
      <c r="O230" s="941"/>
      <c r="P230" s="941"/>
    </row>
    <row r="231" spans="13:16" ht="15" x14ac:dyDescent="0.3">
      <c r="M231" s="941"/>
      <c r="N231" s="941"/>
      <c r="O231" s="941"/>
      <c r="P231" s="941"/>
    </row>
    <row r="232" spans="13:16" ht="15" x14ac:dyDescent="0.3">
      <c r="M232" s="941"/>
      <c r="N232" s="941"/>
      <c r="O232" s="941"/>
      <c r="P232" s="941"/>
    </row>
    <row r="233" spans="13:16" ht="15" x14ac:dyDescent="0.3">
      <c r="M233" s="941"/>
      <c r="N233" s="941"/>
      <c r="O233" s="941"/>
      <c r="P233" s="941"/>
    </row>
    <row r="234" spans="13:16" ht="15" x14ac:dyDescent="0.3">
      <c r="M234" s="941"/>
      <c r="N234" s="941"/>
      <c r="O234" s="941"/>
      <c r="P234" s="941"/>
    </row>
    <row r="235" spans="13:16" ht="15" x14ac:dyDescent="0.3">
      <c r="M235" s="941"/>
      <c r="N235" s="941"/>
      <c r="O235" s="941"/>
      <c r="P235" s="941"/>
    </row>
    <row r="236" spans="13:16" ht="15" x14ac:dyDescent="0.3">
      <c r="M236" s="941"/>
      <c r="N236" s="941"/>
      <c r="O236" s="941"/>
      <c r="P236" s="941"/>
    </row>
    <row r="237" spans="13:16" ht="15" x14ac:dyDescent="0.3">
      <c r="M237" s="941"/>
      <c r="N237" s="941"/>
      <c r="O237" s="941"/>
      <c r="P237" s="941"/>
    </row>
    <row r="238" spans="13:16" ht="15" x14ac:dyDescent="0.3">
      <c r="M238" s="941"/>
      <c r="N238" s="941"/>
      <c r="O238" s="941"/>
      <c r="P238" s="941"/>
    </row>
    <row r="239" spans="13:16" ht="15" x14ac:dyDescent="0.3">
      <c r="M239" s="941"/>
      <c r="N239" s="941"/>
      <c r="O239" s="941"/>
      <c r="P239" s="941"/>
    </row>
    <row r="240" spans="13:16" ht="15" x14ac:dyDescent="0.3">
      <c r="M240" s="941"/>
      <c r="N240" s="941"/>
      <c r="O240" s="941"/>
      <c r="P240" s="941"/>
    </row>
    <row r="241" spans="13:16" ht="15" x14ac:dyDescent="0.3">
      <c r="M241" s="941"/>
      <c r="N241" s="941"/>
      <c r="O241" s="941"/>
      <c r="P241" s="941"/>
    </row>
    <row r="242" spans="13:16" ht="15" x14ac:dyDescent="0.3">
      <c r="M242" s="941"/>
      <c r="N242" s="941"/>
      <c r="O242" s="941"/>
      <c r="P242" s="941"/>
    </row>
    <row r="243" spans="13:16" ht="15" x14ac:dyDescent="0.3">
      <c r="M243" s="941"/>
      <c r="N243" s="941"/>
      <c r="O243" s="941"/>
      <c r="P243" s="941"/>
    </row>
    <row r="244" spans="13:16" ht="15" x14ac:dyDescent="0.3">
      <c r="M244" s="941"/>
      <c r="N244" s="941"/>
      <c r="O244" s="941"/>
      <c r="P244" s="941"/>
    </row>
    <row r="245" spans="13:16" ht="15" x14ac:dyDescent="0.3">
      <c r="M245" s="941"/>
      <c r="N245" s="941"/>
      <c r="O245" s="941"/>
      <c r="P245" s="941"/>
    </row>
    <row r="246" spans="13:16" ht="15" x14ac:dyDescent="0.3">
      <c r="M246" s="941"/>
      <c r="N246" s="941"/>
      <c r="O246" s="941"/>
      <c r="P246" s="941"/>
    </row>
    <row r="247" spans="13:16" ht="15" x14ac:dyDescent="0.3">
      <c r="M247" s="941"/>
      <c r="N247" s="941"/>
      <c r="O247" s="941"/>
      <c r="P247" s="941"/>
    </row>
    <row r="248" spans="13:16" ht="15" x14ac:dyDescent="0.3">
      <c r="M248" s="941"/>
      <c r="N248" s="941"/>
      <c r="O248" s="941"/>
      <c r="P248" s="941"/>
    </row>
    <row r="249" spans="13:16" ht="15" x14ac:dyDescent="0.3">
      <c r="M249" s="941"/>
      <c r="N249" s="941"/>
      <c r="O249" s="941"/>
      <c r="P249" s="941"/>
    </row>
    <row r="250" spans="13:16" ht="15" x14ac:dyDescent="0.3">
      <c r="M250" s="941"/>
      <c r="N250" s="941"/>
      <c r="O250" s="941"/>
      <c r="P250" s="941"/>
    </row>
    <row r="251" spans="13:16" ht="15" x14ac:dyDescent="0.3">
      <c r="M251" s="941"/>
      <c r="N251" s="941"/>
      <c r="O251" s="941"/>
      <c r="P251" s="941"/>
    </row>
    <row r="252" spans="13:16" ht="15" x14ac:dyDescent="0.3">
      <c r="M252" s="941"/>
      <c r="N252" s="941"/>
      <c r="O252" s="941"/>
      <c r="P252" s="941"/>
    </row>
    <row r="253" spans="13:16" ht="15" x14ac:dyDescent="0.3">
      <c r="M253" s="941"/>
      <c r="N253" s="941"/>
      <c r="O253" s="941"/>
      <c r="P253" s="941"/>
    </row>
    <row r="254" spans="13:16" ht="15" x14ac:dyDescent="0.3">
      <c r="M254" s="941"/>
      <c r="N254" s="941"/>
      <c r="O254" s="941"/>
      <c r="P254" s="941"/>
    </row>
    <row r="255" spans="13:16" ht="15" x14ac:dyDescent="0.3">
      <c r="M255" s="941"/>
      <c r="N255" s="941"/>
      <c r="O255" s="941"/>
      <c r="P255" s="941"/>
    </row>
    <row r="256" spans="13:16" ht="15" x14ac:dyDescent="0.3">
      <c r="M256" s="941"/>
      <c r="N256" s="941"/>
      <c r="O256" s="941"/>
      <c r="P256" s="941"/>
    </row>
    <row r="257" spans="13:16" ht="15" x14ac:dyDescent="0.3">
      <c r="M257" s="941"/>
      <c r="N257" s="941"/>
      <c r="O257" s="941"/>
      <c r="P257" s="941"/>
    </row>
    <row r="258" spans="13:16" ht="15" x14ac:dyDescent="0.3">
      <c r="M258" s="941"/>
      <c r="N258" s="941"/>
      <c r="O258" s="941"/>
      <c r="P258" s="941"/>
    </row>
    <row r="259" spans="13:16" ht="15" x14ac:dyDescent="0.3">
      <c r="M259" s="941"/>
      <c r="N259" s="941"/>
      <c r="O259" s="941"/>
      <c r="P259" s="941"/>
    </row>
    <row r="260" spans="13:16" ht="15" x14ac:dyDescent="0.3">
      <c r="M260" s="941"/>
      <c r="N260" s="941"/>
      <c r="O260" s="941"/>
      <c r="P260" s="941"/>
    </row>
    <row r="261" spans="13:16" ht="15" x14ac:dyDescent="0.3">
      <c r="M261" s="941"/>
      <c r="N261" s="941"/>
      <c r="O261" s="941"/>
      <c r="P261" s="941"/>
    </row>
    <row r="262" spans="13:16" ht="15" x14ac:dyDescent="0.3">
      <c r="M262" s="941"/>
      <c r="N262" s="941"/>
      <c r="O262" s="941"/>
      <c r="P262" s="941"/>
    </row>
    <row r="263" spans="13:16" ht="15" x14ac:dyDescent="0.3">
      <c r="M263" s="941"/>
      <c r="N263" s="941"/>
      <c r="O263" s="941"/>
      <c r="P263" s="941"/>
    </row>
    <row r="264" spans="13:16" ht="15" x14ac:dyDescent="0.3">
      <c r="M264" s="941"/>
      <c r="N264" s="941"/>
      <c r="O264" s="941"/>
      <c r="P264" s="941"/>
    </row>
    <row r="265" spans="13:16" ht="15" x14ac:dyDescent="0.3">
      <c r="M265" s="941"/>
      <c r="N265" s="941"/>
      <c r="O265" s="941"/>
      <c r="P265" s="941"/>
    </row>
    <row r="266" spans="13:16" ht="15" x14ac:dyDescent="0.3">
      <c r="M266" s="941"/>
      <c r="N266" s="941"/>
      <c r="O266" s="941"/>
      <c r="P266" s="941"/>
    </row>
    <row r="267" spans="13:16" ht="15" x14ac:dyDescent="0.3">
      <c r="M267" s="941"/>
      <c r="N267" s="941"/>
      <c r="O267" s="941"/>
      <c r="P267" s="941"/>
    </row>
    <row r="268" spans="13:16" ht="15" x14ac:dyDescent="0.3">
      <c r="M268" s="941"/>
      <c r="N268" s="941"/>
      <c r="O268" s="941"/>
      <c r="P268" s="941"/>
    </row>
    <row r="269" spans="13:16" ht="15" x14ac:dyDescent="0.3">
      <c r="M269" s="941"/>
      <c r="N269" s="941"/>
      <c r="O269" s="941"/>
      <c r="P269" s="941"/>
    </row>
    <row r="270" spans="13:16" ht="15" x14ac:dyDescent="0.3">
      <c r="M270" s="941"/>
      <c r="N270" s="941"/>
      <c r="O270" s="941"/>
      <c r="P270" s="941"/>
    </row>
    <row r="271" spans="13:16" ht="15" x14ac:dyDescent="0.3">
      <c r="M271" s="941"/>
      <c r="N271" s="941"/>
      <c r="O271" s="941"/>
      <c r="P271" s="941"/>
    </row>
    <row r="272" spans="13:16" ht="15" x14ac:dyDescent="0.3">
      <c r="M272" s="941"/>
      <c r="N272" s="941"/>
      <c r="O272" s="941"/>
      <c r="P272" s="941"/>
    </row>
    <row r="273" spans="13:16" ht="15" x14ac:dyDescent="0.3">
      <c r="M273" s="941"/>
      <c r="N273" s="941"/>
      <c r="O273" s="941"/>
      <c r="P273" s="941"/>
    </row>
    <row r="274" spans="13:16" ht="15" x14ac:dyDescent="0.3">
      <c r="M274" s="941"/>
      <c r="N274" s="941"/>
      <c r="O274" s="941"/>
      <c r="P274" s="941"/>
    </row>
    <row r="275" spans="13:16" ht="15" x14ac:dyDescent="0.3">
      <c r="M275" s="941"/>
      <c r="N275" s="941"/>
      <c r="O275" s="941"/>
      <c r="P275" s="941"/>
    </row>
    <row r="276" spans="13:16" ht="15" x14ac:dyDescent="0.3">
      <c r="M276" s="941"/>
      <c r="N276" s="941"/>
      <c r="O276" s="941"/>
      <c r="P276" s="941"/>
    </row>
    <row r="277" spans="13:16" ht="15" x14ac:dyDescent="0.3">
      <c r="M277" s="941"/>
      <c r="N277" s="941"/>
      <c r="O277" s="941"/>
      <c r="P277" s="941"/>
    </row>
    <row r="278" spans="13:16" ht="15" x14ac:dyDescent="0.3">
      <c r="M278" s="941"/>
      <c r="N278" s="941"/>
      <c r="O278" s="941"/>
      <c r="P278" s="941"/>
    </row>
    <row r="279" spans="13:16" ht="15" x14ac:dyDescent="0.3">
      <c r="M279" s="941"/>
      <c r="N279" s="941"/>
      <c r="O279" s="941"/>
      <c r="P279" s="941"/>
    </row>
    <row r="280" spans="13:16" ht="15" x14ac:dyDescent="0.3">
      <c r="M280" s="941"/>
      <c r="N280" s="941"/>
      <c r="O280" s="941"/>
      <c r="P280" s="941"/>
    </row>
    <row r="281" spans="13:16" ht="15" x14ac:dyDescent="0.3">
      <c r="M281" s="941"/>
      <c r="N281" s="941"/>
      <c r="O281" s="941"/>
      <c r="P281" s="941"/>
    </row>
    <row r="282" spans="13:16" ht="15" x14ac:dyDescent="0.3">
      <c r="M282" s="941"/>
      <c r="N282" s="941"/>
      <c r="O282" s="941"/>
      <c r="P282" s="941"/>
    </row>
    <row r="283" spans="13:16" ht="15" x14ac:dyDescent="0.3">
      <c r="M283" s="941"/>
      <c r="N283" s="941"/>
      <c r="O283" s="941"/>
      <c r="P283" s="941"/>
    </row>
    <row r="284" spans="13:16" ht="15" x14ac:dyDescent="0.3">
      <c r="M284" s="941"/>
      <c r="N284" s="941"/>
      <c r="O284" s="941"/>
      <c r="P284" s="941"/>
    </row>
    <row r="285" spans="13:16" ht="15" x14ac:dyDescent="0.3">
      <c r="M285" s="941"/>
      <c r="N285" s="941"/>
      <c r="O285" s="941"/>
      <c r="P285" s="941"/>
    </row>
    <row r="286" spans="13:16" ht="15" x14ac:dyDescent="0.3">
      <c r="M286" s="941"/>
      <c r="N286" s="941"/>
      <c r="O286" s="941"/>
      <c r="P286" s="941"/>
    </row>
    <row r="287" spans="13:16" ht="15" x14ac:dyDescent="0.3">
      <c r="M287" s="941"/>
      <c r="N287" s="941"/>
      <c r="O287" s="941"/>
      <c r="P287" s="941"/>
    </row>
    <row r="288" spans="13:16" ht="15" x14ac:dyDescent="0.3">
      <c r="M288" s="941"/>
      <c r="N288" s="941"/>
      <c r="O288" s="941"/>
      <c r="P288" s="941"/>
    </row>
    <row r="289" spans="13:16" ht="15" x14ac:dyDescent="0.3">
      <c r="M289" s="941"/>
      <c r="N289" s="941"/>
      <c r="O289" s="941"/>
      <c r="P289" s="941"/>
    </row>
    <row r="290" spans="13:16" ht="15" x14ac:dyDescent="0.3">
      <c r="M290" s="941"/>
      <c r="N290" s="941"/>
      <c r="O290" s="941"/>
      <c r="P290" s="941"/>
    </row>
    <row r="291" spans="13:16" ht="15" x14ac:dyDescent="0.3">
      <c r="M291" s="941"/>
      <c r="N291" s="941"/>
      <c r="O291" s="941"/>
      <c r="P291" s="941"/>
    </row>
    <row r="292" spans="13:16" ht="15" x14ac:dyDescent="0.3">
      <c r="M292" s="941"/>
      <c r="N292" s="941"/>
      <c r="O292" s="941"/>
      <c r="P292" s="941"/>
    </row>
    <row r="293" spans="13:16" ht="15" x14ac:dyDescent="0.3">
      <c r="M293" s="941"/>
      <c r="N293" s="941"/>
      <c r="O293" s="941"/>
      <c r="P293" s="941"/>
    </row>
    <row r="294" spans="13:16" ht="15" x14ac:dyDescent="0.3">
      <c r="M294" s="941"/>
      <c r="N294" s="941"/>
      <c r="O294" s="941"/>
      <c r="P294" s="941"/>
    </row>
    <row r="295" spans="13:16" ht="15" x14ac:dyDescent="0.3">
      <c r="M295" s="941"/>
      <c r="N295" s="941"/>
      <c r="O295" s="941"/>
      <c r="P295" s="941"/>
    </row>
    <row r="296" spans="13:16" ht="15" x14ac:dyDescent="0.3">
      <c r="M296" s="941"/>
      <c r="N296" s="941"/>
      <c r="O296" s="941"/>
      <c r="P296" s="941"/>
    </row>
    <row r="297" spans="13:16" ht="15" x14ac:dyDescent="0.3">
      <c r="M297" s="941"/>
      <c r="N297" s="941"/>
      <c r="O297" s="941"/>
      <c r="P297" s="941"/>
    </row>
    <row r="298" spans="13:16" ht="15" x14ac:dyDescent="0.3">
      <c r="M298" s="941"/>
      <c r="N298" s="941"/>
      <c r="O298" s="941"/>
      <c r="P298" s="941"/>
    </row>
    <row r="299" spans="13:16" ht="15" x14ac:dyDescent="0.3">
      <c r="M299" s="941"/>
      <c r="N299" s="941"/>
      <c r="O299" s="941"/>
      <c r="P299" s="941"/>
    </row>
    <row r="300" spans="13:16" ht="15" x14ac:dyDescent="0.3">
      <c r="M300" s="941"/>
      <c r="N300" s="941"/>
      <c r="O300" s="941"/>
      <c r="P300" s="941"/>
    </row>
    <row r="301" spans="13:16" ht="15" x14ac:dyDescent="0.3">
      <c r="M301" s="941"/>
      <c r="N301" s="941"/>
      <c r="O301" s="941"/>
      <c r="P301" s="941"/>
    </row>
    <row r="302" spans="13:16" ht="15" x14ac:dyDescent="0.3">
      <c r="M302" s="941"/>
      <c r="N302" s="941"/>
      <c r="O302" s="941"/>
      <c r="P302" s="941"/>
    </row>
    <row r="303" spans="13:16" ht="15" x14ac:dyDescent="0.3">
      <c r="M303" s="941"/>
      <c r="N303" s="941"/>
      <c r="O303" s="941"/>
      <c r="P303" s="941"/>
    </row>
    <row r="304" spans="13:16" ht="15" x14ac:dyDescent="0.3">
      <c r="M304" s="941"/>
      <c r="N304" s="941"/>
      <c r="O304" s="941"/>
      <c r="P304" s="941"/>
    </row>
    <row r="305" spans="13:16" ht="15" x14ac:dyDescent="0.3">
      <c r="M305" s="941"/>
      <c r="N305" s="941"/>
      <c r="O305" s="941"/>
      <c r="P305" s="941"/>
    </row>
    <row r="306" spans="13:16" ht="15" x14ac:dyDescent="0.3">
      <c r="M306" s="941"/>
      <c r="N306" s="941"/>
      <c r="O306" s="941"/>
      <c r="P306" s="941"/>
    </row>
    <row r="307" spans="13:16" ht="15" x14ac:dyDescent="0.3">
      <c r="M307" s="941"/>
      <c r="N307" s="941"/>
      <c r="O307" s="941"/>
      <c r="P307" s="941"/>
    </row>
    <row r="308" spans="13:16" ht="15" x14ac:dyDescent="0.3">
      <c r="M308" s="941"/>
      <c r="N308" s="941"/>
      <c r="O308" s="941"/>
      <c r="P308" s="941"/>
    </row>
    <row r="309" spans="13:16" ht="15" x14ac:dyDescent="0.3">
      <c r="M309" s="941"/>
      <c r="N309" s="941"/>
      <c r="O309" s="941"/>
      <c r="P309" s="941"/>
    </row>
    <row r="310" spans="13:16" ht="15" x14ac:dyDescent="0.3">
      <c r="M310" s="941"/>
      <c r="N310" s="941"/>
      <c r="O310" s="941"/>
      <c r="P310" s="941"/>
    </row>
    <row r="311" spans="13:16" ht="15" x14ac:dyDescent="0.3">
      <c r="M311" s="941"/>
      <c r="N311" s="941"/>
      <c r="O311" s="941"/>
      <c r="P311" s="941"/>
    </row>
    <row r="312" spans="13:16" ht="15" x14ac:dyDescent="0.3">
      <c r="M312" s="941"/>
      <c r="N312" s="941"/>
      <c r="O312" s="941"/>
      <c r="P312" s="941"/>
    </row>
    <row r="313" spans="13:16" ht="15" x14ac:dyDescent="0.3">
      <c r="M313" s="941"/>
      <c r="N313" s="941"/>
      <c r="O313" s="941"/>
      <c r="P313" s="941"/>
    </row>
    <row r="314" spans="13:16" ht="15" x14ac:dyDescent="0.3">
      <c r="M314" s="941"/>
      <c r="N314" s="941"/>
      <c r="O314" s="941"/>
      <c r="P314" s="941"/>
    </row>
    <row r="315" spans="13:16" ht="15" x14ac:dyDescent="0.3">
      <c r="M315" s="941"/>
      <c r="N315" s="941"/>
      <c r="O315" s="941"/>
      <c r="P315" s="941"/>
    </row>
    <row r="316" spans="13:16" ht="15" x14ac:dyDescent="0.3">
      <c r="M316" s="941"/>
      <c r="N316" s="941"/>
      <c r="O316" s="941"/>
      <c r="P316" s="941"/>
    </row>
    <row r="317" spans="13:16" ht="15" x14ac:dyDescent="0.3">
      <c r="M317" s="941"/>
      <c r="N317" s="941"/>
      <c r="O317" s="941"/>
      <c r="P317" s="941"/>
    </row>
    <row r="318" spans="13:16" ht="15" x14ac:dyDescent="0.3">
      <c r="M318" s="941"/>
      <c r="N318" s="941"/>
      <c r="O318" s="941"/>
      <c r="P318" s="941"/>
    </row>
    <row r="319" spans="13:16" ht="15" x14ac:dyDescent="0.3">
      <c r="M319" s="941"/>
      <c r="N319" s="941"/>
      <c r="O319" s="941"/>
      <c r="P319" s="941"/>
    </row>
    <row r="320" spans="13:16" ht="15" x14ac:dyDescent="0.3">
      <c r="M320" s="941"/>
      <c r="N320" s="941"/>
      <c r="O320" s="941"/>
      <c r="P320" s="941"/>
    </row>
    <row r="321" spans="13:16" ht="15" x14ac:dyDescent="0.3">
      <c r="M321" s="941"/>
      <c r="N321" s="941"/>
      <c r="O321" s="941"/>
      <c r="P321" s="941"/>
    </row>
    <row r="322" spans="13:16" ht="15" x14ac:dyDescent="0.3">
      <c r="M322" s="941"/>
      <c r="N322" s="941"/>
      <c r="O322" s="941"/>
      <c r="P322" s="941"/>
    </row>
    <row r="323" spans="13:16" ht="15" x14ac:dyDescent="0.3">
      <c r="M323" s="941"/>
      <c r="N323" s="941"/>
      <c r="O323" s="941"/>
      <c r="P323" s="941"/>
    </row>
    <row r="324" spans="13:16" ht="15" x14ac:dyDescent="0.3">
      <c r="M324" s="941"/>
      <c r="N324" s="941"/>
      <c r="O324" s="941"/>
      <c r="P324" s="941"/>
    </row>
    <row r="325" spans="13:16" ht="15" x14ac:dyDescent="0.3">
      <c r="M325" s="941"/>
      <c r="N325" s="941"/>
      <c r="O325" s="941"/>
      <c r="P325" s="941"/>
    </row>
    <row r="326" spans="13:16" ht="15" x14ac:dyDescent="0.3">
      <c r="M326" s="941"/>
      <c r="N326" s="941"/>
      <c r="O326" s="941"/>
      <c r="P326" s="941"/>
    </row>
    <row r="327" spans="13:16" ht="15" x14ac:dyDescent="0.3">
      <c r="M327" s="941"/>
      <c r="N327" s="941"/>
      <c r="O327" s="941"/>
      <c r="P327" s="941"/>
    </row>
    <row r="328" spans="13:16" ht="15" x14ac:dyDescent="0.3">
      <c r="M328" s="941"/>
      <c r="N328" s="941"/>
      <c r="O328" s="941"/>
      <c r="P328" s="941"/>
    </row>
    <row r="329" spans="13:16" ht="15" x14ac:dyDescent="0.3">
      <c r="M329" s="941"/>
      <c r="N329" s="941"/>
      <c r="O329" s="941"/>
      <c r="P329" s="941"/>
    </row>
    <row r="330" spans="13:16" ht="15" x14ac:dyDescent="0.3">
      <c r="M330" s="941"/>
      <c r="N330" s="941"/>
      <c r="O330" s="941"/>
      <c r="P330" s="941"/>
    </row>
    <row r="331" spans="13:16" ht="15" x14ac:dyDescent="0.3">
      <c r="M331" s="941"/>
      <c r="N331" s="941"/>
      <c r="O331" s="941"/>
      <c r="P331" s="941"/>
    </row>
    <row r="332" spans="13:16" ht="15" x14ac:dyDescent="0.3">
      <c r="M332" s="941"/>
      <c r="N332" s="941"/>
      <c r="O332" s="941"/>
      <c r="P332" s="941"/>
    </row>
    <row r="333" spans="13:16" ht="15" x14ac:dyDescent="0.3">
      <c r="M333" s="941"/>
      <c r="N333" s="941"/>
      <c r="O333" s="941"/>
      <c r="P333" s="941"/>
    </row>
    <row r="334" spans="13:16" ht="15" x14ac:dyDescent="0.3">
      <c r="M334" s="941"/>
      <c r="N334" s="941"/>
      <c r="O334" s="941"/>
      <c r="P334" s="941"/>
    </row>
    <row r="335" spans="13:16" ht="15" x14ac:dyDescent="0.3">
      <c r="M335" s="941"/>
      <c r="N335" s="941"/>
      <c r="O335" s="941"/>
      <c r="P335" s="941"/>
    </row>
    <row r="336" spans="13:16" ht="15" x14ac:dyDescent="0.3">
      <c r="M336" s="941"/>
      <c r="N336" s="941"/>
      <c r="O336" s="941"/>
      <c r="P336" s="941"/>
    </row>
    <row r="337" spans="13:16" ht="15" x14ac:dyDescent="0.3">
      <c r="M337" s="941"/>
      <c r="N337" s="941"/>
      <c r="O337" s="941"/>
      <c r="P337" s="941"/>
    </row>
    <row r="338" spans="13:16" ht="15" x14ac:dyDescent="0.3">
      <c r="M338" s="941"/>
      <c r="N338" s="941"/>
      <c r="O338" s="941"/>
      <c r="P338" s="941"/>
    </row>
    <row r="339" spans="13:16" ht="15" x14ac:dyDescent="0.3">
      <c r="M339" s="941"/>
      <c r="N339" s="941"/>
      <c r="O339" s="941"/>
      <c r="P339" s="941"/>
    </row>
    <row r="340" spans="13:16" ht="15" x14ac:dyDescent="0.3">
      <c r="M340" s="941"/>
      <c r="N340" s="941"/>
      <c r="O340" s="941"/>
      <c r="P340" s="941"/>
    </row>
    <row r="341" spans="13:16" ht="15" x14ac:dyDescent="0.3">
      <c r="M341" s="941"/>
      <c r="N341" s="941"/>
      <c r="O341" s="941"/>
      <c r="P341" s="941"/>
    </row>
    <row r="342" spans="13:16" ht="15" x14ac:dyDescent="0.3">
      <c r="M342" s="941"/>
      <c r="N342" s="941"/>
      <c r="O342" s="941"/>
      <c r="P342" s="941"/>
    </row>
    <row r="343" spans="13:16" ht="15" x14ac:dyDescent="0.3">
      <c r="M343" s="941"/>
      <c r="N343" s="941"/>
      <c r="O343" s="941"/>
      <c r="P343" s="941"/>
    </row>
    <row r="344" spans="13:16" ht="15" x14ac:dyDescent="0.3">
      <c r="M344" s="941"/>
      <c r="N344" s="941"/>
      <c r="O344" s="941"/>
      <c r="P344" s="941"/>
    </row>
    <row r="345" spans="13:16" ht="15" x14ac:dyDescent="0.3">
      <c r="M345" s="941"/>
      <c r="N345" s="941"/>
      <c r="O345" s="941"/>
      <c r="P345" s="941"/>
    </row>
    <row r="346" spans="13:16" ht="15" x14ac:dyDescent="0.3">
      <c r="M346" s="941"/>
      <c r="N346" s="941"/>
      <c r="O346" s="941"/>
      <c r="P346" s="941"/>
    </row>
    <row r="347" spans="13:16" ht="15" x14ac:dyDescent="0.3">
      <c r="M347" s="941"/>
      <c r="N347" s="941"/>
      <c r="O347" s="941"/>
      <c r="P347" s="941"/>
    </row>
    <row r="348" spans="13:16" ht="15" x14ac:dyDescent="0.3">
      <c r="M348" s="941"/>
      <c r="N348" s="941"/>
      <c r="O348" s="941"/>
      <c r="P348" s="941"/>
    </row>
    <row r="349" spans="13:16" ht="15" x14ac:dyDescent="0.3">
      <c r="M349" s="941"/>
      <c r="N349" s="941"/>
      <c r="O349" s="941"/>
      <c r="P349" s="941"/>
    </row>
    <row r="350" spans="13:16" ht="15" x14ac:dyDescent="0.3">
      <c r="M350" s="941"/>
      <c r="N350" s="941"/>
      <c r="O350" s="941"/>
      <c r="P350" s="941"/>
    </row>
    <row r="351" spans="13:16" ht="15" x14ac:dyDescent="0.3">
      <c r="M351" s="941"/>
      <c r="N351" s="941"/>
      <c r="O351" s="941"/>
      <c r="P351" s="941"/>
    </row>
    <row r="352" spans="13:16" ht="15" x14ac:dyDescent="0.3">
      <c r="M352" s="941"/>
      <c r="N352" s="941"/>
      <c r="O352" s="941"/>
      <c r="P352" s="941"/>
    </row>
    <row r="353" spans="13:16" ht="15" x14ac:dyDescent="0.3">
      <c r="M353" s="941"/>
      <c r="N353" s="941"/>
      <c r="O353" s="941"/>
      <c r="P353" s="941"/>
    </row>
    <row r="354" spans="13:16" ht="15" x14ac:dyDescent="0.3">
      <c r="M354" s="941"/>
      <c r="N354" s="941"/>
      <c r="O354" s="941"/>
      <c r="P354" s="941"/>
    </row>
    <row r="355" spans="13:16" ht="15" x14ac:dyDescent="0.3">
      <c r="M355" s="941"/>
      <c r="N355" s="941"/>
      <c r="O355" s="941"/>
      <c r="P355" s="941"/>
    </row>
    <row r="356" spans="13:16" ht="15" x14ac:dyDescent="0.3">
      <c r="M356" s="941"/>
      <c r="N356" s="941"/>
      <c r="O356" s="941"/>
      <c r="P356" s="941"/>
    </row>
    <row r="357" spans="13:16" ht="15" x14ac:dyDescent="0.3">
      <c r="M357" s="941"/>
      <c r="N357" s="941"/>
      <c r="O357" s="941"/>
      <c r="P357" s="941"/>
    </row>
    <row r="358" spans="13:16" ht="15" x14ac:dyDescent="0.3">
      <c r="M358" s="941"/>
      <c r="N358" s="941"/>
      <c r="O358" s="941"/>
      <c r="P358" s="941"/>
    </row>
    <row r="359" spans="13:16" ht="15" x14ac:dyDescent="0.3">
      <c r="M359" s="941"/>
      <c r="N359" s="941"/>
      <c r="O359" s="941"/>
      <c r="P359" s="941"/>
    </row>
    <row r="360" spans="13:16" ht="15" x14ac:dyDescent="0.3">
      <c r="M360" s="941"/>
      <c r="N360" s="941"/>
      <c r="O360" s="941"/>
      <c r="P360" s="941"/>
    </row>
    <row r="361" spans="13:16" ht="15" x14ac:dyDescent="0.3">
      <c r="M361" s="941"/>
      <c r="N361" s="941"/>
      <c r="O361" s="941"/>
      <c r="P361" s="941"/>
    </row>
    <row r="362" spans="13:16" ht="15" x14ac:dyDescent="0.3">
      <c r="M362" s="941"/>
      <c r="N362" s="941"/>
      <c r="O362" s="941"/>
      <c r="P362" s="941"/>
    </row>
    <row r="363" spans="13:16" ht="15" x14ac:dyDescent="0.3">
      <c r="M363" s="941"/>
      <c r="N363" s="941"/>
      <c r="O363" s="941"/>
      <c r="P363" s="941"/>
    </row>
    <row r="364" spans="13:16" ht="15" x14ac:dyDescent="0.3">
      <c r="M364" s="941"/>
      <c r="N364" s="941"/>
      <c r="O364" s="941"/>
      <c r="P364" s="941"/>
    </row>
    <row r="365" spans="13:16" ht="15" x14ac:dyDescent="0.3">
      <c r="M365" s="941"/>
      <c r="N365" s="941"/>
      <c r="O365" s="941"/>
      <c r="P365" s="941"/>
    </row>
    <row r="366" spans="13:16" ht="15" x14ac:dyDescent="0.3">
      <c r="M366" s="941"/>
      <c r="N366" s="941"/>
      <c r="O366" s="941"/>
      <c r="P366" s="941"/>
    </row>
    <row r="367" spans="13:16" ht="15" x14ac:dyDescent="0.3">
      <c r="M367" s="941"/>
      <c r="N367" s="941"/>
      <c r="O367" s="941"/>
      <c r="P367" s="941"/>
    </row>
    <row r="368" spans="13:16" ht="15" x14ac:dyDescent="0.3">
      <c r="M368" s="941"/>
      <c r="N368" s="941"/>
      <c r="O368" s="941"/>
      <c r="P368" s="941"/>
    </row>
    <row r="369" spans="13:16" ht="15" x14ac:dyDescent="0.3">
      <c r="M369" s="941"/>
      <c r="N369" s="941"/>
      <c r="O369" s="941"/>
      <c r="P369" s="941"/>
    </row>
    <row r="370" spans="13:16" ht="15" x14ac:dyDescent="0.3">
      <c r="M370" s="941"/>
      <c r="N370" s="941"/>
      <c r="O370" s="941"/>
      <c r="P370" s="941"/>
    </row>
    <row r="371" spans="13:16" ht="15" x14ac:dyDescent="0.3">
      <c r="M371" s="941"/>
      <c r="N371" s="941"/>
      <c r="O371" s="941"/>
      <c r="P371" s="941"/>
    </row>
    <row r="372" spans="13:16" ht="15" x14ac:dyDescent="0.3">
      <c r="M372" s="941"/>
      <c r="N372" s="941"/>
      <c r="O372" s="941"/>
      <c r="P372" s="941"/>
    </row>
    <row r="373" spans="13:16" ht="15" x14ac:dyDescent="0.3">
      <c r="M373" s="941"/>
      <c r="N373" s="941"/>
      <c r="O373" s="941"/>
      <c r="P373" s="941"/>
    </row>
    <row r="374" spans="13:16" ht="15" x14ac:dyDescent="0.3">
      <c r="M374" s="941"/>
      <c r="N374" s="941"/>
      <c r="O374" s="941"/>
      <c r="P374" s="941"/>
    </row>
    <row r="375" spans="13:16" ht="15" x14ac:dyDescent="0.3">
      <c r="M375" s="941"/>
      <c r="N375" s="941"/>
      <c r="O375" s="941"/>
      <c r="P375" s="941"/>
    </row>
    <row r="376" spans="13:16" ht="15" x14ac:dyDescent="0.3">
      <c r="M376" s="941"/>
      <c r="N376" s="941"/>
      <c r="O376" s="941"/>
      <c r="P376" s="941"/>
    </row>
    <row r="377" spans="13:16" ht="15" x14ac:dyDescent="0.3">
      <c r="M377" s="941"/>
      <c r="N377" s="941"/>
      <c r="O377" s="941"/>
      <c r="P377" s="941"/>
    </row>
    <row r="378" spans="13:16" ht="15" x14ac:dyDescent="0.3">
      <c r="M378" s="941"/>
      <c r="N378" s="941"/>
      <c r="O378" s="941"/>
      <c r="P378" s="941"/>
    </row>
    <row r="379" spans="13:16" ht="15" x14ac:dyDescent="0.3">
      <c r="M379" s="941"/>
      <c r="N379" s="941"/>
      <c r="O379" s="941"/>
      <c r="P379" s="941"/>
    </row>
    <row r="380" spans="13:16" ht="15" x14ac:dyDescent="0.3">
      <c r="M380" s="941"/>
      <c r="N380" s="941"/>
      <c r="O380" s="941"/>
      <c r="P380" s="941"/>
    </row>
    <row r="381" spans="13:16" ht="15" x14ac:dyDescent="0.3">
      <c r="M381" s="941"/>
      <c r="N381" s="941"/>
      <c r="O381" s="941"/>
      <c r="P381" s="941"/>
    </row>
    <row r="382" spans="13:16" ht="15" x14ac:dyDescent="0.3">
      <c r="M382" s="941"/>
      <c r="N382" s="941"/>
      <c r="O382" s="941"/>
      <c r="P382" s="941"/>
    </row>
    <row r="383" spans="13:16" ht="15" x14ac:dyDescent="0.3">
      <c r="M383" s="941"/>
      <c r="N383" s="941"/>
      <c r="O383" s="941"/>
      <c r="P383" s="941"/>
    </row>
    <row r="384" spans="13:16" ht="15" x14ac:dyDescent="0.3">
      <c r="M384" s="941"/>
      <c r="N384" s="941"/>
      <c r="O384" s="941"/>
      <c r="P384" s="941"/>
    </row>
    <row r="385" spans="13:16" ht="15" x14ac:dyDescent="0.3">
      <c r="M385" s="941"/>
      <c r="N385" s="941"/>
      <c r="O385" s="941"/>
      <c r="P385" s="941"/>
    </row>
    <row r="386" spans="13:16" ht="15" x14ac:dyDescent="0.3">
      <c r="M386" s="941"/>
      <c r="N386" s="941"/>
      <c r="O386" s="941"/>
      <c r="P386" s="941"/>
    </row>
    <row r="387" spans="13:16" ht="15" x14ac:dyDescent="0.3">
      <c r="M387" s="941"/>
      <c r="N387" s="941"/>
      <c r="O387" s="941"/>
      <c r="P387" s="941"/>
    </row>
    <row r="388" spans="13:16" ht="15" x14ac:dyDescent="0.3">
      <c r="M388" s="941"/>
      <c r="N388" s="941"/>
      <c r="O388" s="941"/>
      <c r="P388" s="941"/>
    </row>
    <row r="389" spans="13:16" ht="15" x14ac:dyDescent="0.3">
      <c r="M389" s="941"/>
      <c r="N389" s="941"/>
      <c r="O389" s="941"/>
      <c r="P389" s="941"/>
    </row>
    <row r="390" spans="13:16" ht="15" x14ac:dyDescent="0.3">
      <c r="M390" s="941"/>
      <c r="N390" s="941"/>
      <c r="O390" s="941"/>
      <c r="P390" s="941"/>
    </row>
    <row r="391" spans="13:16" ht="15" x14ac:dyDescent="0.3">
      <c r="M391" s="941"/>
      <c r="N391" s="941"/>
      <c r="O391" s="941"/>
      <c r="P391" s="941"/>
    </row>
    <row r="392" spans="13:16" ht="15" x14ac:dyDescent="0.3">
      <c r="M392" s="941"/>
      <c r="N392" s="941"/>
      <c r="O392" s="941"/>
      <c r="P392" s="941"/>
    </row>
    <row r="393" spans="13:16" ht="15" x14ac:dyDescent="0.3">
      <c r="M393" s="941"/>
      <c r="N393" s="941"/>
      <c r="O393" s="941"/>
      <c r="P393" s="941"/>
    </row>
    <row r="394" spans="13:16" ht="15" x14ac:dyDescent="0.3">
      <c r="M394" s="941"/>
      <c r="N394" s="941"/>
      <c r="O394" s="941"/>
      <c r="P394" s="941"/>
    </row>
    <row r="395" spans="13:16" ht="15" x14ac:dyDescent="0.3">
      <c r="M395" s="941"/>
      <c r="N395" s="941"/>
      <c r="O395" s="941"/>
      <c r="P395" s="941"/>
    </row>
    <row r="396" spans="13:16" ht="15" x14ac:dyDescent="0.3">
      <c r="M396" s="941"/>
      <c r="N396" s="941"/>
      <c r="O396" s="941"/>
      <c r="P396" s="941"/>
    </row>
    <row r="397" spans="13:16" ht="15" x14ac:dyDescent="0.3">
      <c r="M397" s="941"/>
      <c r="N397" s="941"/>
      <c r="O397" s="941"/>
      <c r="P397" s="941"/>
    </row>
    <row r="398" spans="13:16" ht="15" x14ac:dyDescent="0.3">
      <c r="M398" s="941"/>
      <c r="N398" s="941"/>
      <c r="O398" s="941"/>
      <c r="P398" s="941"/>
    </row>
    <row r="399" spans="13:16" ht="15" x14ac:dyDescent="0.3">
      <c r="M399" s="941"/>
      <c r="N399" s="941"/>
      <c r="O399" s="941"/>
      <c r="P399" s="941"/>
    </row>
    <row r="400" spans="13:16" ht="15" x14ac:dyDescent="0.3">
      <c r="M400" s="941"/>
      <c r="N400" s="941"/>
      <c r="O400" s="941"/>
      <c r="P400" s="941"/>
    </row>
    <row r="401" spans="13:16" ht="15" x14ac:dyDescent="0.3">
      <c r="M401" s="941"/>
      <c r="N401" s="941"/>
      <c r="O401" s="941"/>
      <c r="P401" s="941"/>
    </row>
    <row r="402" spans="13:16" ht="15" x14ac:dyDescent="0.3">
      <c r="M402" s="941"/>
      <c r="N402" s="941"/>
      <c r="O402" s="941"/>
      <c r="P402" s="941"/>
    </row>
    <row r="403" spans="13:16" ht="15" x14ac:dyDescent="0.3">
      <c r="M403" s="941"/>
      <c r="N403" s="941"/>
      <c r="O403" s="941"/>
      <c r="P403" s="941"/>
    </row>
    <row r="404" spans="13:16" ht="15" x14ac:dyDescent="0.3">
      <c r="M404" s="941"/>
      <c r="N404" s="941"/>
      <c r="O404" s="941"/>
      <c r="P404" s="941"/>
    </row>
    <row r="405" spans="13:16" ht="15" x14ac:dyDescent="0.3">
      <c r="M405" s="941"/>
      <c r="N405" s="941"/>
      <c r="O405" s="941"/>
      <c r="P405" s="941"/>
    </row>
    <row r="406" spans="13:16" ht="15" x14ac:dyDescent="0.3">
      <c r="M406" s="941"/>
      <c r="N406" s="941"/>
      <c r="O406" s="941"/>
      <c r="P406" s="941"/>
    </row>
    <row r="407" spans="13:16" ht="15" x14ac:dyDescent="0.3">
      <c r="M407" s="941"/>
      <c r="N407" s="941"/>
      <c r="O407" s="941"/>
      <c r="P407" s="941"/>
    </row>
    <row r="408" spans="13:16" ht="15" x14ac:dyDescent="0.3">
      <c r="M408" s="941"/>
      <c r="N408" s="941"/>
      <c r="O408" s="941"/>
      <c r="P408" s="941"/>
    </row>
    <row r="409" spans="13:16" ht="15" x14ac:dyDescent="0.3">
      <c r="M409" s="941"/>
      <c r="N409" s="941"/>
      <c r="O409" s="941"/>
      <c r="P409" s="941"/>
    </row>
    <row r="410" spans="13:16" ht="15" x14ac:dyDescent="0.3">
      <c r="M410" s="941"/>
      <c r="N410" s="941"/>
      <c r="O410" s="941"/>
      <c r="P410" s="941"/>
    </row>
    <row r="411" spans="13:16" ht="15" x14ac:dyDescent="0.3">
      <c r="M411" s="941"/>
      <c r="N411" s="941"/>
      <c r="O411" s="941"/>
      <c r="P411" s="941"/>
    </row>
    <row r="412" spans="13:16" ht="15" x14ac:dyDescent="0.3">
      <c r="M412" s="941"/>
      <c r="N412" s="941"/>
      <c r="O412" s="941"/>
      <c r="P412" s="941"/>
    </row>
    <row r="413" spans="13:16" ht="15" x14ac:dyDescent="0.3">
      <c r="M413" s="941"/>
      <c r="N413" s="941"/>
      <c r="O413" s="941"/>
      <c r="P413" s="941"/>
    </row>
    <row r="414" spans="13:16" ht="15" x14ac:dyDescent="0.3">
      <c r="M414" s="941"/>
      <c r="N414" s="941"/>
      <c r="O414" s="941"/>
      <c r="P414" s="941"/>
    </row>
    <row r="415" spans="13:16" ht="15" x14ac:dyDescent="0.3">
      <c r="M415" s="941"/>
      <c r="N415" s="941"/>
      <c r="O415" s="941"/>
      <c r="P415" s="941"/>
    </row>
    <row r="416" spans="13:16" ht="15" x14ac:dyDescent="0.3">
      <c r="M416" s="941"/>
      <c r="N416" s="941"/>
      <c r="O416" s="941"/>
      <c r="P416" s="941"/>
    </row>
    <row r="417" spans="13:16" ht="15" x14ac:dyDescent="0.3">
      <c r="M417" s="941"/>
      <c r="N417" s="941"/>
      <c r="O417" s="941"/>
      <c r="P417" s="941"/>
    </row>
    <row r="418" spans="13:16" ht="15" x14ac:dyDescent="0.3">
      <c r="M418" s="941"/>
      <c r="N418" s="941"/>
      <c r="O418" s="941"/>
      <c r="P418" s="941"/>
    </row>
    <row r="419" spans="13:16" ht="15" x14ac:dyDescent="0.3">
      <c r="M419" s="941"/>
      <c r="N419" s="941"/>
      <c r="O419" s="941"/>
      <c r="P419" s="941"/>
    </row>
    <row r="420" spans="13:16" ht="15" x14ac:dyDescent="0.3">
      <c r="M420" s="941"/>
      <c r="N420" s="941"/>
      <c r="O420" s="941"/>
      <c r="P420" s="941"/>
    </row>
    <row r="421" spans="13:16" ht="15" x14ac:dyDescent="0.3">
      <c r="M421" s="941"/>
      <c r="N421" s="941"/>
      <c r="O421" s="941"/>
      <c r="P421" s="941"/>
    </row>
    <row r="422" spans="13:16" ht="15" x14ac:dyDescent="0.3">
      <c r="M422" s="941"/>
      <c r="N422" s="941"/>
      <c r="O422" s="941"/>
      <c r="P422" s="941"/>
    </row>
    <row r="423" spans="13:16" ht="15" x14ac:dyDescent="0.3">
      <c r="M423" s="941"/>
      <c r="N423" s="941"/>
      <c r="O423" s="941"/>
      <c r="P423" s="941"/>
    </row>
    <row r="424" spans="13:16" ht="15" x14ac:dyDescent="0.3">
      <c r="M424" s="941"/>
      <c r="N424" s="941"/>
      <c r="O424" s="941"/>
      <c r="P424" s="941"/>
    </row>
    <row r="425" spans="13:16" ht="15" x14ac:dyDescent="0.3">
      <c r="M425" s="941"/>
      <c r="N425" s="941"/>
      <c r="O425" s="941"/>
      <c r="P425" s="941"/>
    </row>
    <row r="426" spans="13:16" ht="15" x14ac:dyDescent="0.3">
      <c r="M426" s="941"/>
      <c r="N426" s="941"/>
      <c r="O426" s="941"/>
      <c r="P426" s="941"/>
    </row>
    <row r="427" spans="13:16" ht="15" x14ac:dyDescent="0.3">
      <c r="M427" s="941"/>
      <c r="N427" s="941"/>
      <c r="O427" s="941"/>
      <c r="P427" s="941"/>
    </row>
    <row r="428" spans="13:16" ht="15" x14ac:dyDescent="0.3">
      <c r="M428" s="941"/>
      <c r="N428" s="941"/>
      <c r="O428" s="941"/>
      <c r="P428" s="941"/>
    </row>
    <row r="429" spans="13:16" ht="15" x14ac:dyDescent="0.3">
      <c r="M429" s="941"/>
      <c r="N429" s="941"/>
      <c r="O429" s="941"/>
      <c r="P429" s="941"/>
    </row>
    <row r="430" spans="13:16" ht="15" x14ac:dyDescent="0.3">
      <c r="M430" s="941"/>
      <c r="N430" s="941"/>
      <c r="O430" s="941"/>
      <c r="P430" s="941"/>
    </row>
    <row r="431" spans="13:16" ht="15" x14ac:dyDescent="0.3">
      <c r="M431" s="941"/>
      <c r="N431" s="941"/>
      <c r="O431" s="941"/>
      <c r="P431" s="941"/>
    </row>
    <row r="432" spans="13:16" ht="15" x14ac:dyDescent="0.3">
      <c r="M432" s="941"/>
      <c r="N432" s="941"/>
      <c r="O432" s="941"/>
      <c r="P432" s="941"/>
    </row>
    <row r="433" spans="13:16" ht="15" x14ac:dyDescent="0.3">
      <c r="M433" s="941"/>
      <c r="N433" s="941"/>
      <c r="O433" s="941"/>
      <c r="P433" s="941"/>
    </row>
    <row r="434" spans="13:16" ht="15" x14ac:dyDescent="0.3">
      <c r="M434" s="941"/>
      <c r="N434" s="941"/>
      <c r="O434" s="941"/>
      <c r="P434" s="941"/>
    </row>
    <row r="435" spans="13:16" ht="15" x14ac:dyDescent="0.3">
      <c r="M435" s="941"/>
      <c r="N435" s="941"/>
      <c r="O435" s="941"/>
      <c r="P435" s="941"/>
    </row>
    <row r="436" spans="13:16" ht="15" x14ac:dyDescent="0.3">
      <c r="M436" s="941"/>
      <c r="N436" s="941"/>
      <c r="O436" s="941"/>
      <c r="P436" s="941"/>
    </row>
    <row r="437" spans="13:16" ht="15" x14ac:dyDescent="0.3">
      <c r="M437" s="941"/>
      <c r="N437" s="941"/>
      <c r="O437" s="941"/>
      <c r="P437" s="941"/>
    </row>
    <row r="438" spans="13:16" ht="15" x14ac:dyDescent="0.3">
      <c r="M438" s="941"/>
      <c r="N438" s="941"/>
      <c r="O438" s="941"/>
      <c r="P438" s="941"/>
    </row>
    <row r="439" spans="13:16" ht="15" x14ac:dyDescent="0.3">
      <c r="M439" s="941"/>
      <c r="N439" s="941"/>
      <c r="O439" s="941"/>
      <c r="P439" s="941"/>
    </row>
    <row r="440" spans="13:16" ht="15" x14ac:dyDescent="0.3">
      <c r="M440" s="941"/>
      <c r="N440" s="941"/>
      <c r="O440" s="941"/>
      <c r="P440" s="941"/>
    </row>
    <row r="441" spans="13:16" ht="15" x14ac:dyDescent="0.3">
      <c r="M441" s="941"/>
      <c r="N441" s="941"/>
      <c r="O441" s="941"/>
      <c r="P441" s="941"/>
    </row>
    <row r="442" spans="13:16" ht="15" x14ac:dyDescent="0.3">
      <c r="M442" s="941"/>
      <c r="N442" s="941"/>
      <c r="O442" s="941"/>
      <c r="P442" s="941"/>
    </row>
    <row r="443" spans="13:16" ht="15" x14ac:dyDescent="0.3">
      <c r="M443" s="941"/>
      <c r="N443" s="941"/>
      <c r="O443" s="941"/>
      <c r="P443" s="941"/>
    </row>
    <row r="444" spans="13:16" ht="15" x14ac:dyDescent="0.3">
      <c r="M444" s="941"/>
      <c r="N444" s="941"/>
      <c r="O444" s="941"/>
      <c r="P444" s="941"/>
    </row>
    <row r="445" spans="13:16" ht="15" x14ac:dyDescent="0.3">
      <c r="M445" s="941"/>
      <c r="N445" s="941"/>
      <c r="O445" s="941"/>
      <c r="P445" s="941"/>
    </row>
    <row r="446" spans="13:16" ht="15" x14ac:dyDescent="0.3">
      <c r="M446" s="941"/>
      <c r="N446" s="941"/>
      <c r="O446" s="941"/>
      <c r="P446" s="941"/>
    </row>
    <row r="447" spans="13:16" ht="15" x14ac:dyDescent="0.3">
      <c r="M447" s="941"/>
      <c r="N447" s="941"/>
      <c r="O447" s="941"/>
      <c r="P447" s="941"/>
    </row>
  </sheetData>
  <mergeCells count="15">
    <mergeCell ref="B6:N6"/>
    <mergeCell ref="B7:N7"/>
    <mergeCell ref="B10:B11"/>
    <mergeCell ref="C10:C11"/>
    <mergeCell ref="D10:D11"/>
    <mergeCell ref="E10:E11"/>
    <mergeCell ref="F10:F11"/>
    <mergeCell ref="G10:G11"/>
    <mergeCell ref="H10:H11"/>
    <mergeCell ref="I10:I11"/>
    <mergeCell ref="J10:J11"/>
    <mergeCell ref="K10:K11"/>
    <mergeCell ref="M10:M11"/>
    <mergeCell ref="N10:N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J145"/>
  <sheetViews>
    <sheetView showGridLines="0" zoomScale="70" zoomScaleNormal="70" zoomScaleSheetLayoutView="80" workbookViewId="0"/>
  </sheetViews>
  <sheetFormatPr baseColWidth="10" defaultColWidth="11.44140625" defaultRowHeight="14.4" x14ac:dyDescent="0.3"/>
  <cols>
    <col min="1" max="1" width="6.44140625" style="9" bestFit="1" customWidth="1"/>
    <col min="2" max="2" width="49" style="843" customWidth="1"/>
    <col min="3" max="18" width="12.44140625" style="843" customWidth="1"/>
    <col min="19" max="19" width="12" style="843" customWidth="1"/>
    <col min="20" max="20" width="15.5546875" style="843" bestFit="1" customWidth="1"/>
    <col min="21" max="21" width="13.5546875" style="843" bestFit="1" customWidth="1"/>
    <col min="22" max="22" width="12.5546875" style="843" bestFit="1" customWidth="1"/>
    <col min="23" max="24" width="13.5546875" style="843" bestFit="1" customWidth="1"/>
    <col min="25" max="34" width="12" style="843" customWidth="1"/>
    <col min="35" max="35" width="18.21875" style="841" bestFit="1" customWidth="1"/>
    <col min="36" max="36" width="14" style="841" customWidth="1"/>
    <col min="37" max="16384" width="11.44140625" style="841"/>
  </cols>
  <sheetData>
    <row r="1" spans="1:36" ht="15" x14ac:dyDescent="0.3">
      <c r="A1" s="1" t="s">
        <v>216</v>
      </c>
      <c r="B1" s="831"/>
      <c r="I1" s="1222"/>
    </row>
    <row r="2" spans="1:36" ht="15" x14ac:dyDescent="0.3">
      <c r="A2" s="946"/>
      <c r="B2" s="4" t="s">
        <v>693</v>
      </c>
      <c r="C2" s="1220"/>
      <c r="D2" s="832"/>
      <c r="E2" s="981"/>
      <c r="F2" s="832"/>
      <c r="G2" s="832"/>
      <c r="H2" s="832"/>
      <c r="I2" s="832"/>
      <c r="J2" s="832"/>
      <c r="K2" s="832"/>
      <c r="L2" s="832"/>
      <c r="M2" s="832"/>
      <c r="N2" s="832"/>
      <c r="O2" s="832"/>
      <c r="P2" s="832"/>
      <c r="Q2" s="832"/>
      <c r="R2" s="832"/>
      <c r="S2" s="832"/>
      <c r="T2" s="972"/>
      <c r="U2" s="832"/>
      <c r="V2" s="832"/>
      <c r="W2" s="832"/>
      <c r="X2" s="832"/>
      <c r="Y2" s="832"/>
      <c r="Z2" s="832"/>
      <c r="AA2" s="832"/>
      <c r="AB2" s="981"/>
      <c r="AC2" s="981"/>
      <c r="AD2" s="981"/>
      <c r="AE2" s="981"/>
      <c r="AF2" s="981"/>
      <c r="AG2" s="981"/>
      <c r="AH2" s="981"/>
    </row>
    <row r="3" spans="1:36" ht="15" x14ac:dyDescent="0.3">
      <c r="A3" s="133"/>
      <c r="B3" s="4" t="s">
        <v>299</v>
      </c>
      <c r="C3" s="832"/>
      <c r="D3" s="832"/>
      <c r="E3" s="1221"/>
      <c r="F3" s="972"/>
      <c r="G3" s="832"/>
      <c r="I3" s="972"/>
      <c r="J3" s="832"/>
      <c r="K3" s="832"/>
      <c r="L3" s="832"/>
      <c r="M3" s="832"/>
      <c r="N3" s="832"/>
      <c r="O3" s="832"/>
      <c r="P3" s="832"/>
      <c r="Q3" s="832"/>
      <c r="R3" s="832"/>
      <c r="S3" s="832"/>
      <c r="T3" s="832"/>
      <c r="U3" s="832"/>
      <c r="V3" s="832"/>
      <c r="W3" s="832"/>
      <c r="X3" s="832"/>
      <c r="Y3" s="832"/>
      <c r="Z3" s="832"/>
      <c r="AA3" s="832"/>
      <c r="AB3" s="832"/>
      <c r="AC3" s="832"/>
      <c r="AD3" s="832"/>
      <c r="AE3" s="832"/>
      <c r="AF3" s="832"/>
      <c r="AG3" s="949"/>
      <c r="AH3" s="949"/>
    </row>
    <row r="4" spans="1:36" s="405" customFormat="1" ht="15" x14ac:dyDescent="0.3">
      <c r="A4" s="9"/>
      <c r="B4" s="843"/>
      <c r="C4" s="948"/>
      <c r="D4" s="948"/>
      <c r="E4" s="948"/>
      <c r="F4" s="948"/>
      <c r="G4" s="948"/>
      <c r="H4" s="843"/>
      <c r="I4" s="1219"/>
      <c r="J4" s="948"/>
      <c r="K4" s="948"/>
      <c r="L4" s="948"/>
      <c r="M4" s="948"/>
      <c r="N4" s="948"/>
      <c r="O4" s="948"/>
      <c r="P4" s="948"/>
      <c r="Q4" s="948"/>
      <c r="R4" s="948"/>
      <c r="S4" s="948"/>
      <c r="T4" s="948"/>
      <c r="U4" s="948"/>
      <c r="V4" s="948"/>
      <c r="W4" s="948"/>
      <c r="X4" s="948"/>
      <c r="Y4" s="948"/>
      <c r="Z4" s="948"/>
      <c r="AA4" s="948"/>
      <c r="AB4" s="948"/>
      <c r="AC4" s="948"/>
      <c r="AD4" s="948"/>
      <c r="AE4" s="948"/>
      <c r="AF4" s="948"/>
      <c r="AG4" s="843"/>
      <c r="AH4" s="843"/>
    </row>
    <row r="5" spans="1:36" s="405" customFormat="1" ht="15" thickBot="1" x14ac:dyDescent="0.35">
      <c r="A5" s="9"/>
      <c r="B5" s="843"/>
      <c r="C5" s="843"/>
      <c r="D5" s="843"/>
      <c r="E5" s="832"/>
      <c r="F5" s="843"/>
      <c r="G5" s="843"/>
      <c r="H5" s="843"/>
      <c r="I5" s="843"/>
      <c r="J5" s="843"/>
      <c r="K5" s="843"/>
      <c r="L5" s="843"/>
      <c r="M5" s="843"/>
      <c r="N5" s="843"/>
      <c r="O5" s="843"/>
      <c r="P5" s="843"/>
      <c r="Q5" s="843"/>
      <c r="R5" s="843"/>
      <c r="S5" s="843"/>
      <c r="T5" s="843"/>
      <c r="U5" s="843"/>
      <c r="V5" s="843"/>
      <c r="W5" s="843"/>
      <c r="X5" s="843"/>
      <c r="Y5" s="843"/>
      <c r="Z5" s="843"/>
      <c r="AA5" s="843"/>
      <c r="AB5" s="843"/>
      <c r="AC5" s="843"/>
      <c r="AD5" s="843"/>
      <c r="AE5" s="843"/>
      <c r="AF5" s="843"/>
      <c r="AG5" s="843"/>
      <c r="AH5" s="843"/>
    </row>
    <row r="6" spans="1:36" s="405" customFormat="1" ht="18.600000000000001" thickBot="1" x14ac:dyDescent="0.35">
      <c r="A6" s="9"/>
      <c r="B6" s="1432" t="s">
        <v>654</v>
      </c>
      <c r="C6" s="1433"/>
      <c r="D6" s="1433"/>
      <c r="E6" s="1433"/>
      <c r="F6" s="1433"/>
      <c r="G6" s="1433"/>
      <c r="H6" s="1433"/>
      <c r="I6" s="1433"/>
      <c r="J6" s="1433"/>
      <c r="K6" s="1433"/>
      <c r="L6" s="1433"/>
      <c r="M6" s="1433"/>
      <c r="N6" s="1433"/>
      <c r="O6" s="1433"/>
      <c r="P6" s="1433"/>
      <c r="Q6" s="1433"/>
      <c r="R6" s="1433"/>
      <c r="S6" s="1433"/>
      <c r="T6" s="1433"/>
      <c r="U6" s="1433"/>
      <c r="V6" s="1433"/>
      <c r="W6" s="1433"/>
      <c r="X6" s="1433"/>
      <c r="Y6" s="1433"/>
      <c r="Z6" s="1433"/>
      <c r="AA6" s="1433"/>
      <c r="AB6" s="1433"/>
      <c r="AC6" s="1433"/>
      <c r="AD6" s="1433"/>
      <c r="AE6" s="1433"/>
      <c r="AF6" s="1433"/>
      <c r="AG6" s="1433"/>
      <c r="AH6" s="1434"/>
    </row>
    <row r="7" spans="1:36" s="405"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row>
    <row r="8" spans="1:36" s="405" customFormat="1" ht="15" thickBot="1" x14ac:dyDescent="0.35">
      <c r="A8" s="10"/>
      <c r="B8" s="59" t="s">
        <v>908</v>
      </c>
      <c r="C8" s="9"/>
      <c r="D8" s="9"/>
      <c r="E8" s="9"/>
      <c r="F8" s="837"/>
      <c r="G8" s="837"/>
      <c r="H8" s="837"/>
      <c r="I8" s="837"/>
      <c r="J8" s="837"/>
      <c r="K8" s="837"/>
      <c r="L8" s="837"/>
      <c r="M8" s="837"/>
      <c r="N8" s="837"/>
      <c r="O8" s="837"/>
      <c r="P8" s="837"/>
      <c r="Q8" s="837"/>
      <c r="R8" s="837"/>
      <c r="S8" s="837"/>
      <c r="T8" s="837"/>
      <c r="U8" s="837"/>
      <c r="V8" s="837"/>
      <c r="W8" s="837"/>
      <c r="X8" s="837"/>
      <c r="Y8" s="837"/>
      <c r="Z8" s="837"/>
      <c r="AA8" s="837"/>
      <c r="AB8" s="837"/>
      <c r="AC8" s="837"/>
      <c r="AD8" s="837"/>
      <c r="AE8" s="837"/>
      <c r="AF8" s="837"/>
      <c r="AG8" s="837"/>
      <c r="AH8" s="837"/>
    </row>
    <row r="9" spans="1:36" s="405" customFormat="1" ht="15.6" thickTop="1" thickBot="1" x14ac:dyDescent="0.35">
      <c r="A9" s="10"/>
      <c r="B9" s="744"/>
      <c r="C9" s="744">
        <v>2022</v>
      </c>
      <c r="D9" s="744">
        <v>2023</v>
      </c>
      <c r="E9" s="744">
        <v>2024</v>
      </c>
      <c r="F9" s="744">
        <v>2025</v>
      </c>
      <c r="G9" s="744">
        <v>2026</v>
      </c>
      <c r="H9" s="744">
        <v>2027</v>
      </c>
      <c r="I9" s="744">
        <v>2028</v>
      </c>
      <c r="J9" s="744">
        <v>2029</v>
      </c>
      <c r="K9" s="744">
        <v>2030</v>
      </c>
      <c r="L9" s="744">
        <v>2031</v>
      </c>
      <c r="M9" s="744">
        <v>2032</v>
      </c>
      <c r="N9" s="744">
        <v>2033</v>
      </c>
      <c r="O9" s="744">
        <v>2034</v>
      </c>
      <c r="P9" s="744">
        <v>2035</v>
      </c>
      <c r="Q9" s="744">
        <v>2036</v>
      </c>
      <c r="R9" s="744">
        <v>2037</v>
      </c>
      <c r="S9" s="744">
        <v>2038</v>
      </c>
      <c r="T9" s="744">
        <v>2039</v>
      </c>
      <c r="U9" s="744">
        <v>2040</v>
      </c>
      <c r="V9" s="744">
        <v>2041</v>
      </c>
      <c r="W9" s="744">
        <v>2042</v>
      </c>
      <c r="X9" s="744">
        <v>2043</v>
      </c>
      <c r="Y9" s="744">
        <v>2044</v>
      </c>
      <c r="Z9" s="744">
        <v>2045</v>
      </c>
      <c r="AA9" s="744">
        <v>2046</v>
      </c>
      <c r="AB9" s="744">
        <v>2047</v>
      </c>
      <c r="AC9" s="744">
        <v>2048</v>
      </c>
      <c r="AD9" s="744">
        <v>2049</v>
      </c>
      <c r="AE9" s="744">
        <v>2050</v>
      </c>
      <c r="AF9" s="744">
        <v>2051</v>
      </c>
      <c r="AG9" s="744" t="s">
        <v>914</v>
      </c>
      <c r="AH9" s="744" t="s">
        <v>287</v>
      </c>
    </row>
    <row r="10" spans="1:36" s="405" customFormat="1" ht="15.6" thickTop="1" thickBot="1" x14ac:dyDescent="0.35">
      <c r="A10" s="10"/>
      <c r="B10" s="59"/>
      <c r="C10" s="950"/>
      <c r="D10" s="950"/>
      <c r="E10" s="950"/>
      <c r="F10" s="950"/>
      <c r="G10" s="950"/>
      <c r="H10" s="950"/>
      <c r="I10" s="950"/>
      <c r="J10" s="950"/>
      <c r="K10" s="950"/>
      <c r="L10" s="950"/>
      <c r="M10" s="950"/>
      <c r="N10" s="950"/>
      <c r="O10" s="950"/>
      <c r="P10" s="950"/>
      <c r="Q10" s="950"/>
      <c r="R10" s="950"/>
      <c r="S10" s="950"/>
      <c r="T10" s="950"/>
      <c r="U10" s="950"/>
      <c r="V10" s="950"/>
      <c r="W10" s="950"/>
      <c r="X10" s="950"/>
      <c r="Y10" s="950"/>
      <c r="Z10" s="950"/>
      <c r="AA10" s="950"/>
      <c r="AB10" s="950"/>
      <c r="AC10" s="950"/>
      <c r="AD10" s="950"/>
      <c r="AE10" s="950"/>
      <c r="AF10" s="950"/>
      <c r="AG10" s="950"/>
      <c r="AH10" s="950"/>
    </row>
    <row r="11" spans="1:36" s="405" customFormat="1" ht="15" thickBot="1" x14ac:dyDescent="0.35">
      <c r="A11" s="10"/>
      <c r="B11" s="1429" t="s">
        <v>621</v>
      </c>
      <c r="C11" s="1430"/>
      <c r="D11" s="1430"/>
      <c r="E11" s="1430"/>
      <c r="F11" s="1430"/>
      <c r="G11" s="1430"/>
      <c r="H11" s="1430"/>
      <c r="I11" s="1430"/>
      <c r="J11" s="1430"/>
      <c r="K11" s="1430"/>
      <c r="L11" s="1430"/>
      <c r="M11" s="1430"/>
      <c r="N11" s="1430"/>
      <c r="O11" s="1430"/>
      <c r="P11" s="1430"/>
      <c r="Q11" s="1430"/>
      <c r="R11" s="1430"/>
      <c r="S11" s="1430"/>
      <c r="T11" s="1430"/>
      <c r="U11" s="1430"/>
      <c r="V11" s="1430"/>
      <c r="W11" s="1430"/>
      <c r="X11" s="1430"/>
      <c r="Y11" s="1430"/>
      <c r="Z11" s="1430"/>
      <c r="AA11" s="1430"/>
      <c r="AB11" s="1430"/>
      <c r="AC11" s="1430"/>
      <c r="AD11" s="1430"/>
      <c r="AE11" s="1430"/>
      <c r="AF11" s="1430"/>
      <c r="AG11" s="1430"/>
      <c r="AH11" s="1431"/>
    </row>
    <row r="12" spans="1:36" ht="15" thickBot="1" x14ac:dyDescent="0.35">
      <c r="A12" s="10"/>
      <c r="B12" s="747"/>
      <c r="C12" s="747"/>
      <c r="D12" s="747"/>
      <c r="E12" s="747"/>
      <c r="F12" s="747"/>
      <c r="G12" s="747"/>
      <c r="H12" s="747"/>
      <c r="I12" s="747"/>
      <c r="J12" s="747"/>
      <c r="K12" s="747"/>
      <c r="L12" s="747"/>
      <c r="M12" s="747"/>
      <c r="N12" s="747"/>
      <c r="O12" s="747"/>
      <c r="P12" s="747"/>
      <c r="Q12" s="747"/>
      <c r="R12" s="747"/>
      <c r="S12" s="747"/>
      <c r="T12" s="747"/>
      <c r="U12" s="747"/>
      <c r="V12" s="747"/>
      <c r="W12" s="747"/>
      <c r="X12" s="747"/>
      <c r="Y12" s="747"/>
      <c r="Z12" s="747"/>
      <c r="AA12" s="747"/>
      <c r="AB12" s="747"/>
      <c r="AC12" s="747"/>
      <c r="AD12" s="747"/>
      <c r="AE12" s="747"/>
      <c r="AF12" s="747"/>
      <c r="AG12" s="747"/>
      <c r="AH12" s="747"/>
    </row>
    <row r="13" spans="1:36" ht="15.6" thickBot="1" x14ac:dyDescent="0.35">
      <c r="A13" s="10"/>
      <c r="B13" s="748" t="s">
        <v>59</v>
      </c>
      <c r="C13" s="749">
        <f t="shared" ref="C13:AG13" si="0">+C14+C15</f>
        <v>92982.489211980777</v>
      </c>
      <c r="D13" s="749">
        <f t="shared" si="0"/>
        <v>51289.155074639202</v>
      </c>
      <c r="E13" s="749">
        <f t="shared" si="0"/>
        <v>28233.188630173398</v>
      </c>
      <c r="F13" s="749">
        <f t="shared" si="0"/>
        <v>21298.772488563234</v>
      </c>
      <c r="G13" s="749">
        <f t="shared" si="0"/>
        <v>10744.83144457502</v>
      </c>
      <c r="H13" s="749">
        <f t="shared" si="0"/>
        <v>10782.926021968748</v>
      </c>
      <c r="I13" s="749">
        <f t="shared" si="0"/>
        <v>11656.353299745517</v>
      </c>
      <c r="J13" s="749">
        <f t="shared" si="0"/>
        <v>16137.597206883078</v>
      </c>
      <c r="K13" s="749">
        <f t="shared" si="0"/>
        <v>10694.402853992149</v>
      </c>
      <c r="L13" s="749">
        <f t="shared" si="0"/>
        <v>27833.498943646682</v>
      </c>
      <c r="M13" s="749">
        <f t="shared" si="0"/>
        <v>13099.876936061968</v>
      </c>
      <c r="N13" s="749">
        <f t="shared" si="0"/>
        <v>12947.487688811583</v>
      </c>
      <c r="O13" s="749">
        <f t="shared" si="0"/>
        <v>12540.432318823568</v>
      </c>
      <c r="P13" s="749">
        <f t="shared" si="0"/>
        <v>12556.528890751792</v>
      </c>
      <c r="Q13" s="749">
        <f t="shared" si="0"/>
        <v>5278.4945185534998</v>
      </c>
      <c r="R13" s="749">
        <f t="shared" si="0"/>
        <v>5161.6748538484972</v>
      </c>
      <c r="S13" s="749">
        <f t="shared" si="0"/>
        <v>4196.4687596822105</v>
      </c>
      <c r="T13" s="749">
        <f t="shared" si="0"/>
        <v>2781.507043693352</v>
      </c>
      <c r="U13" s="749">
        <f t="shared" si="0"/>
        <v>2484.8998576075378</v>
      </c>
      <c r="V13" s="749">
        <f t="shared" si="0"/>
        <v>2328.1839685514133</v>
      </c>
      <c r="W13" s="749">
        <f t="shared" si="0"/>
        <v>1311.0236550497575</v>
      </c>
      <c r="X13" s="749">
        <f t="shared" si="0"/>
        <v>1269.297225178557</v>
      </c>
      <c r="Y13" s="749">
        <f t="shared" si="0"/>
        <v>1177.0282139860744</v>
      </c>
      <c r="Z13" s="749">
        <f t="shared" si="0"/>
        <v>1155.0580391520743</v>
      </c>
      <c r="AA13" s="749">
        <f t="shared" si="0"/>
        <v>285.88902569924863</v>
      </c>
      <c r="AB13" s="749">
        <f t="shared" si="0"/>
        <v>145.7751405905228</v>
      </c>
      <c r="AC13" s="749">
        <f t="shared" si="0"/>
        <v>119.74472530652277</v>
      </c>
      <c r="AD13" s="749">
        <f t="shared" si="0"/>
        <v>89.818409637522748</v>
      </c>
      <c r="AE13" s="749">
        <f t="shared" si="0"/>
        <v>70.70918617452277</v>
      </c>
      <c r="AF13" s="749">
        <f t="shared" si="0"/>
        <v>25.678708185522769</v>
      </c>
      <c r="AG13" s="749">
        <f t="shared" si="0"/>
        <v>9.9518128577615457</v>
      </c>
      <c r="AH13" s="750">
        <f>SUM(C13:AG13)</f>
        <v>360688.74415437109</v>
      </c>
      <c r="AI13" s="875"/>
      <c r="AJ13" s="951"/>
    </row>
    <row r="14" spans="1:36" x14ac:dyDescent="0.3">
      <c r="A14" s="10"/>
      <c r="B14" s="952" t="s">
        <v>60</v>
      </c>
      <c r="C14" s="803">
        <v>34921.031788055559</v>
      </c>
      <c r="D14" s="803">
        <v>0</v>
      </c>
      <c r="E14" s="803">
        <v>0</v>
      </c>
      <c r="F14" s="803">
        <v>0</v>
      </c>
      <c r="G14" s="803">
        <v>0</v>
      </c>
      <c r="H14" s="803">
        <v>0</v>
      </c>
      <c r="I14" s="803">
        <v>0</v>
      </c>
      <c r="J14" s="803">
        <v>0</v>
      </c>
      <c r="K14" s="803">
        <v>0</v>
      </c>
      <c r="L14" s="803">
        <v>0</v>
      </c>
      <c r="M14" s="803">
        <v>0</v>
      </c>
      <c r="N14" s="803">
        <v>0</v>
      </c>
      <c r="O14" s="803">
        <v>0</v>
      </c>
      <c r="P14" s="803">
        <v>0</v>
      </c>
      <c r="Q14" s="803">
        <v>0</v>
      </c>
      <c r="R14" s="803">
        <v>0</v>
      </c>
      <c r="S14" s="803">
        <v>0</v>
      </c>
      <c r="T14" s="803">
        <v>0</v>
      </c>
      <c r="U14" s="803">
        <v>0</v>
      </c>
      <c r="V14" s="803">
        <v>0</v>
      </c>
      <c r="W14" s="803">
        <v>0</v>
      </c>
      <c r="X14" s="803">
        <v>0</v>
      </c>
      <c r="Y14" s="803">
        <v>0</v>
      </c>
      <c r="Z14" s="803">
        <v>0</v>
      </c>
      <c r="AA14" s="803">
        <v>0</v>
      </c>
      <c r="AB14" s="803">
        <v>0</v>
      </c>
      <c r="AC14" s="803">
        <v>0</v>
      </c>
      <c r="AD14" s="803">
        <v>0</v>
      </c>
      <c r="AE14" s="803">
        <v>0</v>
      </c>
      <c r="AF14" s="803">
        <v>0</v>
      </c>
      <c r="AG14" s="803">
        <v>0</v>
      </c>
      <c r="AH14" s="953">
        <f>SUM(C14:AG14)</f>
        <v>34921.031788055559</v>
      </c>
      <c r="AI14" s="875"/>
    </row>
    <row r="15" spans="1:36" x14ac:dyDescent="0.3">
      <c r="A15" s="10"/>
      <c r="B15" s="952" t="s">
        <v>61</v>
      </c>
      <c r="C15" s="803">
        <v>58061.457423925225</v>
      </c>
      <c r="D15" s="803">
        <v>51289.155074639202</v>
      </c>
      <c r="E15" s="803">
        <v>28233.188630173398</v>
      </c>
      <c r="F15" s="803">
        <v>21298.772488563234</v>
      </c>
      <c r="G15" s="803">
        <v>10744.83144457502</v>
      </c>
      <c r="H15" s="803">
        <v>10782.926021968748</v>
      </c>
      <c r="I15" s="803">
        <v>11656.353299745517</v>
      </c>
      <c r="J15" s="803">
        <v>16137.597206883078</v>
      </c>
      <c r="K15" s="803">
        <v>10694.402853992149</v>
      </c>
      <c r="L15" s="803">
        <v>27833.498943646682</v>
      </c>
      <c r="M15" s="803">
        <v>13099.876936061968</v>
      </c>
      <c r="N15" s="803">
        <v>12947.487688811583</v>
      </c>
      <c r="O15" s="803">
        <v>12540.432318823568</v>
      </c>
      <c r="P15" s="803">
        <v>12556.528890751792</v>
      </c>
      <c r="Q15" s="803">
        <v>5278.4945185534998</v>
      </c>
      <c r="R15" s="803">
        <v>5161.6748538484972</v>
      </c>
      <c r="S15" s="803">
        <v>4196.4687596822105</v>
      </c>
      <c r="T15" s="803">
        <v>2781.507043693352</v>
      </c>
      <c r="U15" s="803">
        <v>2484.8998576075378</v>
      </c>
      <c r="V15" s="803">
        <v>2328.1839685514133</v>
      </c>
      <c r="W15" s="803">
        <v>1311.0236550497575</v>
      </c>
      <c r="X15" s="803">
        <v>1269.297225178557</v>
      </c>
      <c r="Y15" s="803">
        <v>1177.0282139860744</v>
      </c>
      <c r="Z15" s="803">
        <v>1155.0580391520743</v>
      </c>
      <c r="AA15" s="803">
        <v>285.88902569924863</v>
      </c>
      <c r="AB15" s="803">
        <v>145.7751405905228</v>
      </c>
      <c r="AC15" s="803">
        <v>119.74472530652277</v>
      </c>
      <c r="AD15" s="803">
        <v>89.818409637522748</v>
      </c>
      <c r="AE15" s="803">
        <v>70.70918617452277</v>
      </c>
      <c r="AF15" s="803">
        <v>25.678708185522769</v>
      </c>
      <c r="AG15" s="803">
        <v>9.9518128577615457</v>
      </c>
      <c r="AH15" s="953">
        <f>SUM(C15:AG15)</f>
        <v>325767.71236631565</v>
      </c>
    </row>
    <row r="16" spans="1:36" ht="15" thickBot="1" x14ac:dyDescent="0.35">
      <c r="A16" s="10"/>
      <c r="B16" s="59"/>
      <c r="C16" s="855"/>
      <c r="D16" s="855"/>
      <c r="E16" s="855"/>
      <c r="F16" s="855"/>
      <c r="G16" s="855"/>
      <c r="H16" s="855"/>
      <c r="I16" s="855"/>
      <c r="J16" s="855"/>
      <c r="K16" s="855"/>
      <c r="L16" s="855"/>
      <c r="M16" s="855"/>
      <c r="N16" s="855"/>
      <c r="O16" s="855"/>
      <c r="P16" s="855"/>
      <c r="Q16" s="855"/>
      <c r="R16" s="855"/>
      <c r="S16" s="855"/>
      <c r="T16" s="855"/>
      <c r="U16" s="855"/>
      <c r="V16" s="855"/>
      <c r="W16" s="855"/>
      <c r="X16" s="855"/>
      <c r="Y16" s="855"/>
      <c r="Z16" s="855"/>
      <c r="AA16" s="855"/>
      <c r="AB16" s="855"/>
      <c r="AC16" s="855"/>
      <c r="AD16" s="855"/>
      <c r="AE16" s="855"/>
      <c r="AF16" s="855"/>
      <c r="AG16" s="855"/>
      <c r="AH16" s="855"/>
    </row>
    <row r="17" spans="1:35" ht="15" thickBot="1" x14ac:dyDescent="0.35">
      <c r="A17" s="10"/>
      <c r="B17" s="754" t="s">
        <v>52</v>
      </c>
      <c r="C17" s="755">
        <f t="shared" ref="C17:AG17" si="1">+C18+C23+C25+C30+C31+C36</f>
        <v>24705.393019778621</v>
      </c>
      <c r="D17" s="755">
        <f t="shared" si="1"/>
        <v>20852.672936411553</v>
      </c>
      <c r="E17" s="755">
        <f t="shared" si="1"/>
        <v>7065.5021108311266</v>
      </c>
      <c r="F17" s="755">
        <f t="shared" si="1"/>
        <v>2235.5545933828216</v>
      </c>
      <c r="G17" s="755">
        <f t="shared" si="1"/>
        <v>2099.3174585737806</v>
      </c>
      <c r="H17" s="755">
        <f t="shared" si="1"/>
        <v>3031.5511615219766</v>
      </c>
      <c r="I17" s="755">
        <f t="shared" si="1"/>
        <v>2030.0317057350037</v>
      </c>
      <c r="J17" s="755">
        <f t="shared" si="1"/>
        <v>1949.3825848726076</v>
      </c>
      <c r="K17" s="755">
        <f t="shared" si="1"/>
        <v>1864.6239313269762</v>
      </c>
      <c r="L17" s="755">
        <f t="shared" si="1"/>
        <v>2347.7418438952936</v>
      </c>
      <c r="M17" s="755">
        <f t="shared" si="1"/>
        <v>1381.3072703818327</v>
      </c>
      <c r="N17" s="755">
        <f t="shared" si="1"/>
        <v>1228.9180231314467</v>
      </c>
      <c r="O17" s="755">
        <f t="shared" si="1"/>
        <v>1178.198188644893</v>
      </c>
      <c r="P17" s="755">
        <f t="shared" si="1"/>
        <v>1192.9677385031177</v>
      </c>
      <c r="Q17" s="755">
        <f t="shared" si="1"/>
        <v>1057.3422632981553</v>
      </c>
      <c r="R17" s="755">
        <f t="shared" si="1"/>
        <v>940.48238580315524</v>
      </c>
      <c r="S17" s="755">
        <f t="shared" si="1"/>
        <v>775.56790684667976</v>
      </c>
      <c r="T17" s="755">
        <f t="shared" si="1"/>
        <v>546.44574926037615</v>
      </c>
      <c r="U17" s="755">
        <f t="shared" si="1"/>
        <v>433.58263817455946</v>
      </c>
      <c r="V17" s="755">
        <f t="shared" si="1"/>
        <v>384.9173991184328</v>
      </c>
      <c r="W17" s="755">
        <f t="shared" si="1"/>
        <v>357.36620982225429</v>
      </c>
      <c r="X17" s="755">
        <f t="shared" si="1"/>
        <v>321.26477995105364</v>
      </c>
      <c r="Y17" s="755">
        <f t="shared" si="1"/>
        <v>228.99576875857144</v>
      </c>
      <c r="Z17" s="755">
        <f t="shared" si="1"/>
        <v>207.02559392457144</v>
      </c>
      <c r="AA17" s="755">
        <f t="shared" si="1"/>
        <v>177.89165932357145</v>
      </c>
      <c r="AB17" s="755">
        <f t="shared" si="1"/>
        <v>145.68935337057144</v>
      </c>
      <c r="AC17" s="755">
        <f t="shared" si="1"/>
        <v>119.65893808657142</v>
      </c>
      <c r="AD17" s="755">
        <f t="shared" si="1"/>
        <v>89.732622417571434</v>
      </c>
      <c r="AE17" s="755">
        <f t="shared" si="1"/>
        <v>70.623398954571428</v>
      </c>
      <c r="AF17" s="755">
        <f t="shared" si="1"/>
        <v>25.592920965571427</v>
      </c>
      <c r="AG17" s="755">
        <f t="shared" si="1"/>
        <v>4.9761541000000005</v>
      </c>
      <c r="AH17" s="780">
        <f t="shared" ref="AH17:AH35" si="2">SUM(C17:AG17)</f>
        <v>79050.318309167327</v>
      </c>
    </row>
    <row r="18" spans="1:35" x14ac:dyDescent="0.3">
      <c r="A18" s="10"/>
      <c r="B18" s="806" t="s">
        <v>62</v>
      </c>
      <c r="C18" s="757">
        <f t="shared" ref="C18:AG18" si="3">SUM(C19:C22)</f>
        <v>19333.589012975623</v>
      </c>
      <c r="D18" s="757">
        <f t="shared" si="3"/>
        <v>20331.368504952734</v>
      </c>
      <c r="E18" s="757">
        <f t="shared" si="3"/>
        <v>6629.8601647833366</v>
      </c>
      <c r="F18" s="757">
        <f t="shared" si="3"/>
        <v>1816.1920187397611</v>
      </c>
      <c r="G18" s="757">
        <f t="shared" si="3"/>
        <v>1691.1607825826716</v>
      </c>
      <c r="H18" s="757">
        <f t="shared" si="3"/>
        <v>1677.9174042086588</v>
      </c>
      <c r="I18" s="757">
        <f t="shared" si="3"/>
        <v>1626.4307999373473</v>
      </c>
      <c r="J18" s="757">
        <f t="shared" si="3"/>
        <v>1564.0418905719998</v>
      </c>
      <c r="K18" s="757">
        <f t="shared" si="3"/>
        <v>1522.0172880219998</v>
      </c>
      <c r="L18" s="757">
        <f t="shared" si="3"/>
        <v>1471.302886528</v>
      </c>
      <c r="M18" s="757">
        <f t="shared" si="3"/>
        <v>1299.298849648</v>
      </c>
      <c r="N18" s="757">
        <f t="shared" si="3"/>
        <v>1180.3096020939997</v>
      </c>
      <c r="O18" s="757">
        <f t="shared" si="3"/>
        <v>1134.0686584529997</v>
      </c>
      <c r="P18" s="757">
        <f t="shared" si="3"/>
        <v>1065.8617709859998</v>
      </c>
      <c r="Q18" s="757">
        <f t="shared" si="3"/>
        <v>1013.754836703</v>
      </c>
      <c r="R18" s="757">
        <f t="shared" si="3"/>
        <v>896.89495920799993</v>
      </c>
      <c r="S18" s="757">
        <f t="shared" si="3"/>
        <v>713.05050244000017</v>
      </c>
      <c r="T18" s="757">
        <f t="shared" si="3"/>
        <v>541.71861533200001</v>
      </c>
      <c r="U18" s="757">
        <f t="shared" si="3"/>
        <v>429.85584131999997</v>
      </c>
      <c r="V18" s="757">
        <f t="shared" si="3"/>
        <v>381.19190537857151</v>
      </c>
      <c r="W18" s="757">
        <f t="shared" si="3"/>
        <v>355.16687347457145</v>
      </c>
      <c r="X18" s="757">
        <f t="shared" si="3"/>
        <v>320.17685376857145</v>
      </c>
      <c r="Y18" s="757">
        <f t="shared" si="3"/>
        <v>228.99576875857144</v>
      </c>
      <c r="Z18" s="757">
        <f t="shared" si="3"/>
        <v>207.02559392457144</v>
      </c>
      <c r="AA18" s="757">
        <f t="shared" si="3"/>
        <v>177.89165932357145</v>
      </c>
      <c r="AB18" s="757">
        <f t="shared" si="3"/>
        <v>145.68935337057144</v>
      </c>
      <c r="AC18" s="757">
        <f t="shared" si="3"/>
        <v>119.65893808657142</v>
      </c>
      <c r="AD18" s="757">
        <f t="shared" si="3"/>
        <v>89.732622417571434</v>
      </c>
      <c r="AE18" s="757">
        <f t="shared" si="3"/>
        <v>70.623398954571428</v>
      </c>
      <c r="AF18" s="757">
        <f t="shared" si="3"/>
        <v>25.592920965571427</v>
      </c>
      <c r="AG18" s="757">
        <f t="shared" si="3"/>
        <v>4.9761541000000005</v>
      </c>
      <c r="AH18" s="757">
        <f t="shared" si="2"/>
        <v>68065.416432009442</v>
      </c>
      <c r="AI18" s="853"/>
    </row>
    <row r="19" spans="1:35" x14ac:dyDescent="0.3">
      <c r="A19" s="10"/>
      <c r="B19" s="774" t="s">
        <v>63</v>
      </c>
      <c r="C19" s="759">
        <v>306.30295284570002</v>
      </c>
      <c r="D19" s="759">
        <v>283.52650421599998</v>
      </c>
      <c r="E19" s="759">
        <v>308.43828725300006</v>
      </c>
      <c r="F19" s="759">
        <v>320.70479933800004</v>
      </c>
      <c r="G19" s="759">
        <v>387.06984548400004</v>
      </c>
      <c r="H19" s="759">
        <v>425.97112789800008</v>
      </c>
      <c r="I19" s="759">
        <v>427.4592613480001</v>
      </c>
      <c r="J19" s="759">
        <v>428.2274272680001</v>
      </c>
      <c r="K19" s="759">
        <v>428.2274272680001</v>
      </c>
      <c r="L19" s="759">
        <v>428.2274272680001</v>
      </c>
      <c r="M19" s="759">
        <v>428.2274272680001</v>
      </c>
      <c r="N19" s="759">
        <v>428.2274272680001</v>
      </c>
      <c r="O19" s="759">
        <v>428.2274272680001</v>
      </c>
      <c r="P19" s="759">
        <v>428.2274272680001</v>
      </c>
      <c r="Q19" s="759">
        <v>428.40693179800007</v>
      </c>
      <c r="R19" s="759">
        <v>393.82176270800005</v>
      </c>
      <c r="S19" s="759">
        <v>309.88975886000003</v>
      </c>
      <c r="T19" s="759">
        <v>245.51281760200004</v>
      </c>
      <c r="U19" s="759">
        <v>178.48311817000004</v>
      </c>
      <c r="V19" s="759">
        <v>176.14377094857144</v>
      </c>
      <c r="W19" s="759">
        <v>176.14377094857144</v>
      </c>
      <c r="X19" s="759">
        <v>176.14377094857144</v>
      </c>
      <c r="Y19" s="759">
        <v>176.14377094857144</v>
      </c>
      <c r="Z19" s="759">
        <v>176.39930075457144</v>
      </c>
      <c r="AA19" s="759">
        <v>166.96602176357143</v>
      </c>
      <c r="AB19" s="759">
        <v>145.68935337057144</v>
      </c>
      <c r="AC19" s="759">
        <v>119.65893808657142</v>
      </c>
      <c r="AD19" s="759">
        <v>89.732622417571434</v>
      </c>
      <c r="AE19" s="759">
        <v>70.623398954571428</v>
      </c>
      <c r="AF19" s="759">
        <v>25.592920965571427</v>
      </c>
      <c r="AG19" s="759">
        <v>4.9761541000000005</v>
      </c>
      <c r="AH19" s="759">
        <f t="shared" si="2"/>
        <v>8517.3929526039883</v>
      </c>
    </row>
    <row r="20" spans="1:35" x14ac:dyDescent="0.3">
      <c r="A20" s="10"/>
      <c r="B20" s="807" t="s">
        <v>64</v>
      </c>
      <c r="C20" s="769">
        <v>839.87022565099994</v>
      </c>
      <c r="D20" s="769">
        <v>864.30769075399985</v>
      </c>
      <c r="E20" s="769">
        <v>963.46888050899997</v>
      </c>
      <c r="F20" s="769">
        <v>951.92379183399976</v>
      </c>
      <c r="G20" s="769">
        <v>946.10736364399963</v>
      </c>
      <c r="H20" s="769">
        <v>916.62922123399983</v>
      </c>
      <c r="I20" s="761">
        <v>916.62922130399988</v>
      </c>
      <c r="J20" s="769">
        <v>885.47976013399978</v>
      </c>
      <c r="K20" s="769">
        <v>885.47976013399978</v>
      </c>
      <c r="L20" s="769">
        <v>869.56802436999988</v>
      </c>
      <c r="M20" s="769">
        <v>738.15897984199978</v>
      </c>
      <c r="N20" s="769">
        <v>651.53777744999957</v>
      </c>
      <c r="O20" s="769">
        <v>609.32351000999972</v>
      </c>
      <c r="P20" s="769">
        <v>554.30910211999969</v>
      </c>
      <c r="Q20" s="769">
        <v>520.46982084999991</v>
      </c>
      <c r="R20" s="769">
        <v>468.12801444999991</v>
      </c>
      <c r="S20" s="769">
        <v>368.28222810000005</v>
      </c>
      <c r="T20" s="769">
        <v>264.59009578999996</v>
      </c>
      <c r="U20" s="769">
        <v>223.01983500999995</v>
      </c>
      <c r="V20" s="769">
        <v>196.83317716000005</v>
      </c>
      <c r="W20" s="769">
        <v>179.023102526</v>
      </c>
      <c r="X20" s="769">
        <v>144.03308282</v>
      </c>
      <c r="Y20" s="769">
        <v>52.851997810000007</v>
      </c>
      <c r="Z20" s="769">
        <v>30.626293170000004</v>
      </c>
      <c r="AA20" s="769">
        <v>10.92563756</v>
      </c>
      <c r="AB20" s="769">
        <v>0</v>
      </c>
      <c r="AC20" s="769">
        <v>0</v>
      </c>
      <c r="AD20" s="769">
        <v>0</v>
      </c>
      <c r="AE20" s="769">
        <v>0</v>
      </c>
      <c r="AF20" s="769">
        <v>0</v>
      </c>
      <c r="AG20" s="769">
        <v>0</v>
      </c>
      <c r="AH20" s="761">
        <f t="shared" si="2"/>
        <v>14051.576594235996</v>
      </c>
    </row>
    <row r="21" spans="1:35" x14ac:dyDescent="0.3">
      <c r="A21" s="10"/>
      <c r="B21" s="763" t="s">
        <v>578</v>
      </c>
      <c r="C21" s="808">
        <v>17556.829951014694</v>
      </c>
      <c r="D21" s="808">
        <v>18619.212736179146</v>
      </c>
      <c r="E21" s="808">
        <v>4776.0671798460453</v>
      </c>
      <c r="F21" s="808">
        <v>0</v>
      </c>
      <c r="G21" s="808">
        <v>0</v>
      </c>
      <c r="H21" s="808">
        <v>0</v>
      </c>
      <c r="I21" s="762">
        <v>0</v>
      </c>
      <c r="J21" s="808">
        <v>0</v>
      </c>
      <c r="K21" s="808">
        <v>0</v>
      </c>
      <c r="L21" s="808">
        <v>0</v>
      </c>
      <c r="M21" s="808">
        <v>0</v>
      </c>
      <c r="N21" s="808">
        <v>0</v>
      </c>
      <c r="O21" s="808">
        <v>0</v>
      </c>
      <c r="P21" s="808">
        <v>0</v>
      </c>
      <c r="Q21" s="808">
        <v>0</v>
      </c>
      <c r="R21" s="808">
        <v>0</v>
      </c>
      <c r="S21" s="808">
        <v>0</v>
      </c>
      <c r="T21" s="808">
        <v>0</v>
      </c>
      <c r="U21" s="808">
        <v>0</v>
      </c>
      <c r="V21" s="808">
        <v>0</v>
      </c>
      <c r="W21" s="808">
        <v>0</v>
      </c>
      <c r="X21" s="808">
        <v>0</v>
      </c>
      <c r="Y21" s="808">
        <v>0</v>
      </c>
      <c r="Z21" s="808">
        <v>0</v>
      </c>
      <c r="AA21" s="808">
        <v>0</v>
      </c>
      <c r="AB21" s="808">
        <v>0</v>
      </c>
      <c r="AC21" s="808">
        <v>0</v>
      </c>
      <c r="AD21" s="808">
        <v>0</v>
      </c>
      <c r="AE21" s="808">
        <v>0</v>
      </c>
      <c r="AF21" s="808">
        <v>0</v>
      </c>
      <c r="AG21" s="808">
        <v>0</v>
      </c>
      <c r="AH21" s="761">
        <f t="shared" si="2"/>
        <v>40952.109867039886</v>
      </c>
    </row>
    <row r="22" spans="1:35" x14ac:dyDescent="0.3">
      <c r="A22" s="10"/>
      <c r="B22" s="763" t="s">
        <v>65</v>
      </c>
      <c r="C22" s="808">
        <v>630.58588346422903</v>
      </c>
      <c r="D22" s="808">
        <v>564.32157380358694</v>
      </c>
      <c r="E22" s="808">
        <v>581.88581717529053</v>
      </c>
      <c r="F22" s="808">
        <v>543.56342756776144</v>
      </c>
      <c r="G22" s="808">
        <v>357.98357345467178</v>
      </c>
      <c r="H22" s="808">
        <v>335.31705507665913</v>
      </c>
      <c r="I22" s="762">
        <v>282.34231728534712</v>
      </c>
      <c r="J22" s="808">
        <v>250.33470317000004</v>
      </c>
      <c r="K22" s="808">
        <v>208.31010062000007</v>
      </c>
      <c r="L22" s="808">
        <v>173.50743489000001</v>
      </c>
      <c r="M22" s="808">
        <v>132.91244253799996</v>
      </c>
      <c r="N22" s="808">
        <v>100.54439737600001</v>
      </c>
      <c r="O22" s="808">
        <v>96.517721175000005</v>
      </c>
      <c r="P22" s="808">
        <v>83.325241598000019</v>
      </c>
      <c r="Q22" s="808">
        <v>64.878084055000002</v>
      </c>
      <c r="R22" s="808">
        <v>34.94518205</v>
      </c>
      <c r="S22" s="808">
        <v>34.878515479999997</v>
      </c>
      <c r="T22" s="808">
        <v>31.615701940000001</v>
      </c>
      <c r="U22" s="808">
        <v>28.352888140000005</v>
      </c>
      <c r="V22" s="808">
        <v>8.2149572699999993</v>
      </c>
      <c r="W22" s="808">
        <v>0</v>
      </c>
      <c r="X22" s="808">
        <v>0</v>
      </c>
      <c r="Y22" s="808">
        <v>0</v>
      </c>
      <c r="Z22" s="808">
        <v>0</v>
      </c>
      <c r="AA22" s="808">
        <v>0</v>
      </c>
      <c r="AB22" s="808">
        <v>0</v>
      </c>
      <c r="AC22" s="808">
        <v>0</v>
      </c>
      <c r="AD22" s="808">
        <v>0</v>
      </c>
      <c r="AE22" s="808">
        <v>0</v>
      </c>
      <c r="AF22" s="808">
        <v>0</v>
      </c>
      <c r="AG22" s="808">
        <v>0</v>
      </c>
      <c r="AH22" s="762">
        <f t="shared" si="2"/>
        <v>4544.337018129544</v>
      </c>
    </row>
    <row r="23" spans="1:35" x14ac:dyDescent="0.3">
      <c r="A23" s="10"/>
      <c r="B23" s="784" t="s">
        <v>66</v>
      </c>
      <c r="C23" s="765">
        <f t="shared" ref="C23:AG23" si="4">SUM(C24:C24)</f>
        <v>0</v>
      </c>
      <c r="D23" s="765">
        <f t="shared" si="4"/>
        <v>0</v>
      </c>
      <c r="E23" s="765">
        <f t="shared" si="4"/>
        <v>0</v>
      </c>
      <c r="F23" s="765">
        <f t="shared" si="4"/>
        <v>0</v>
      </c>
      <c r="G23" s="765">
        <f t="shared" si="4"/>
        <v>0</v>
      </c>
      <c r="H23" s="765">
        <f t="shared" si="4"/>
        <v>152.10065328513545</v>
      </c>
      <c r="I23" s="765">
        <f t="shared" si="4"/>
        <v>0</v>
      </c>
      <c r="J23" s="765">
        <f t="shared" si="4"/>
        <v>0</v>
      </c>
      <c r="K23" s="765">
        <f t="shared" si="4"/>
        <v>41.252208193339101</v>
      </c>
      <c r="L23" s="765">
        <f t="shared" si="4"/>
        <v>557.6625072488622</v>
      </c>
      <c r="M23" s="765">
        <f t="shared" si="4"/>
        <v>0</v>
      </c>
      <c r="N23" s="765">
        <f t="shared" si="4"/>
        <v>0</v>
      </c>
      <c r="O23" s="765">
        <f t="shared" si="4"/>
        <v>0</v>
      </c>
      <c r="P23" s="765">
        <f t="shared" si="4"/>
        <v>0</v>
      </c>
      <c r="Q23" s="765">
        <f t="shared" si="4"/>
        <v>0</v>
      </c>
      <c r="R23" s="765">
        <f t="shared" si="4"/>
        <v>0</v>
      </c>
      <c r="S23" s="765">
        <f t="shared" si="4"/>
        <v>0</v>
      </c>
      <c r="T23" s="765">
        <f t="shared" si="4"/>
        <v>0</v>
      </c>
      <c r="U23" s="765">
        <f t="shared" si="4"/>
        <v>0</v>
      </c>
      <c r="V23" s="765">
        <f t="shared" si="4"/>
        <v>0</v>
      </c>
      <c r="W23" s="765">
        <f t="shared" si="4"/>
        <v>0</v>
      </c>
      <c r="X23" s="765">
        <f t="shared" si="4"/>
        <v>0</v>
      </c>
      <c r="Y23" s="765">
        <f t="shared" si="4"/>
        <v>0</v>
      </c>
      <c r="Z23" s="765">
        <f t="shared" si="4"/>
        <v>0</v>
      </c>
      <c r="AA23" s="765">
        <f t="shared" si="4"/>
        <v>0</v>
      </c>
      <c r="AB23" s="765">
        <f t="shared" si="4"/>
        <v>0</v>
      </c>
      <c r="AC23" s="765">
        <f t="shared" si="4"/>
        <v>0</v>
      </c>
      <c r="AD23" s="765">
        <f t="shared" si="4"/>
        <v>0</v>
      </c>
      <c r="AE23" s="765">
        <f t="shared" si="4"/>
        <v>0</v>
      </c>
      <c r="AF23" s="765">
        <f t="shared" si="4"/>
        <v>0</v>
      </c>
      <c r="AG23" s="765">
        <f t="shared" si="4"/>
        <v>0</v>
      </c>
      <c r="AH23" s="773">
        <f t="shared" si="2"/>
        <v>751.01536872733675</v>
      </c>
    </row>
    <row r="24" spans="1:35" x14ac:dyDescent="0.3">
      <c r="A24" s="10"/>
      <c r="B24" s="774" t="s">
        <v>67</v>
      </c>
      <c r="C24" s="766">
        <v>0</v>
      </c>
      <c r="D24" s="766">
        <v>0</v>
      </c>
      <c r="E24" s="766">
        <v>0</v>
      </c>
      <c r="F24" s="766">
        <v>0</v>
      </c>
      <c r="G24" s="766">
        <v>0</v>
      </c>
      <c r="H24" s="766">
        <v>152.10065328513545</v>
      </c>
      <c r="I24" s="759">
        <v>0</v>
      </c>
      <c r="J24" s="766">
        <v>0</v>
      </c>
      <c r="K24" s="766">
        <v>41.252208193339101</v>
      </c>
      <c r="L24" s="766">
        <v>557.6625072488622</v>
      </c>
      <c r="M24" s="766">
        <v>0</v>
      </c>
      <c r="N24" s="766">
        <v>0</v>
      </c>
      <c r="O24" s="766">
        <v>0</v>
      </c>
      <c r="P24" s="766">
        <v>0</v>
      </c>
      <c r="Q24" s="766">
        <v>0</v>
      </c>
      <c r="R24" s="766">
        <v>0</v>
      </c>
      <c r="S24" s="766">
        <v>0</v>
      </c>
      <c r="T24" s="766">
        <v>0</v>
      </c>
      <c r="U24" s="766">
        <v>0</v>
      </c>
      <c r="V24" s="766">
        <v>0</v>
      </c>
      <c r="W24" s="766">
        <v>0</v>
      </c>
      <c r="X24" s="766">
        <v>0</v>
      </c>
      <c r="Y24" s="766">
        <v>0</v>
      </c>
      <c r="Z24" s="766">
        <v>0</v>
      </c>
      <c r="AA24" s="766">
        <v>0</v>
      </c>
      <c r="AB24" s="766">
        <v>0</v>
      </c>
      <c r="AC24" s="766">
        <v>0</v>
      </c>
      <c r="AD24" s="766">
        <v>0</v>
      </c>
      <c r="AE24" s="766">
        <v>0</v>
      </c>
      <c r="AF24" s="766">
        <v>0</v>
      </c>
      <c r="AG24" s="766">
        <v>0</v>
      </c>
      <c r="AH24" s="759">
        <f t="shared" si="2"/>
        <v>751.01536872733675</v>
      </c>
    </row>
    <row r="25" spans="1:35" x14ac:dyDescent="0.3">
      <c r="A25" s="10"/>
      <c r="B25" s="784" t="s">
        <v>68</v>
      </c>
      <c r="C25" s="765">
        <f t="shared" ref="C25:AG25" si="5">+C26+C28</f>
        <v>2160.533205119209</v>
      </c>
      <c r="D25" s="765">
        <f t="shared" si="5"/>
        <v>67.9781231095713</v>
      </c>
      <c r="E25" s="765">
        <f t="shared" si="5"/>
        <v>67.945214804858395</v>
      </c>
      <c r="F25" s="765">
        <f t="shared" si="5"/>
        <v>64.041930693479657</v>
      </c>
      <c r="G25" s="765">
        <f t="shared" si="5"/>
        <v>62.182382987027395</v>
      </c>
      <c r="H25" s="765">
        <f t="shared" si="5"/>
        <v>55.766292145049448</v>
      </c>
      <c r="I25" s="765">
        <f t="shared" si="5"/>
        <v>25.074766624985791</v>
      </c>
      <c r="J25" s="765">
        <f t="shared" si="5"/>
        <v>14.703806820506991</v>
      </c>
      <c r="K25" s="765">
        <f t="shared" si="5"/>
        <v>7.6065874388996253</v>
      </c>
      <c r="L25" s="765">
        <f t="shared" si="5"/>
        <v>4.1697067181993859</v>
      </c>
      <c r="M25" s="765">
        <f t="shared" si="5"/>
        <v>0</v>
      </c>
      <c r="N25" s="765">
        <f t="shared" si="5"/>
        <v>0</v>
      </c>
      <c r="O25" s="765">
        <f t="shared" si="5"/>
        <v>0</v>
      </c>
      <c r="P25" s="765">
        <f t="shared" si="5"/>
        <v>0</v>
      </c>
      <c r="Q25" s="765">
        <f t="shared" si="5"/>
        <v>0</v>
      </c>
      <c r="R25" s="765">
        <f t="shared" si="5"/>
        <v>0</v>
      </c>
      <c r="S25" s="765">
        <f t="shared" si="5"/>
        <v>0</v>
      </c>
      <c r="T25" s="765">
        <f t="shared" si="5"/>
        <v>0</v>
      </c>
      <c r="U25" s="765">
        <f t="shared" si="5"/>
        <v>0</v>
      </c>
      <c r="V25" s="765">
        <f t="shared" si="5"/>
        <v>0</v>
      </c>
      <c r="W25" s="765">
        <f t="shared" si="5"/>
        <v>0</v>
      </c>
      <c r="X25" s="765">
        <f t="shared" si="5"/>
        <v>0</v>
      </c>
      <c r="Y25" s="765">
        <f t="shared" si="5"/>
        <v>0</v>
      </c>
      <c r="Z25" s="765">
        <f t="shared" si="5"/>
        <v>0</v>
      </c>
      <c r="AA25" s="765">
        <f t="shared" si="5"/>
        <v>0</v>
      </c>
      <c r="AB25" s="765">
        <f t="shared" si="5"/>
        <v>0</v>
      </c>
      <c r="AC25" s="765">
        <f t="shared" si="5"/>
        <v>0</v>
      </c>
      <c r="AD25" s="765">
        <f t="shared" si="5"/>
        <v>0</v>
      </c>
      <c r="AE25" s="765">
        <f t="shared" si="5"/>
        <v>0</v>
      </c>
      <c r="AF25" s="765">
        <f t="shared" si="5"/>
        <v>0</v>
      </c>
      <c r="AG25" s="765">
        <f t="shared" si="5"/>
        <v>0</v>
      </c>
      <c r="AH25" s="773">
        <f t="shared" si="2"/>
        <v>2530.0020164617872</v>
      </c>
    </row>
    <row r="26" spans="1:35" x14ac:dyDescent="0.3">
      <c r="A26" s="10"/>
      <c r="B26" s="807" t="s">
        <v>71</v>
      </c>
      <c r="C26" s="769">
        <f>+C27</f>
        <v>2092.4574209245739</v>
      </c>
      <c r="D26" s="769">
        <f t="shared" ref="D26:AG26" si="6">+D27</f>
        <v>0</v>
      </c>
      <c r="E26" s="769">
        <f t="shared" si="6"/>
        <v>0</v>
      </c>
      <c r="F26" s="769">
        <f t="shared" si="6"/>
        <v>0</v>
      </c>
      <c r="G26" s="769">
        <f t="shared" si="6"/>
        <v>0</v>
      </c>
      <c r="H26" s="769">
        <f t="shared" si="6"/>
        <v>0</v>
      </c>
      <c r="I26" s="769">
        <f t="shared" si="6"/>
        <v>0</v>
      </c>
      <c r="J26" s="769">
        <f t="shared" si="6"/>
        <v>0</v>
      </c>
      <c r="K26" s="769">
        <f t="shared" si="6"/>
        <v>0</v>
      </c>
      <c r="L26" s="769">
        <f t="shared" si="6"/>
        <v>0</v>
      </c>
      <c r="M26" s="769">
        <f t="shared" si="6"/>
        <v>0</v>
      </c>
      <c r="N26" s="769">
        <f t="shared" si="6"/>
        <v>0</v>
      </c>
      <c r="O26" s="769">
        <f t="shared" si="6"/>
        <v>0</v>
      </c>
      <c r="P26" s="769">
        <f t="shared" si="6"/>
        <v>0</v>
      </c>
      <c r="Q26" s="769">
        <f t="shared" si="6"/>
        <v>0</v>
      </c>
      <c r="R26" s="769">
        <f t="shared" si="6"/>
        <v>0</v>
      </c>
      <c r="S26" s="769">
        <f t="shared" si="6"/>
        <v>0</v>
      </c>
      <c r="T26" s="769">
        <f t="shared" si="6"/>
        <v>0</v>
      </c>
      <c r="U26" s="769">
        <f t="shared" si="6"/>
        <v>0</v>
      </c>
      <c r="V26" s="769">
        <f t="shared" si="6"/>
        <v>0</v>
      </c>
      <c r="W26" s="769">
        <f t="shared" si="6"/>
        <v>0</v>
      </c>
      <c r="X26" s="769">
        <f t="shared" si="6"/>
        <v>0</v>
      </c>
      <c r="Y26" s="769">
        <f t="shared" si="6"/>
        <v>0</v>
      </c>
      <c r="Z26" s="769">
        <f t="shared" si="6"/>
        <v>0</v>
      </c>
      <c r="AA26" s="769">
        <f t="shared" si="6"/>
        <v>0</v>
      </c>
      <c r="AB26" s="769">
        <f t="shared" si="6"/>
        <v>0</v>
      </c>
      <c r="AC26" s="769">
        <f t="shared" si="6"/>
        <v>0</v>
      </c>
      <c r="AD26" s="769">
        <f t="shared" si="6"/>
        <v>0</v>
      </c>
      <c r="AE26" s="769">
        <f t="shared" si="6"/>
        <v>0</v>
      </c>
      <c r="AF26" s="769">
        <f t="shared" si="6"/>
        <v>0</v>
      </c>
      <c r="AG26" s="769">
        <f t="shared" si="6"/>
        <v>0</v>
      </c>
      <c r="AH26" s="761">
        <f t="shared" si="2"/>
        <v>2092.4574209245739</v>
      </c>
    </row>
    <row r="27" spans="1:35" x14ac:dyDescent="0.3">
      <c r="A27" s="10"/>
      <c r="B27" s="763" t="s">
        <v>599</v>
      </c>
      <c r="C27" s="954">
        <v>2092.4574209245739</v>
      </c>
      <c r="D27" s="955">
        <v>0</v>
      </c>
      <c r="E27" s="954">
        <v>0</v>
      </c>
      <c r="F27" s="954">
        <v>0</v>
      </c>
      <c r="G27" s="954">
        <v>0</v>
      </c>
      <c r="H27" s="954">
        <v>0</v>
      </c>
      <c r="I27" s="954">
        <v>0</v>
      </c>
      <c r="J27" s="954">
        <v>0</v>
      </c>
      <c r="K27" s="956">
        <v>0</v>
      </c>
      <c r="L27" s="954">
        <v>0</v>
      </c>
      <c r="M27" s="954">
        <v>0</v>
      </c>
      <c r="N27" s="954">
        <v>0</v>
      </c>
      <c r="O27" s="954">
        <v>0</v>
      </c>
      <c r="P27" s="954">
        <v>0</v>
      </c>
      <c r="Q27" s="954">
        <v>0</v>
      </c>
      <c r="R27" s="954">
        <v>0</v>
      </c>
      <c r="S27" s="954">
        <v>0</v>
      </c>
      <c r="T27" s="954">
        <v>0</v>
      </c>
      <c r="U27" s="954">
        <v>0</v>
      </c>
      <c r="V27" s="954">
        <v>0</v>
      </c>
      <c r="W27" s="954">
        <v>0</v>
      </c>
      <c r="X27" s="954">
        <v>0</v>
      </c>
      <c r="Y27" s="954">
        <v>0</v>
      </c>
      <c r="Z27" s="954">
        <v>0</v>
      </c>
      <c r="AA27" s="954">
        <v>0</v>
      </c>
      <c r="AB27" s="954">
        <v>0</v>
      </c>
      <c r="AC27" s="954">
        <v>0</v>
      </c>
      <c r="AD27" s="954">
        <v>0</v>
      </c>
      <c r="AE27" s="954">
        <v>0</v>
      </c>
      <c r="AF27" s="954">
        <v>0</v>
      </c>
      <c r="AG27" s="954">
        <v>0</v>
      </c>
      <c r="AH27" s="762">
        <f t="shared" si="2"/>
        <v>2092.4574209245739</v>
      </c>
    </row>
    <row r="28" spans="1:35" x14ac:dyDescent="0.3">
      <c r="A28" s="10"/>
      <c r="B28" s="807" t="s">
        <v>69</v>
      </c>
      <c r="C28" s="769">
        <f t="shared" ref="C28:AG28" si="7">+C29</f>
        <v>68.075784194635347</v>
      </c>
      <c r="D28" s="769">
        <f t="shared" si="7"/>
        <v>67.9781231095713</v>
      </c>
      <c r="E28" s="769">
        <f t="shared" si="7"/>
        <v>67.945214804858395</v>
      </c>
      <c r="F28" s="769">
        <f t="shared" si="7"/>
        <v>64.041930693479657</v>
      </c>
      <c r="G28" s="769">
        <f t="shared" si="7"/>
        <v>62.182382987027395</v>
      </c>
      <c r="H28" s="769">
        <f t="shared" si="7"/>
        <v>55.766292145049448</v>
      </c>
      <c r="I28" s="769">
        <f t="shared" si="7"/>
        <v>25.074766624985791</v>
      </c>
      <c r="J28" s="769">
        <f t="shared" si="7"/>
        <v>14.703806820506991</v>
      </c>
      <c r="K28" s="769">
        <f t="shared" si="7"/>
        <v>7.6065874388996253</v>
      </c>
      <c r="L28" s="769">
        <f t="shared" si="7"/>
        <v>4.1697067181993859</v>
      </c>
      <c r="M28" s="769">
        <f t="shared" si="7"/>
        <v>0</v>
      </c>
      <c r="N28" s="769">
        <f t="shared" si="7"/>
        <v>0</v>
      </c>
      <c r="O28" s="769">
        <f t="shared" si="7"/>
        <v>0</v>
      </c>
      <c r="P28" s="769">
        <f t="shared" si="7"/>
        <v>0</v>
      </c>
      <c r="Q28" s="769">
        <f t="shared" si="7"/>
        <v>0</v>
      </c>
      <c r="R28" s="769">
        <f t="shared" si="7"/>
        <v>0</v>
      </c>
      <c r="S28" s="769">
        <f t="shared" si="7"/>
        <v>0</v>
      </c>
      <c r="T28" s="769">
        <f t="shared" si="7"/>
        <v>0</v>
      </c>
      <c r="U28" s="769">
        <f t="shared" si="7"/>
        <v>0</v>
      </c>
      <c r="V28" s="769">
        <f t="shared" si="7"/>
        <v>0</v>
      </c>
      <c r="W28" s="769">
        <f t="shared" si="7"/>
        <v>0</v>
      </c>
      <c r="X28" s="769">
        <f t="shared" si="7"/>
        <v>0</v>
      </c>
      <c r="Y28" s="769">
        <f t="shared" si="7"/>
        <v>0</v>
      </c>
      <c r="Z28" s="769">
        <f t="shared" si="7"/>
        <v>0</v>
      </c>
      <c r="AA28" s="769">
        <f t="shared" si="7"/>
        <v>0</v>
      </c>
      <c r="AB28" s="769">
        <f t="shared" si="7"/>
        <v>0</v>
      </c>
      <c r="AC28" s="769">
        <f t="shared" si="7"/>
        <v>0</v>
      </c>
      <c r="AD28" s="769">
        <f t="shared" si="7"/>
        <v>0</v>
      </c>
      <c r="AE28" s="769">
        <f t="shared" si="7"/>
        <v>0</v>
      </c>
      <c r="AF28" s="769">
        <f t="shared" si="7"/>
        <v>0</v>
      </c>
      <c r="AG28" s="769">
        <f t="shared" si="7"/>
        <v>0</v>
      </c>
      <c r="AH28" s="761">
        <f t="shared" si="2"/>
        <v>437.54459553721324</v>
      </c>
    </row>
    <row r="29" spans="1:35" x14ac:dyDescent="0.3">
      <c r="A29" s="10"/>
      <c r="B29" s="957" t="s">
        <v>98</v>
      </c>
      <c r="C29" s="808">
        <v>68.075784194635347</v>
      </c>
      <c r="D29" s="808">
        <v>67.9781231095713</v>
      </c>
      <c r="E29" s="808">
        <v>67.945214804858395</v>
      </c>
      <c r="F29" s="808">
        <v>64.041930693479657</v>
      </c>
      <c r="G29" s="808">
        <v>62.182382987027395</v>
      </c>
      <c r="H29" s="808">
        <v>55.766292145049448</v>
      </c>
      <c r="I29" s="762">
        <v>25.074766624985791</v>
      </c>
      <c r="J29" s="808">
        <v>14.703806820506991</v>
      </c>
      <c r="K29" s="808">
        <v>7.6065874388996253</v>
      </c>
      <c r="L29" s="808">
        <v>4.1697067181993859</v>
      </c>
      <c r="M29" s="808">
        <v>0</v>
      </c>
      <c r="N29" s="808">
        <v>0</v>
      </c>
      <c r="O29" s="808">
        <v>0</v>
      </c>
      <c r="P29" s="808">
        <v>0</v>
      </c>
      <c r="Q29" s="808">
        <v>0</v>
      </c>
      <c r="R29" s="808">
        <v>0</v>
      </c>
      <c r="S29" s="808">
        <v>0</v>
      </c>
      <c r="T29" s="808">
        <v>0</v>
      </c>
      <c r="U29" s="808">
        <v>0</v>
      </c>
      <c r="V29" s="808">
        <v>0</v>
      </c>
      <c r="W29" s="808">
        <v>0</v>
      </c>
      <c r="X29" s="808">
        <v>0</v>
      </c>
      <c r="Y29" s="808">
        <v>0</v>
      </c>
      <c r="Z29" s="808">
        <v>0</v>
      </c>
      <c r="AA29" s="808">
        <v>0</v>
      </c>
      <c r="AB29" s="808">
        <v>0</v>
      </c>
      <c r="AC29" s="808">
        <v>0</v>
      </c>
      <c r="AD29" s="808">
        <v>0</v>
      </c>
      <c r="AE29" s="808">
        <v>0</v>
      </c>
      <c r="AF29" s="808">
        <v>0</v>
      </c>
      <c r="AG29" s="808">
        <v>0</v>
      </c>
      <c r="AH29" s="762">
        <f t="shared" si="2"/>
        <v>437.54459553721324</v>
      </c>
    </row>
    <row r="30" spans="1:35" x14ac:dyDescent="0.3">
      <c r="A30" s="10"/>
      <c r="B30" s="784" t="s">
        <v>70</v>
      </c>
      <c r="C30" s="765">
        <v>2079.8844454553846</v>
      </c>
      <c r="D30" s="765">
        <v>369.82938470827281</v>
      </c>
      <c r="E30" s="765">
        <v>340.69634167609473</v>
      </c>
      <c r="F30" s="765">
        <v>339.6653561608702</v>
      </c>
      <c r="G30" s="765">
        <v>331.09028631087017</v>
      </c>
      <c r="H30" s="765">
        <v>330.99706651087018</v>
      </c>
      <c r="I30" s="773">
        <v>330.99706651087018</v>
      </c>
      <c r="J30" s="765">
        <v>330.99706651087018</v>
      </c>
      <c r="K30" s="765">
        <v>111.64846513087021</v>
      </c>
      <c r="L30" s="765">
        <v>44.148465130870207</v>
      </c>
      <c r="M30" s="765">
        <v>44.148465140870201</v>
      </c>
      <c r="N30" s="765">
        <v>10.748465444484534</v>
      </c>
      <c r="O30" s="765">
        <v>6.2695745989308485</v>
      </c>
      <c r="P30" s="765">
        <v>6.0990619241553565</v>
      </c>
      <c r="Q30" s="765">
        <v>5.7274710021927149</v>
      </c>
      <c r="R30" s="765">
        <v>5.7274710021927149</v>
      </c>
      <c r="S30" s="765">
        <v>5.7274710021927149</v>
      </c>
      <c r="T30" s="765">
        <v>4.7271339283760971</v>
      </c>
      <c r="U30" s="765">
        <v>3.7267968545594803</v>
      </c>
      <c r="V30" s="765">
        <v>3.725493739861288</v>
      </c>
      <c r="W30" s="765">
        <v>2.1993363476828507</v>
      </c>
      <c r="X30" s="765">
        <v>1.0879261824821642</v>
      </c>
      <c r="Y30" s="765">
        <v>0</v>
      </c>
      <c r="Z30" s="765">
        <v>0</v>
      </c>
      <c r="AA30" s="765">
        <v>0</v>
      </c>
      <c r="AB30" s="765">
        <v>0</v>
      </c>
      <c r="AC30" s="765">
        <v>0</v>
      </c>
      <c r="AD30" s="765">
        <v>0</v>
      </c>
      <c r="AE30" s="765">
        <v>0</v>
      </c>
      <c r="AF30" s="765">
        <v>0</v>
      </c>
      <c r="AG30" s="765">
        <v>0</v>
      </c>
      <c r="AH30" s="773">
        <f t="shared" si="2"/>
        <v>4709.8686112738251</v>
      </c>
    </row>
    <row r="31" spans="1:35" x14ac:dyDescent="0.3">
      <c r="A31" s="10"/>
      <c r="B31" s="784" t="s">
        <v>360</v>
      </c>
      <c r="C31" s="765">
        <f>+C32+C34</f>
        <v>827.25060827250604</v>
      </c>
      <c r="D31" s="765">
        <f t="shared" ref="D31:AG31" si="8">+D32+D34</f>
        <v>0</v>
      </c>
      <c r="E31" s="765">
        <f t="shared" si="8"/>
        <v>0</v>
      </c>
      <c r="F31" s="765">
        <f t="shared" si="8"/>
        <v>0</v>
      </c>
      <c r="G31" s="765">
        <f t="shared" si="8"/>
        <v>0</v>
      </c>
      <c r="H31" s="765">
        <f t="shared" si="8"/>
        <v>0</v>
      </c>
      <c r="I31" s="765">
        <f t="shared" si="8"/>
        <v>0</v>
      </c>
      <c r="J31" s="765">
        <f t="shared" si="8"/>
        <v>18.929977796481285</v>
      </c>
      <c r="K31" s="765">
        <f t="shared" si="8"/>
        <v>37.859955592962571</v>
      </c>
      <c r="L31" s="765">
        <f t="shared" si="8"/>
        <v>37.859955592962571</v>
      </c>
      <c r="M31" s="765">
        <f t="shared" si="8"/>
        <v>37.859955592962571</v>
      </c>
      <c r="N31" s="765">
        <f t="shared" si="8"/>
        <v>37.859955592962571</v>
      </c>
      <c r="O31" s="765">
        <f t="shared" si="8"/>
        <v>37.859955592962571</v>
      </c>
      <c r="P31" s="765">
        <f t="shared" si="8"/>
        <v>37.859955592962571</v>
      </c>
      <c r="Q31" s="765">
        <f t="shared" si="8"/>
        <v>37.859955592962571</v>
      </c>
      <c r="R31" s="765">
        <f t="shared" si="8"/>
        <v>37.859955592962571</v>
      </c>
      <c r="S31" s="765">
        <f t="shared" si="8"/>
        <v>56.789933404486895</v>
      </c>
      <c r="T31" s="765">
        <f t="shared" si="8"/>
        <v>0</v>
      </c>
      <c r="U31" s="765">
        <f t="shared" si="8"/>
        <v>0</v>
      </c>
      <c r="V31" s="765">
        <f t="shared" si="8"/>
        <v>0</v>
      </c>
      <c r="W31" s="765">
        <f t="shared" si="8"/>
        <v>0</v>
      </c>
      <c r="X31" s="765">
        <f t="shared" si="8"/>
        <v>0</v>
      </c>
      <c r="Y31" s="765">
        <f t="shared" si="8"/>
        <v>0</v>
      </c>
      <c r="Z31" s="765">
        <f t="shared" si="8"/>
        <v>0</v>
      </c>
      <c r="AA31" s="765">
        <f t="shared" si="8"/>
        <v>0</v>
      </c>
      <c r="AB31" s="765">
        <f t="shared" si="8"/>
        <v>0</v>
      </c>
      <c r="AC31" s="765">
        <f t="shared" si="8"/>
        <v>0</v>
      </c>
      <c r="AD31" s="765">
        <f t="shared" si="8"/>
        <v>0</v>
      </c>
      <c r="AE31" s="765">
        <f t="shared" si="8"/>
        <v>0</v>
      </c>
      <c r="AF31" s="765">
        <f t="shared" si="8"/>
        <v>0</v>
      </c>
      <c r="AG31" s="765">
        <f t="shared" si="8"/>
        <v>0</v>
      </c>
      <c r="AH31" s="773">
        <f t="shared" si="2"/>
        <v>1205.8501642171746</v>
      </c>
    </row>
    <row r="32" spans="1:35" x14ac:dyDescent="0.3">
      <c r="A32" s="10"/>
      <c r="B32" s="774" t="s">
        <v>67</v>
      </c>
      <c r="C32" s="766">
        <f t="shared" ref="C32:AG32" si="9">+C33</f>
        <v>0</v>
      </c>
      <c r="D32" s="766">
        <f t="shared" si="9"/>
        <v>0</v>
      </c>
      <c r="E32" s="766">
        <f t="shared" si="9"/>
        <v>0</v>
      </c>
      <c r="F32" s="766">
        <f t="shared" si="9"/>
        <v>0</v>
      </c>
      <c r="G32" s="766">
        <f t="shared" si="9"/>
        <v>0</v>
      </c>
      <c r="H32" s="766">
        <f t="shared" si="9"/>
        <v>0</v>
      </c>
      <c r="I32" s="766">
        <f t="shared" si="9"/>
        <v>0</v>
      </c>
      <c r="J32" s="766">
        <f t="shared" si="9"/>
        <v>18.929977796481285</v>
      </c>
      <c r="K32" s="766">
        <f t="shared" si="9"/>
        <v>37.859955592962571</v>
      </c>
      <c r="L32" s="766">
        <f t="shared" si="9"/>
        <v>37.859955592962571</v>
      </c>
      <c r="M32" s="766">
        <f t="shared" si="9"/>
        <v>37.859955592962571</v>
      </c>
      <c r="N32" s="766">
        <f t="shared" si="9"/>
        <v>37.859955592962571</v>
      </c>
      <c r="O32" s="766">
        <f t="shared" si="9"/>
        <v>37.859955592962571</v>
      </c>
      <c r="P32" s="766">
        <f t="shared" si="9"/>
        <v>37.859955592962571</v>
      </c>
      <c r="Q32" s="766">
        <f t="shared" si="9"/>
        <v>37.859955592962571</v>
      </c>
      <c r="R32" s="766">
        <f t="shared" si="9"/>
        <v>37.859955592962571</v>
      </c>
      <c r="S32" s="766">
        <f t="shared" si="9"/>
        <v>56.789933404486895</v>
      </c>
      <c r="T32" s="766">
        <f t="shared" si="9"/>
        <v>0</v>
      </c>
      <c r="U32" s="766">
        <f t="shared" si="9"/>
        <v>0</v>
      </c>
      <c r="V32" s="766">
        <f t="shared" si="9"/>
        <v>0</v>
      </c>
      <c r="W32" s="766">
        <f t="shared" si="9"/>
        <v>0</v>
      </c>
      <c r="X32" s="766">
        <f t="shared" si="9"/>
        <v>0</v>
      </c>
      <c r="Y32" s="766">
        <f t="shared" si="9"/>
        <v>0</v>
      </c>
      <c r="Z32" s="766">
        <f t="shared" si="9"/>
        <v>0</v>
      </c>
      <c r="AA32" s="766">
        <f t="shared" si="9"/>
        <v>0</v>
      </c>
      <c r="AB32" s="766">
        <f t="shared" si="9"/>
        <v>0</v>
      </c>
      <c r="AC32" s="766">
        <f t="shared" si="9"/>
        <v>0</v>
      </c>
      <c r="AD32" s="766">
        <f t="shared" si="9"/>
        <v>0</v>
      </c>
      <c r="AE32" s="766">
        <f t="shared" si="9"/>
        <v>0</v>
      </c>
      <c r="AF32" s="766">
        <f t="shared" si="9"/>
        <v>0</v>
      </c>
      <c r="AG32" s="766">
        <f t="shared" si="9"/>
        <v>0</v>
      </c>
      <c r="AH32" s="759">
        <f t="shared" si="2"/>
        <v>378.59955594466874</v>
      </c>
    </row>
    <row r="33" spans="1:36" s="630" customFormat="1" x14ac:dyDescent="0.3">
      <c r="A33" s="10"/>
      <c r="B33" s="807" t="s">
        <v>363</v>
      </c>
      <c r="C33" s="769">
        <v>0</v>
      </c>
      <c r="D33" s="769">
        <v>0</v>
      </c>
      <c r="E33" s="769">
        <v>0</v>
      </c>
      <c r="F33" s="769">
        <v>0</v>
      </c>
      <c r="G33" s="769">
        <v>0</v>
      </c>
      <c r="H33" s="769">
        <v>0</v>
      </c>
      <c r="I33" s="761">
        <v>0</v>
      </c>
      <c r="J33" s="769">
        <v>18.929977796481285</v>
      </c>
      <c r="K33" s="769">
        <v>37.859955592962571</v>
      </c>
      <c r="L33" s="769">
        <v>37.859955592962571</v>
      </c>
      <c r="M33" s="769">
        <v>37.859955592962571</v>
      </c>
      <c r="N33" s="769">
        <v>37.859955592962571</v>
      </c>
      <c r="O33" s="769">
        <v>37.859955592962571</v>
      </c>
      <c r="P33" s="769">
        <v>37.859955592962571</v>
      </c>
      <c r="Q33" s="769">
        <v>37.859955592962571</v>
      </c>
      <c r="R33" s="769">
        <v>37.859955592962571</v>
      </c>
      <c r="S33" s="769">
        <v>56.789933404486895</v>
      </c>
      <c r="T33" s="769">
        <v>0</v>
      </c>
      <c r="U33" s="769">
        <v>0</v>
      </c>
      <c r="V33" s="769">
        <v>0</v>
      </c>
      <c r="W33" s="769">
        <v>0</v>
      </c>
      <c r="X33" s="769">
        <v>0</v>
      </c>
      <c r="Y33" s="769">
        <v>0</v>
      </c>
      <c r="Z33" s="769">
        <v>0</v>
      </c>
      <c r="AA33" s="769">
        <v>0</v>
      </c>
      <c r="AB33" s="769">
        <v>0</v>
      </c>
      <c r="AC33" s="769">
        <v>0</v>
      </c>
      <c r="AD33" s="769">
        <v>0</v>
      </c>
      <c r="AE33" s="769">
        <v>0</v>
      </c>
      <c r="AF33" s="769">
        <v>0</v>
      </c>
      <c r="AG33" s="769">
        <v>0</v>
      </c>
      <c r="AH33" s="761">
        <f t="shared" si="2"/>
        <v>378.59955594466874</v>
      </c>
      <c r="AI33" s="841"/>
      <c r="AJ33" s="841"/>
    </row>
    <row r="34" spans="1:36" s="630" customFormat="1" x14ac:dyDescent="0.3">
      <c r="A34" s="10"/>
      <c r="B34" s="774" t="s">
        <v>915</v>
      </c>
      <c r="C34" s="766">
        <f>+C35</f>
        <v>827.25060827250604</v>
      </c>
      <c r="D34" s="766">
        <f t="shared" ref="D34:AG34" si="10">+D35</f>
        <v>0</v>
      </c>
      <c r="E34" s="766">
        <f t="shared" si="10"/>
        <v>0</v>
      </c>
      <c r="F34" s="766">
        <f t="shared" si="10"/>
        <v>0</v>
      </c>
      <c r="G34" s="766">
        <f t="shared" si="10"/>
        <v>0</v>
      </c>
      <c r="H34" s="766">
        <f t="shared" si="10"/>
        <v>0</v>
      </c>
      <c r="I34" s="766">
        <f t="shared" si="10"/>
        <v>0</v>
      </c>
      <c r="J34" s="766">
        <f t="shared" si="10"/>
        <v>0</v>
      </c>
      <c r="K34" s="766">
        <f t="shared" si="10"/>
        <v>0</v>
      </c>
      <c r="L34" s="766">
        <f t="shared" si="10"/>
        <v>0</v>
      </c>
      <c r="M34" s="766">
        <f t="shared" si="10"/>
        <v>0</v>
      </c>
      <c r="N34" s="766">
        <f t="shared" si="10"/>
        <v>0</v>
      </c>
      <c r="O34" s="766">
        <f t="shared" si="10"/>
        <v>0</v>
      </c>
      <c r="P34" s="766">
        <f t="shared" si="10"/>
        <v>0</v>
      </c>
      <c r="Q34" s="766">
        <f t="shared" si="10"/>
        <v>0</v>
      </c>
      <c r="R34" s="766">
        <f t="shared" si="10"/>
        <v>0</v>
      </c>
      <c r="S34" s="766">
        <f t="shared" si="10"/>
        <v>0</v>
      </c>
      <c r="T34" s="766">
        <f t="shared" si="10"/>
        <v>0</v>
      </c>
      <c r="U34" s="766">
        <f t="shared" si="10"/>
        <v>0</v>
      </c>
      <c r="V34" s="766">
        <f t="shared" si="10"/>
        <v>0</v>
      </c>
      <c r="W34" s="766">
        <f t="shared" si="10"/>
        <v>0</v>
      </c>
      <c r="X34" s="766">
        <f t="shared" si="10"/>
        <v>0</v>
      </c>
      <c r="Y34" s="766">
        <f t="shared" si="10"/>
        <v>0</v>
      </c>
      <c r="Z34" s="766">
        <f t="shared" si="10"/>
        <v>0</v>
      </c>
      <c r="AA34" s="766">
        <f t="shared" si="10"/>
        <v>0</v>
      </c>
      <c r="AB34" s="766">
        <f t="shared" si="10"/>
        <v>0</v>
      </c>
      <c r="AC34" s="766">
        <f t="shared" si="10"/>
        <v>0</v>
      </c>
      <c r="AD34" s="766">
        <f t="shared" si="10"/>
        <v>0</v>
      </c>
      <c r="AE34" s="766">
        <f t="shared" si="10"/>
        <v>0</v>
      </c>
      <c r="AF34" s="766">
        <f t="shared" si="10"/>
        <v>0</v>
      </c>
      <c r="AG34" s="766">
        <f t="shared" si="10"/>
        <v>0</v>
      </c>
      <c r="AH34" s="759">
        <f t="shared" si="2"/>
        <v>827.25060827250604</v>
      </c>
      <c r="AI34" s="841"/>
      <c r="AJ34" s="841"/>
    </row>
    <row r="35" spans="1:36" s="630" customFormat="1" x14ac:dyDescent="0.3">
      <c r="A35" s="10"/>
      <c r="B35" s="807" t="s">
        <v>916</v>
      </c>
      <c r="C35" s="769">
        <v>827.25060827250604</v>
      </c>
      <c r="D35" s="769">
        <v>0</v>
      </c>
      <c r="E35" s="769">
        <v>0</v>
      </c>
      <c r="F35" s="769">
        <v>0</v>
      </c>
      <c r="G35" s="769">
        <v>0</v>
      </c>
      <c r="H35" s="769">
        <v>0</v>
      </c>
      <c r="I35" s="761">
        <v>0</v>
      </c>
      <c r="J35" s="769">
        <v>0</v>
      </c>
      <c r="K35" s="769">
        <v>0</v>
      </c>
      <c r="L35" s="769">
        <v>0</v>
      </c>
      <c r="M35" s="769">
        <v>0</v>
      </c>
      <c r="N35" s="769">
        <v>0</v>
      </c>
      <c r="O35" s="769">
        <v>0</v>
      </c>
      <c r="P35" s="769">
        <v>0</v>
      </c>
      <c r="Q35" s="769">
        <v>0</v>
      </c>
      <c r="R35" s="769">
        <v>0</v>
      </c>
      <c r="S35" s="769">
        <v>0</v>
      </c>
      <c r="T35" s="769">
        <v>0</v>
      </c>
      <c r="U35" s="769">
        <v>0</v>
      </c>
      <c r="V35" s="769">
        <v>0</v>
      </c>
      <c r="W35" s="769">
        <v>0</v>
      </c>
      <c r="X35" s="769">
        <v>0</v>
      </c>
      <c r="Y35" s="769">
        <v>0</v>
      </c>
      <c r="Z35" s="769">
        <v>0</v>
      </c>
      <c r="AA35" s="769">
        <v>0</v>
      </c>
      <c r="AB35" s="769">
        <v>0</v>
      </c>
      <c r="AC35" s="769">
        <v>0</v>
      </c>
      <c r="AD35" s="769">
        <v>0</v>
      </c>
      <c r="AE35" s="769">
        <v>0</v>
      </c>
      <c r="AF35" s="769">
        <v>0</v>
      </c>
      <c r="AG35" s="769">
        <v>0</v>
      </c>
      <c r="AH35" s="761">
        <f t="shared" si="2"/>
        <v>827.25060827250604</v>
      </c>
      <c r="AI35" s="841"/>
      <c r="AJ35" s="841"/>
    </row>
    <row r="36" spans="1:36" s="630" customFormat="1" x14ac:dyDescent="0.3">
      <c r="A36" s="10"/>
      <c r="B36" s="774" t="s">
        <v>677</v>
      </c>
      <c r="C36" s="766">
        <f t="shared" ref="C36:AG36" si="11">+C37+C38</f>
        <v>304.13574795589938</v>
      </c>
      <c r="D36" s="766">
        <f t="shared" si="11"/>
        <v>83.496923640973236</v>
      </c>
      <c r="E36" s="766">
        <f t="shared" si="11"/>
        <v>27.000389566836979</v>
      </c>
      <c r="F36" s="766">
        <f t="shared" si="11"/>
        <v>15.655287788710464</v>
      </c>
      <c r="G36" s="766">
        <f t="shared" si="11"/>
        <v>14.884006693211678</v>
      </c>
      <c r="H36" s="766">
        <f t="shared" si="11"/>
        <v>814.76974537226272</v>
      </c>
      <c r="I36" s="766">
        <f t="shared" si="11"/>
        <v>47.529072661800484</v>
      </c>
      <c r="J36" s="766">
        <f t="shared" si="11"/>
        <v>20.709843172749387</v>
      </c>
      <c r="K36" s="766">
        <f t="shared" si="11"/>
        <v>144.23942694890511</v>
      </c>
      <c r="L36" s="766">
        <f t="shared" si="11"/>
        <v>232.59832267639902</v>
      </c>
      <c r="M36" s="766">
        <f t="shared" si="11"/>
        <v>0</v>
      </c>
      <c r="N36" s="766">
        <f t="shared" si="11"/>
        <v>0</v>
      </c>
      <c r="O36" s="766">
        <f t="shared" si="11"/>
        <v>0</v>
      </c>
      <c r="P36" s="766">
        <f t="shared" si="11"/>
        <v>83.146950000000004</v>
      </c>
      <c r="Q36" s="766">
        <f t="shared" si="11"/>
        <v>0</v>
      </c>
      <c r="R36" s="766">
        <f t="shared" si="11"/>
        <v>0</v>
      </c>
      <c r="S36" s="766">
        <f t="shared" si="11"/>
        <v>0</v>
      </c>
      <c r="T36" s="766">
        <f t="shared" si="11"/>
        <v>0</v>
      </c>
      <c r="U36" s="766">
        <f t="shared" si="11"/>
        <v>0</v>
      </c>
      <c r="V36" s="766">
        <f t="shared" si="11"/>
        <v>0</v>
      </c>
      <c r="W36" s="766">
        <f t="shared" si="11"/>
        <v>0</v>
      </c>
      <c r="X36" s="766">
        <f t="shared" si="11"/>
        <v>0</v>
      </c>
      <c r="Y36" s="766">
        <f t="shared" si="11"/>
        <v>0</v>
      </c>
      <c r="Z36" s="766">
        <f t="shared" si="11"/>
        <v>0</v>
      </c>
      <c r="AA36" s="766">
        <f t="shared" si="11"/>
        <v>0</v>
      </c>
      <c r="AB36" s="766">
        <f t="shared" si="11"/>
        <v>0</v>
      </c>
      <c r="AC36" s="766">
        <f t="shared" si="11"/>
        <v>0</v>
      </c>
      <c r="AD36" s="766">
        <f t="shared" si="11"/>
        <v>0</v>
      </c>
      <c r="AE36" s="766">
        <f t="shared" si="11"/>
        <v>0</v>
      </c>
      <c r="AF36" s="766">
        <f t="shared" si="11"/>
        <v>0</v>
      </c>
      <c r="AG36" s="766">
        <f t="shared" si="11"/>
        <v>0</v>
      </c>
      <c r="AH36" s="759">
        <f>SUM(C36:AG36)</f>
        <v>1788.1657164777482</v>
      </c>
      <c r="AI36" s="841"/>
      <c r="AJ36" s="841"/>
    </row>
    <row r="37" spans="1:36" s="630" customFormat="1" x14ac:dyDescent="0.3">
      <c r="A37" s="10"/>
      <c r="B37" s="774" t="s">
        <v>71</v>
      </c>
      <c r="C37" s="766">
        <v>10.221049615571776</v>
      </c>
      <c r="D37" s="766">
        <v>10.894707600973238</v>
      </c>
      <c r="E37" s="766">
        <v>12.738778296836982</v>
      </c>
      <c r="F37" s="766">
        <v>14.507342228710463</v>
      </c>
      <c r="G37" s="766">
        <v>14.405695883211678</v>
      </c>
      <c r="H37" s="766">
        <v>14.769745372262774</v>
      </c>
      <c r="I37" s="759">
        <v>17.529072661800484</v>
      </c>
      <c r="J37" s="766">
        <v>20.709843172749387</v>
      </c>
      <c r="K37" s="766">
        <v>24.239426948905109</v>
      </c>
      <c r="L37" s="766">
        <v>232.59832267639902</v>
      </c>
      <c r="M37" s="766">
        <v>0</v>
      </c>
      <c r="N37" s="766">
        <v>0</v>
      </c>
      <c r="O37" s="766">
        <v>0</v>
      </c>
      <c r="P37" s="766">
        <v>0</v>
      </c>
      <c r="Q37" s="766">
        <v>0</v>
      </c>
      <c r="R37" s="766">
        <v>0</v>
      </c>
      <c r="S37" s="766">
        <v>0</v>
      </c>
      <c r="T37" s="766">
        <v>0</v>
      </c>
      <c r="U37" s="766">
        <v>0</v>
      </c>
      <c r="V37" s="766">
        <v>0</v>
      </c>
      <c r="W37" s="766">
        <v>0</v>
      </c>
      <c r="X37" s="766">
        <v>0</v>
      </c>
      <c r="Y37" s="766">
        <v>0</v>
      </c>
      <c r="Z37" s="766">
        <v>0</v>
      </c>
      <c r="AA37" s="766">
        <v>0</v>
      </c>
      <c r="AB37" s="766">
        <v>0</v>
      </c>
      <c r="AC37" s="766">
        <v>0</v>
      </c>
      <c r="AD37" s="766">
        <v>0</v>
      </c>
      <c r="AE37" s="766">
        <v>0</v>
      </c>
      <c r="AF37" s="766">
        <v>0</v>
      </c>
      <c r="AG37" s="766">
        <v>0</v>
      </c>
      <c r="AH37" s="759">
        <f>SUM(C37:AG37)</f>
        <v>372.61398445742088</v>
      </c>
      <c r="AI37" s="841"/>
      <c r="AJ37" s="841"/>
    </row>
    <row r="38" spans="1:36" s="630" customFormat="1" x14ac:dyDescent="0.3">
      <c r="A38" s="10"/>
      <c r="B38" s="775" t="s">
        <v>69</v>
      </c>
      <c r="C38" s="811">
        <v>293.91469834032762</v>
      </c>
      <c r="D38" s="811">
        <v>72.602216040000002</v>
      </c>
      <c r="E38" s="811">
        <v>14.26161127</v>
      </c>
      <c r="F38" s="811">
        <v>1.1479455600000001</v>
      </c>
      <c r="G38" s="811">
        <v>0.47831080999999998</v>
      </c>
      <c r="H38" s="811">
        <v>800</v>
      </c>
      <c r="I38" s="776">
        <v>30</v>
      </c>
      <c r="J38" s="811">
        <v>0</v>
      </c>
      <c r="K38" s="811">
        <v>120</v>
      </c>
      <c r="L38" s="811">
        <v>0</v>
      </c>
      <c r="M38" s="811">
        <v>0</v>
      </c>
      <c r="N38" s="811">
        <v>0</v>
      </c>
      <c r="O38" s="811">
        <v>0</v>
      </c>
      <c r="P38" s="811">
        <v>83.146950000000004</v>
      </c>
      <c r="Q38" s="811">
        <v>0</v>
      </c>
      <c r="R38" s="811">
        <v>0</v>
      </c>
      <c r="S38" s="811">
        <v>0</v>
      </c>
      <c r="T38" s="811">
        <v>0</v>
      </c>
      <c r="U38" s="811">
        <v>0</v>
      </c>
      <c r="V38" s="811">
        <v>0</v>
      </c>
      <c r="W38" s="811">
        <v>0</v>
      </c>
      <c r="X38" s="811">
        <v>0</v>
      </c>
      <c r="Y38" s="811">
        <v>0</v>
      </c>
      <c r="Z38" s="811">
        <v>0</v>
      </c>
      <c r="AA38" s="811">
        <v>0</v>
      </c>
      <c r="AB38" s="811">
        <v>0</v>
      </c>
      <c r="AC38" s="811">
        <v>0</v>
      </c>
      <c r="AD38" s="811">
        <v>0</v>
      </c>
      <c r="AE38" s="811">
        <v>0</v>
      </c>
      <c r="AF38" s="811">
        <v>0</v>
      </c>
      <c r="AG38" s="811">
        <v>0</v>
      </c>
      <c r="AH38" s="776">
        <f>SUM(C38:AG38)</f>
        <v>1415.5517320203278</v>
      </c>
      <c r="AI38" s="841"/>
      <c r="AJ38" s="841"/>
    </row>
    <row r="39" spans="1:36" ht="15" thickBot="1" x14ac:dyDescent="0.35">
      <c r="A39" s="10"/>
      <c r="B39" s="777"/>
      <c r="C39" s="809"/>
      <c r="D39" s="809"/>
      <c r="E39" s="809"/>
      <c r="F39" s="778"/>
      <c r="G39" s="778"/>
      <c r="H39" s="778"/>
      <c r="I39" s="778"/>
      <c r="J39" s="778"/>
      <c r="K39" s="778"/>
      <c r="L39" s="778"/>
      <c r="M39" s="778"/>
      <c r="N39" s="778"/>
      <c r="O39" s="778"/>
      <c r="P39" s="778"/>
      <c r="Q39" s="778"/>
      <c r="R39" s="778"/>
      <c r="S39" s="778"/>
      <c r="T39" s="778"/>
      <c r="U39" s="778"/>
      <c r="V39" s="778"/>
      <c r="W39" s="778"/>
      <c r="X39" s="778"/>
      <c r="Y39" s="778"/>
      <c r="Z39" s="778"/>
      <c r="AA39" s="778"/>
      <c r="AB39" s="778"/>
      <c r="AC39" s="778"/>
      <c r="AD39" s="778"/>
      <c r="AE39" s="778"/>
      <c r="AF39" s="778"/>
      <c r="AG39" s="778"/>
      <c r="AH39" s="778"/>
    </row>
    <row r="40" spans="1:36" ht="15" thickBot="1" x14ac:dyDescent="0.35">
      <c r="A40" s="10"/>
      <c r="B40" s="754" t="s">
        <v>235</v>
      </c>
      <c r="C40" s="755">
        <v>16448.168796000005</v>
      </c>
      <c r="D40" s="755">
        <v>4700.729927007299</v>
      </c>
      <c r="E40" s="755">
        <v>0</v>
      </c>
      <c r="F40" s="755">
        <v>0</v>
      </c>
      <c r="G40" s="755">
        <v>0</v>
      </c>
      <c r="H40" s="755">
        <v>0</v>
      </c>
      <c r="I40" s="755">
        <v>0</v>
      </c>
      <c r="J40" s="755">
        <v>0</v>
      </c>
      <c r="K40" s="755">
        <v>0</v>
      </c>
      <c r="L40" s="755">
        <v>0</v>
      </c>
      <c r="M40" s="755">
        <v>0</v>
      </c>
      <c r="N40" s="755">
        <v>0</v>
      </c>
      <c r="O40" s="755">
        <v>0</v>
      </c>
      <c r="P40" s="755">
        <v>0</v>
      </c>
      <c r="Q40" s="755">
        <v>0</v>
      </c>
      <c r="R40" s="755">
        <v>0</v>
      </c>
      <c r="S40" s="755">
        <v>0</v>
      </c>
      <c r="T40" s="755">
        <v>0</v>
      </c>
      <c r="U40" s="755">
        <v>0</v>
      </c>
      <c r="V40" s="755">
        <v>0</v>
      </c>
      <c r="W40" s="755">
        <v>0</v>
      </c>
      <c r="X40" s="755">
        <v>0</v>
      </c>
      <c r="Y40" s="755">
        <v>0</v>
      </c>
      <c r="Z40" s="755">
        <v>0</v>
      </c>
      <c r="AA40" s="755">
        <v>0</v>
      </c>
      <c r="AB40" s="755">
        <v>0</v>
      </c>
      <c r="AC40" s="755">
        <v>0</v>
      </c>
      <c r="AD40" s="755">
        <v>0</v>
      </c>
      <c r="AE40" s="755">
        <v>0</v>
      </c>
      <c r="AF40" s="755">
        <v>0</v>
      </c>
      <c r="AG40" s="755">
        <v>0</v>
      </c>
      <c r="AH40" s="780">
        <f>SUM(C40:AG40)</f>
        <v>21148.898723007303</v>
      </c>
    </row>
    <row r="41" spans="1:36" ht="15" thickBot="1" x14ac:dyDescent="0.35">
      <c r="A41" s="10"/>
      <c r="B41" s="958"/>
      <c r="C41" s="809"/>
      <c r="D41" s="809"/>
      <c r="E41" s="809"/>
      <c r="F41" s="959"/>
      <c r="G41" s="959"/>
      <c r="H41" s="959"/>
      <c r="I41" s="960"/>
      <c r="J41" s="959"/>
      <c r="K41" s="959"/>
      <c r="L41" s="959"/>
      <c r="M41" s="959"/>
      <c r="N41" s="959"/>
      <c r="O41" s="959"/>
      <c r="P41" s="959"/>
      <c r="Q41" s="959"/>
      <c r="R41" s="959"/>
      <c r="S41" s="959"/>
      <c r="T41" s="959"/>
      <c r="U41" s="959"/>
      <c r="V41" s="959"/>
      <c r="W41" s="959"/>
      <c r="X41" s="959"/>
      <c r="Y41" s="959"/>
      <c r="Z41" s="959"/>
      <c r="AA41" s="959"/>
      <c r="AB41" s="959"/>
      <c r="AC41" s="959"/>
      <c r="AD41" s="959"/>
      <c r="AE41" s="959"/>
      <c r="AF41" s="959"/>
      <c r="AG41" s="959"/>
      <c r="AH41" s="959"/>
    </row>
    <row r="42" spans="1:36" ht="15" thickBot="1" x14ac:dyDescent="0.35">
      <c r="A42" s="10"/>
      <c r="B42" s="754" t="s">
        <v>302</v>
      </c>
      <c r="C42" s="755">
        <f t="shared" ref="C42:AG42" si="12">+C43+C58+SUM(C70:C119)+C122</f>
        <v>51828.927396202176</v>
      </c>
      <c r="D42" s="755">
        <f t="shared" si="12"/>
        <v>25735.752211220326</v>
      </c>
      <c r="E42" s="755">
        <f t="shared" si="12"/>
        <v>21167.686519342242</v>
      </c>
      <c r="F42" s="755">
        <f t="shared" si="12"/>
        <v>19063.217895180405</v>
      </c>
      <c r="G42" s="755">
        <f t="shared" si="12"/>
        <v>8645.5139860012459</v>
      </c>
      <c r="H42" s="755">
        <f t="shared" si="12"/>
        <v>7751.3748604467764</v>
      </c>
      <c r="I42" s="755">
        <f t="shared" si="12"/>
        <v>9626.3215940105219</v>
      </c>
      <c r="J42" s="755">
        <f t="shared" si="12"/>
        <v>14188.214622010473</v>
      </c>
      <c r="K42" s="755">
        <f t="shared" si="12"/>
        <v>8829.7789226651748</v>
      </c>
      <c r="L42" s="755">
        <f t="shared" si="12"/>
        <v>25485.757099751383</v>
      </c>
      <c r="M42" s="755">
        <f t="shared" si="12"/>
        <v>11718.569665680141</v>
      </c>
      <c r="N42" s="755">
        <f t="shared" si="12"/>
        <v>11718.569665680141</v>
      </c>
      <c r="O42" s="755">
        <f t="shared" si="12"/>
        <v>11362.234130178673</v>
      </c>
      <c r="P42" s="755">
        <f t="shared" si="12"/>
        <v>11363.561152248672</v>
      </c>
      <c r="Q42" s="755">
        <f t="shared" si="12"/>
        <v>4221.1522552553452</v>
      </c>
      <c r="R42" s="755">
        <f t="shared" si="12"/>
        <v>4221.1924680453449</v>
      </c>
      <c r="S42" s="755">
        <f t="shared" si="12"/>
        <v>3420.900852835533</v>
      </c>
      <c r="T42" s="755">
        <f t="shared" si="12"/>
        <v>2235.0612944329796</v>
      </c>
      <c r="U42" s="755">
        <f t="shared" si="12"/>
        <v>2051.3172194329795</v>
      </c>
      <c r="V42" s="755">
        <f t="shared" si="12"/>
        <v>1943.2665694329794</v>
      </c>
      <c r="W42" s="755">
        <f t="shared" si="12"/>
        <v>953.65744522750276</v>
      </c>
      <c r="X42" s="755">
        <f t="shared" si="12"/>
        <v>948.03244522750276</v>
      </c>
      <c r="Y42" s="755">
        <f t="shared" si="12"/>
        <v>948.03244522750276</v>
      </c>
      <c r="Z42" s="755">
        <f t="shared" si="12"/>
        <v>948.03244522750276</v>
      </c>
      <c r="AA42" s="755">
        <f t="shared" si="12"/>
        <v>107.99736637567716</v>
      </c>
      <c r="AB42" s="755">
        <f t="shared" si="12"/>
        <v>8.5787219951338187E-2</v>
      </c>
      <c r="AC42" s="755">
        <f t="shared" si="12"/>
        <v>8.5787219951338187E-2</v>
      </c>
      <c r="AD42" s="755">
        <f t="shared" si="12"/>
        <v>8.5787219951338187E-2</v>
      </c>
      <c r="AE42" s="755">
        <f t="shared" si="12"/>
        <v>8.5787219951338187E-2</v>
      </c>
      <c r="AF42" s="755">
        <f t="shared" si="12"/>
        <v>8.5787219951338187E-2</v>
      </c>
      <c r="AG42" s="755">
        <f t="shared" si="12"/>
        <v>4.9756587577615576</v>
      </c>
      <c r="AH42" s="780">
        <f t="shared" ref="AH42:AH73" si="13">SUM(C42:AG42)</f>
        <v>260489.52712219668</v>
      </c>
    </row>
    <row r="43" spans="1:36" x14ac:dyDescent="0.3">
      <c r="A43" s="10"/>
      <c r="B43" s="866" t="s">
        <v>73</v>
      </c>
      <c r="C43" s="823">
        <f>+C44+C47+C53+C55</f>
        <v>0</v>
      </c>
      <c r="D43" s="823">
        <f t="shared" ref="D43:AG43" si="14">+D44+D47+D53+D55</f>
        <v>0</v>
      </c>
      <c r="E43" s="823">
        <f t="shared" si="14"/>
        <v>0</v>
      </c>
      <c r="F43" s="823">
        <f t="shared" si="14"/>
        <v>0</v>
      </c>
      <c r="G43" s="823">
        <f t="shared" si="14"/>
        <v>0</v>
      </c>
      <c r="H43" s="823">
        <f t="shared" si="14"/>
        <v>0</v>
      </c>
      <c r="I43" s="823">
        <f t="shared" si="14"/>
        <v>0</v>
      </c>
      <c r="J43" s="823">
        <f t="shared" si="14"/>
        <v>80.327924718185528</v>
      </c>
      <c r="K43" s="823">
        <f t="shared" si="14"/>
        <v>160.65584943637106</v>
      </c>
      <c r="L43" s="823">
        <f t="shared" si="14"/>
        <v>160.65584943637106</v>
      </c>
      <c r="M43" s="823">
        <f t="shared" si="14"/>
        <v>160.65584943637106</v>
      </c>
      <c r="N43" s="823">
        <f t="shared" si="14"/>
        <v>160.65584943637106</v>
      </c>
      <c r="O43" s="823">
        <f t="shared" si="14"/>
        <v>160.65584943637106</v>
      </c>
      <c r="P43" s="823">
        <f t="shared" si="14"/>
        <v>160.65584943637106</v>
      </c>
      <c r="Q43" s="823">
        <f t="shared" si="14"/>
        <v>160.65584943637106</v>
      </c>
      <c r="R43" s="823">
        <f t="shared" si="14"/>
        <v>160.65584943637106</v>
      </c>
      <c r="S43" s="823">
        <f t="shared" si="14"/>
        <v>240.98377415455656</v>
      </c>
      <c r="T43" s="823">
        <f t="shared" si="14"/>
        <v>0</v>
      </c>
      <c r="U43" s="823">
        <f t="shared" si="14"/>
        <v>0</v>
      </c>
      <c r="V43" s="823">
        <f t="shared" si="14"/>
        <v>0</v>
      </c>
      <c r="W43" s="823">
        <f t="shared" si="14"/>
        <v>0</v>
      </c>
      <c r="X43" s="823">
        <f t="shared" si="14"/>
        <v>0</v>
      </c>
      <c r="Y43" s="823">
        <f t="shared" si="14"/>
        <v>0</v>
      </c>
      <c r="Z43" s="823">
        <f t="shared" si="14"/>
        <v>0</v>
      </c>
      <c r="AA43" s="823">
        <f t="shared" si="14"/>
        <v>0</v>
      </c>
      <c r="AB43" s="823">
        <f t="shared" si="14"/>
        <v>0</v>
      </c>
      <c r="AC43" s="823">
        <f t="shared" si="14"/>
        <v>0</v>
      </c>
      <c r="AD43" s="823">
        <f t="shared" si="14"/>
        <v>0</v>
      </c>
      <c r="AE43" s="823">
        <f t="shared" si="14"/>
        <v>0</v>
      </c>
      <c r="AF43" s="823">
        <f t="shared" si="14"/>
        <v>0</v>
      </c>
      <c r="AG43" s="823">
        <f t="shared" si="14"/>
        <v>0</v>
      </c>
      <c r="AH43" s="867">
        <f t="shared" si="13"/>
        <v>1606.5584943637102</v>
      </c>
    </row>
    <row r="44" spans="1:36" x14ac:dyDescent="0.3">
      <c r="A44" s="10"/>
      <c r="B44" s="59" t="s">
        <v>19</v>
      </c>
      <c r="C44" s="788">
        <f>+C45+C46</f>
        <v>0</v>
      </c>
      <c r="D44" s="788">
        <f t="shared" ref="D44:AG44" si="15">+D45+D46</f>
        <v>0</v>
      </c>
      <c r="E44" s="788">
        <f t="shared" si="15"/>
        <v>0</v>
      </c>
      <c r="F44" s="788">
        <f t="shared" si="15"/>
        <v>0</v>
      </c>
      <c r="G44" s="788">
        <f t="shared" si="15"/>
        <v>0</v>
      </c>
      <c r="H44" s="788">
        <f t="shared" si="15"/>
        <v>0</v>
      </c>
      <c r="I44" s="788">
        <f t="shared" si="15"/>
        <v>0</v>
      </c>
      <c r="J44" s="788">
        <f t="shared" si="15"/>
        <v>36.643160595674075</v>
      </c>
      <c r="K44" s="788">
        <f t="shared" si="15"/>
        <v>73.286321191348151</v>
      </c>
      <c r="L44" s="788">
        <f t="shared" si="15"/>
        <v>73.286321191348151</v>
      </c>
      <c r="M44" s="788">
        <f t="shared" si="15"/>
        <v>73.286321191348151</v>
      </c>
      <c r="N44" s="788">
        <f t="shared" si="15"/>
        <v>73.286321191348151</v>
      </c>
      <c r="O44" s="788">
        <f t="shared" si="15"/>
        <v>73.286321191348151</v>
      </c>
      <c r="P44" s="788">
        <f t="shared" si="15"/>
        <v>73.286321191348151</v>
      </c>
      <c r="Q44" s="788">
        <f t="shared" si="15"/>
        <v>73.286321191348151</v>
      </c>
      <c r="R44" s="788">
        <f t="shared" si="15"/>
        <v>73.286321191348151</v>
      </c>
      <c r="S44" s="788">
        <f t="shared" si="15"/>
        <v>109.92948178702224</v>
      </c>
      <c r="T44" s="788">
        <f t="shared" si="15"/>
        <v>0</v>
      </c>
      <c r="U44" s="788">
        <f t="shared" si="15"/>
        <v>0</v>
      </c>
      <c r="V44" s="788">
        <f t="shared" si="15"/>
        <v>0</v>
      </c>
      <c r="W44" s="788">
        <f t="shared" si="15"/>
        <v>0</v>
      </c>
      <c r="X44" s="788">
        <f t="shared" si="15"/>
        <v>0</v>
      </c>
      <c r="Y44" s="788">
        <f t="shared" si="15"/>
        <v>0</v>
      </c>
      <c r="Z44" s="788">
        <f t="shared" si="15"/>
        <v>0</v>
      </c>
      <c r="AA44" s="788">
        <f t="shared" si="15"/>
        <v>0</v>
      </c>
      <c r="AB44" s="788">
        <f t="shared" si="15"/>
        <v>0</v>
      </c>
      <c r="AC44" s="788">
        <f t="shared" si="15"/>
        <v>0</v>
      </c>
      <c r="AD44" s="788">
        <f t="shared" si="15"/>
        <v>0</v>
      </c>
      <c r="AE44" s="788">
        <f t="shared" si="15"/>
        <v>0</v>
      </c>
      <c r="AF44" s="788">
        <f t="shared" si="15"/>
        <v>0</v>
      </c>
      <c r="AG44" s="788">
        <f t="shared" si="15"/>
        <v>0</v>
      </c>
      <c r="AH44" s="822">
        <f t="shared" si="13"/>
        <v>732.86321191348168</v>
      </c>
    </row>
    <row r="45" spans="1:36" x14ac:dyDescent="0.3">
      <c r="A45" s="10"/>
      <c r="B45" s="862" t="s">
        <v>236</v>
      </c>
      <c r="C45" s="788">
        <v>0</v>
      </c>
      <c r="D45" s="788">
        <v>0</v>
      </c>
      <c r="E45" s="788">
        <v>0</v>
      </c>
      <c r="F45" s="788">
        <v>0</v>
      </c>
      <c r="G45" s="788">
        <v>0</v>
      </c>
      <c r="H45" s="788">
        <v>0</v>
      </c>
      <c r="I45" s="778">
        <v>0</v>
      </c>
      <c r="J45" s="788">
        <v>36.498007937457082</v>
      </c>
      <c r="K45" s="788">
        <v>72.996015874914164</v>
      </c>
      <c r="L45" s="788">
        <v>72.996015874914164</v>
      </c>
      <c r="M45" s="788">
        <v>72.996015874914164</v>
      </c>
      <c r="N45" s="788">
        <v>72.996015874914164</v>
      </c>
      <c r="O45" s="788">
        <v>72.996015874914164</v>
      </c>
      <c r="P45" s="788">
        <v>72.996015874914164</v>
      </c>
      <c r="Q45" s="788">
        <v>72.996015874914164</v>
      </c>
      <c r="R45" s="788">
        <v>72.996015874914164</v>
      </c>
      <c r="S45" s="788">
        <v>109.49402381237125</v>
      </c>
      <c r="T45" s="788">
        <v>0</v>
      </c>
      <c r="U45" s="788">
        <v>0</v>
      </c>
      <c r="V45" s="788">
        <v>0</v>
      </c>
      <c r="W45" s="788">
        <v>0</v>
      </c>
      <c r="X45" s="788">
        <v>0</v>
      </c>
      <c r="Y45" s="788">
        <v>0</v>
      </c>
      <c r="Z45" s="788">
        <v>0</v>
      </c>
      <c r="AA45" s="788">
        <v>0</v>
      </c>
      <c r="AB45" s="788">
        <v>0</v>
      </c>
      <c r="AC45" s="788">
        <v>0</v>
      </c>
      <c r="AD45" s="788">
        <v>0</v>
      </c>
      <c r="AE45" s="788">
        <v>0</v>
      </c>
      <c r="AF45" s="788">
        <v>0</v>
      </c>
      <c r="AG45" s="788">
        <v>0</v>
      </c>
      <c r="AH45" s="778">
        <f t="shared" si="13"/>
        <v>729.96015874914167</v>
      </c>
    </row>
    <row r="46" spans="1:36" x14ac:dyDescent="0.3">
      <c r="A46" s="10"/>
      <c r="B46" s="862" t="s">
        <v>237</v>
      </c>
      <c r="C46" s="788">
        <v>0</v>
      </c>
      <c r="D46" s="788">
        <v>0</v>
      </c>
      <c r="E46" s="788">
        <v>0</v>
      </c>
      <c r="F46" s="788">
        <v>0</v>
      </c>
      <c r="G46" s="788">
        <v>0</v>
      </c>
      <c r="H46" s="788">
        <v>0</v>
      </c>
      <c r="I46" s="778">
        <v>0</v>
      </c>
      <c r="J46" s="788">
        <v>0.14515265821699427</v>
      </c>
      <c r="K46" s="788">
        <v>0.29030531643398855</v>
      </c>
      <c r="L46" s="788">
        <v>0.29030531643398855</v>
      </c>
      <c r="M46" s="788">
        <v>0.29030531643398855</v>
      </c>
      <c r="N46" s="788">
        <v>0.29030531643398855</v>
      </c>
      <c r="O46" s="788">
        <v>0.29030531643398855</v>
      </c>
      <c r="P46" s="788">
        <v>0.29030531643398855</v>
      </c>
      <c r="Q46" s="788">
        <v>0.29030531643398855</v>
      </c>
      <c r="R46" s="788">
        <v>0.29030531643398855</v>
      </c>
      <c r="S46" s="788">
        <v>0.4354579746509829</v>
      </c>
      <c r="T46" s="788">
        <v>0</v>
      </c>
      <c r="U46" s="788">
        <v>0</v>
      </c>
      <c r="V46" s="788">
        <v>0</v>
      </c>
      <c r="W46" s="788">
        <v>0</v>
      </c>
      <c r="X46" s="788">
        <v>0</v>
      </c>
      <c r="Y46" s="788">
        <v>0</v>
      </c>
      <c r="Z46" s="788">
        <v>0</v>
      </c>
      <c r="AA46" s="788">
        <v>0</v>
      </c>
      <c r="AB46" s="788">
        <v>0</v>
      </c>
      <c r="AC46" s="788">
        <v>0</v>
      </c>
      <c r="AD46" s="788">
        <v>0</v>
      </c>
      <c r="AE46" s="788">
        <v>0</v>
      </c>
      <c r="AF46" s="788">
        <v>0</v>
      </c>
      <c r="AG46" s="788">
        <v>0</v>
      </c>
      <c r="AH46" s="778">
        <f t="shared" si="13"/>
        <v>2.9030531643398856</v>
      </c>
    </row>
    <row r="47" spans="1:36" x14ac:dyDescent="0.3">
      <c r="A47" s="10"/>
      <c r="B47" s="59" t="s">
        <v>20</v>
      </c>
      <c r="C47" s="788">
        <f>+C48+C50</f>
        <v>0</v>
      </c>
      <c r="D47" s="788">
        <f t="shared" ref="D47:AG47" si="16">+D48+D50</f>
        <v>0</v>
      </c>
      <c r="E47" s="788">
        <f t="shared" si="16"/>
        <v>0</v>
      </c>
      <c r="F47" s="788">
        <f t="shared" si="16"/>
        <v>0</v>
      </c>
      <c r="G47" s="788">
        <f t="shared" si="16"/>
        <v>0</v>
      </c>
      <c r="H47" s="788">
        <f t="shared" si="16"/>
        <v>0</v>
      </c>
      <c r="I47" s="788">
        <f t="shared" si="16"/>
        <v>0</v>
      </c>
      <c r="J47" s="788">
        <f t="shared" si="16"/>
        <v>3.5184176000000003</v>
      </c>
      <c r="K47" s="788">
        <f t="shared" si="16"/>
        <v>7.0368352000000005</v>
      </c>
      <c r="L47" s="788">
        <f t="shared" si="16"/>
        <v>7.0368352000000005</v>
      </c>
      <c r="M47" s="788">
        <f t="shared" si="16"/>
        <v>7.0368352000000005</v>
      </c>
      <c r="N47" s="788">
        <f t="shared" si="16"/>
        <v>7.0368352000000005</v>
      </c>
      <c r="O47" s="788">
        <f t="shared" si="16"/>
        <v>7.0368352000000005</v>
      </c>
      <c r="P47" s="788">
        <f t="shared" si="16"/>
        <v>7.0368352000000005</v>
      </c>
      <c r="Q47" s="788">
        <f t="shared" si="16"/>
        <v>7.0368352000000005</v>
      </c>
      <c r="R47" s="788">
        <f t="shared" si="16"/>
        <v>7.0368352000000005</v>
      </c>
      <c r="S47" s="788">
        <f t="shared" si="16"/>
        <v>10.555252800000002</v>
      </c>
      <c r="T47" s="788">
        <f t="shared" si="16"/>
        <v>0</v>
      </c>
      <c r="U47" s="788">
        <f t="shared" si="16"/>
        <v>0</v>
      </c>
      <c r="V47" s="788">
        <f t="shared" si="16"/>
        <v>0</v>
      </c>
      <c r="W47" s="788">
        <f t="shared" si="16"/>
        <v>0</v>
      </c>
      <c r="X47" s="788">
        <f t="shared" si="16"/>
        <v>0</v>
      </c>
      <c r="Y47" s="788">
        <f t="shared" si="16"/>
        <v>0</v>
      </c>
      <c r="Z47" s="788">
        <f t="shared" si="16"/>
        <v>0</v>
      </c>
      <c r="AA47" s="788">
        <f t="shared" si="16"/>
        <v>0</v>
      </c>
      <c r="AB47" s="788">
        <f t="shared" si="16"/>
        <v>0</v>
      </c>
      <c r="AC47" s="788">
        <f t="shared" si="16"/>
        <v>0</v>
      </c>
      <c r="AD47" s="788">
        <f t="shared" si="16"/>
        <v>0</v>
      </c>
      <c r="AE47" s="788">
        <f t="shared" si="16"/>
        <v>0</v>
      </c>
      <c r="AF47" s="788">
        <f t="shared" si="16"/>
        <v>0</v>
      </c>
      <c r="AG47" s="788">
        <f t="shared" si="16"/>
        <v>0</v>
      </c>
      <c r="AH47" s="778">
        <f t="shared" si="13"/>
        <v>70.368352000000002</v>
      </c>
    </row>
    <row r="48" spans="1:36" x14ac:dyDescent="0.3">
      <c r="A48" s="10"/>
      <c r="B48" s="862" t="s">
        <v>236</v>
      </c>
      <c r="C48" s="788">
        <f>+C49</f>
        <v>0</v>
      </c>
      <c r="D48" s="788">
        <f t="shared" ref="D48:AG48" si="17">+D49</f>
        <v>0</v>
      </c>
      <c r="E48" s="788">
        <f t="shared" si="17"/>
        <v>0</v>
      </c>
      <c r="F48" s="788">
        <f t="shared" si="17"/>
        <v>0</v>
      </c>
      <c r="G48" s="788">
        <f t="shared" si="17"/>
        <v>0</v>
      </c>
      <c r="H48" s="788">
        <f t="shared" si="17"/>
        <v>0</v>
      </c>
      <c r="I48" s="788">
        <f t="shared" si="17"/>
        <v>0</v>
      </c>
      <c r="J48" s="788">
        <f t="shared" si="17"/>
        <v>1.4492806</v>
      </c>
      <c r="K48" s="788">
        <f t="shared" si="17"/>
        <v>2.8985612000000001</v>
      </c>
      <c r="L48" s="788">
        <f t="shared" si="17"/>
        <v>2.8985612000000001</v>
      </c>
      <c r="M48" s="788">
        <f t="shared" si="17"/>
        <v>2.8985612000000001</v>
      </c>
      <c r="N48" s="788">
        <f t="shared" si="17"/>
        <v>2.8985612000000001</v>
      </c>
      <c r="O48" s="788">
        <f t="shared" si="17"/>
        <v>2.8985612000000001</v>
      </c>
      <c r="P48" s="788">
        <f t="shared" si="17"/>
        <v>2.8985612000000001</v>
      </c>
      <c r="Q48" s="788">
        <f t="shared" si="17"/>
        <v>2.8985612000000001</v>
      </c>
      <c r="R48" s="788">
        <f t="shared" si="17"/>
        <v>2.8985612000000001</v>
      </c>
      <c r="S48" s="788">
        <f t="shared" si="17"/>
        <v>4.3478418000000003</v>
      </c>
      <c r="T48" s="788">
        <f t="shared" si="17"/>
        <v>0</v>
      </c>
      <c r="U48" s="788">
        <f t="shared" si="17"/>
        <v>0</v>
      </c>
      <c r="V48" s="788">
        <f t="shared" si="17"/>
        <v>0</v>
      </c>
      <c r="W48" s="788">
        <f t="shared" si="17"/>
        <v>0</v>
      </c>
      <c r="X48" s="788">
        <f t="shared" si="17"/>
        <v>0</v>
      </c>
      <c r="Y48" s="788">
        <f t="shared" si="17"/>
        <v>0</v>
      </c>
      <c r="Z48" s="788">
        <f t="shared" si="17"/>
        <v>0</v>
      </c>
      <c r="AA48" s="788">
        <f t="shared" si="17"/>
        <v>0</v>
      </c>
      <c r="AB48" s="788">
        <f t="shared" si="17"/>
        <v>0</v>
      </c>
      <c r="AC48" s="788">
        <f t="shared" si="17"/>
        <v>0</v>
      </c>
      <c r="AD48" s="788">
        <f t="shared" si="17"/>
        <v>0</v>
      </c>
      <c r="AE48" s="788">
        <f t="shared" si="17"/>
        <v>0</v>
      </c>
      <c r="AF48" s="788">
        <f t="shared" si="17"/>
        <v>0</v>
      </c>
      <c r="AG48" s="788">
        <f t="shared" si="17"/>
        <v>0</v>
      </c>
      <c r="AH48" s="778">
        <f t="shared" si="13"/>
        <v>28.985612</v>
      </c>
    </row>
    <row r="49" spans="1:34" x14ac:dyDescent="0.3">
      <c r="A49" s="10"/>
      <c r="B49" s="961" t="s">
        <v>239</v>
      </c>
      <c r="C49" s="788">
        <v>0</v>
      </c>
      <c r="D49" s="788">
        <v>0</v>
      </c>
      <c r="E49" s="788">
        <v>0</v>
      </c>
      <c r="F49" s="788">
        <v>0</v>
      </c>
      <c r="G49" s="788">
        <v>0</v>
      </c>
      <c r="H49" s="788">
        <v>0</v>
      </c>
      <c r="I49" s="778">
        <v>0</v>
      </c>
      <c r="J49" s="788">
        <v>1.4492806</v>
      </c>
      <c r="K49" s="788">
        <v>2.8985612000000001</v>
      </c>
      <c r="L49" s="788">
        <v>2.8985612000000001</v>
      </c>
      <c r="M49" s="788">
        <v>2.8985612000000001</v>
      </c>
      <c r="N49" s="788">
        <v>2.8985612000000001</v>
      </c>
      <c r="O49" s="788">
        <v>2.8985612000000001</v>
      </c>
      <c r="P49" s="788">
        <v>2.8985612000000001</v>
      </c>
      <c r="Q49" s="788">
        <v>2.8985612000000001</v>
      </c>
      <c r="R49" s="788">
        <v>2.8985612000000001</v>
      </c>
      <c r="S49" s="788">
        <v>4.3478418000000003</v>
      </c>
      <c r="T49" s="788">
        <v>0</v>
      </c>
      <c r="U49" s="788">
        <v>0</v>
      </c>
      <c r="V49" s="788">
        <v>0</v>
      </c>
      <c r="W49" s="788">
        <v>0</v>
      </c>
      <c r="X49" s="788">
        <v>0</v>
      </c>
      <c r="Y49" s="788">
        <v>0</v>
      </c>
      <c r="Z49" s="788">
        <v>0</v>
      </c>
      <c r="AA49" s="788">
        <v>0</v>
      </c>
      <c r="AB49" s="788">
        <v>0</v>
      </c>
      <c r="AC49" s="788">
        <v>0</v>
      </c>
      <c r="AD49" s="788">
        <v>0</v>
      </c>
      <c r="AE49" s="788">
        <v>0</v>
      </c>
      <c r="AF49" s="788">
        <v>0</v>
      </c>
      <c r="AG49" s="788">
        <v>0</v>
      </c>
      <c r="AH49" s="778">
        <f t="shared" si="13"/>
        <v>28.985612</v>
      </c>
    </row>
    <row r="50" spans="1:34" x14ac:dyDescent="0.3">
      <c r="A50" s="10"/>
      <c r="B50" s="862" t="s">
        <v>237</v>
      </c>
      <c r="C50" s="788">
        <f>+C51+C52</f>
        <v>0</v>
      </c>
      <c r="D50" s="788">
        <f t="shared" ref="D50:AG50" si="18">+D51+D52</f>
        <v>0</v>
      </c>
      <c r="E50" s="788">
        <f t="shared" si="18"/>
        <v>0</v>
      </c>
      <c r="F50" s="788">
        <f t="shared" si="18"/>
        <v>0</v>
      </c>
      <c r="G50" s="788">
        <f t="shared" si="18"/>
        <v>0</v>
      </c>
      <c r="H50" s="788">
        <f t="shared" si="18"/>
        <v>0</v>
      </c>
      <c r="I50" s="788">
        <f t="shared" si="18"/>
        <v>0</v>
      </c>
      <c r="J50" s="788">
        <f t="shared" si="18"/>
        <v>2.069137</v>
      </c>
      <c r="K50" s="788">
        <f t="shared" si="18"/>
        <v>4.138274</v>
      </c>
      <c r="L50" s="788">
        <f t="shared" si="18"/>
        <v>4.138274</v>
      </c>
      <c r="M50" s="788">
        <f t="shared" si="18"/>
        <v>4.138274</v>
      </c>
      <c r="N50" s="788">
        <f t="shared" si="18"/>
        <v>4.138274</v>
      </c>
      <c r="O50" s="788">
        <f t="shared" si="18"/>
        <v>4.138274</v>
      </c>
      <c r="P50" s="788">
        <f t="shared" si="18"/>
        <v>4.138274</v>
      </c>
      <c r="Q50" s="788">
        <f t="shared" si="18"/>
        <v>4.138274</v>
      </c>
      <c r="R50" s="788">
        <f t="shared" si="18"/>
        <v>4.138274</v>
      </c>
      <c r="S50" s="788">
        <f t="shared" si="18"/>
        <v>6.2074110000000005</v>
      </c>
      <c r="T50" s="788">
        <f t="shared" si="18"/>
        <v>0</v>
      </c>
      <c r="U50" s="788">
        <f t="shared" si="18"/>
        <v>0</v>
      </c>
      <c r="V50" s="788">
        <f t="shared" si="18"/>
        <v>0</v>
      </c>
      <c r="W50" s="788">
        <f t="shared" si="18"/>
        <v>0</v>
      </c>
      <c r="X50" s="788">
        <f t="shared" si="18"/>
        <v>0</v>
      </c>
      <c r="Y50" s="788">
        <f t="shared" si="18"/>
        <v>0</v>
      </c>
      <c r="Z50" s="788">
        <f t="shared" si="18"/>
        <v>0</v>
      </c>
      <c r="AA50" s="788">
        <f t="shared" si="18"/>
        <v>0</v>
      </c>
      <c r="AB50" s="788">
        <f t="shared" si="18"/>
        <v>0</v>
      </c>
      <c r="AC50" s="788">
        <f t="shared" si="18"/>
        <v>0</v>
      </c>
      <c r="AD50" s="788">
        <f t="shared" si="18"/>
        <v>0</v>
      </c>
      <c r="AE50" s="788">
        <f t="shared" si="18"/>
        <v>0</v>
      </c>
      <c r="AF50" s="788">
        <f t="shared" si="18"/>
        <v>0</v>
      </c>
      <c r="AG50" s="788">
        <f t="shared" si="18"/>
        <v>0</v>
      </c>
      <c r="AH50" s="778">
        <f t="shared" si="13"/>
        <v>41.382739999999998</v>
      </c>
    </row>
    <row r="51" spans="1:34" x14ac:dyDescent="0.3">
      <c r="A51" s="10"/>
      <c r="B51" s="962" t="s">
        <v>238</v>
      </c>
      <c r="C51" s="788">
        <v>0</v>
      </c>
      <c r="D51" s="788">
        <v>0</v>
      </c>
      <c r="E51" s="788">
        <v>0</v>
      </c>
      <c r="F51" s="788">
        <v>0</v>
      </c>
      <c r="G51" s="788">
        <v>0</v>
      </c>
      <c r="H51" s="788">
        <v>0</v>
      </c>
      <c r="I51" s="788">
        <v>0</v>
      </c>
      <c r="J51" s="788">
        <v>1.790978</v>
      </c>
      <c r="K51" s="788">
        <v>3.5819560000000004</v>
      </c>
      <c r="L51" s="788">
        <v>3.5819560000000004</v>
      </c>
      <c r="M51" s="788">
        <v>3.5819560000000004</v>
      </c>
      <c r="N51" s="788">
        <v>3.5819560000000004</v>
      </c>
      <c r="O51" s="788">
        <v>3.5819560000000004</v>
      </c>
      <c r="P51" s="788">
        <v>3.5819560000000004</v>
      </c>
      <c r="Q51" s="788">
        <v>3.5819560000000004</v>
      </c>
      <c r="R51" s="788">
        <v>3.5819560000000004</v>
      </c>
      <c r="S51" s="788">
        <v>5.3729340000000008</v>
      </c>
      <c r="T51" s="788">
        <v>0</v>
      </c>
      <c r="U51" s="788">
        <v>0</v>
      </c>
      <c r="V51" s="788">
        <v>0</v>
      </c>
      <c r="W51" s="788">
        <v>0</v>
      </c>
      <c r="X51" s="788">
        <v>0</v>
      </c>
      <c r="Y51" s="788">
        <v>0</v>
      </c>
      <c r="Z51" s="788">
        <v>0</v>
      </c>
      <c r="AA51" s="788">
        <v>0</v>
      </c>
      <c r="AB51" s="788">
        <v>0</v>
      </c>
      <c r="AC51" s="788">
        <v>0</v>
      </c>
      <c r="AD51" s="788">
        <v>0</v>
      </c>
      <c r="AE51" s="788">
        <v>0</v>
      </c>
      <c r="AF51" s="788">
        <v>0</v>
      </c>
      <c r="AG51" s="788">
        <v>0</v>
      </c>
      <c r="AH51" s="778">
        <f t="shared" si="13"/>
        <v>35.81956000000001</v>
      </c>
    </row>
    <row r="52" spans="1:34" x14ac:dyDescent="0.3">
      <c r="A52" s="10"/>
      <c r="B52" s="961" t="s">
        <v>239</v>
      </c>
      <c r="C52" s="788">
        <v>0</v>
      </c>
      <c r="D52" s="788">
        <v>0</v>
      </c>
      <c r="E52" s="788">
        <v>0</v>
      </c>
      <c r="F52" s="788">
        <v>0</v>
      </c>
      <c r="G52" s="788">
        <v>0</v>
      </c>
      <c r="H52" s="788">
        <v>0</v>
      </c>
      <c r="I52" s="778">
        <v>0</v>
      </c>
      <c r="J52" s="788">
        <v>0.27815899999999999</v>
      </c>
      <c r="K52" s="788">
        <v>0.55631799999999998</v>
      </c>
      <c r="L52" s="788">
        <v>0.55631799999999998</v>
      </c>
      <c r="M52" s="788">
        <v>0.55631799999999998</v>
      </c>
      <c r="N52" s="788">
        <v>0.55631799999999998</v>
      </c>
      <c r="O52" s="788">
        <v>0.55631799999999998</v>
      </c>
      <c r="P52" s="788">
        <v>0.55631799999999998</v>
      </c>
      <c r="Q52" s="788">
        <v>0.55631799999999998</v>
      </c>
      <c r="R52" s="788">
        <v>0.55631799999999998</v>
      </c>
      <c r="S52" s="788">
        <v>0.83447700000000002</v>
      </c>
      <c r="T52" s="788">
        <v>0</v>
      </c>
      <c r="U52" s="788">
        <v>0</v>
      </c>
      <c r="V52" s="788">
        <v>0</v>
      </c>
      <c r="W52" s="788">
        <v>0</v>
      </c>
      <c r="X52" s="788">
        <v>0</v>
      </c>
      <c r="Y52" s="788">
        <v>0</v>
      </c>
      <c r="Z52" s="788">
        <v>0</v>
      </c>
      <c r="AA52" s="788">
        <v>0</v>
      </c>
      <c r="AB52" s="788">
        <v>0</v>
      </c>
      <c r="AC52" s="788">
        <v>0</v>
      </c>
      <c r="AD52" s="788">
        <v>0</v>
      </c>
      <c r="AE52" s="788">
        <v>0</v>
      </c>
      <c r="AF52" s="788">
        <v>0</v>
      </c>
      <c r="AG52" s="788">
        <v>0</v>
      </c>
      <c r="AH52" s="778">
        <f t="shared" si="13"/>
        <v>5.56318</v>
      </c>
    </row>
    <row r="53" spans="1:34" x14ac:dyDescent="0.3">
      <c r="A53" s="10"/>
      <c r="B53" s="59" t="s">
        <v>21</v>
      </c>
      <c r="C53" s="788">
        <f>+C54</f>
        <v>0</v>
      </c>
      <c r="D53" s="788">
        <f t="shared" ref="D53:AG53" si="19">+D54</f>
        <v>0</v>
      </c>
      <c r="E53" s="788">
        <f t="shared" si="19"/>
        <v>0</v>
      </c>
      <c r="F53" s="788">
        <f t="shared" si="19"/>
        <v>0</v>
      </c>
      <c r="G53" s="788">
        <f t="shared" si="19"/>
        <v>0</v>
      </c>
      <c r="H53" s="788">
        <f t="shared" si="19"/>
        <v>0</v>
      </c>
      <c r="I53" s="788">
        <f t="shared" si="19"/>
        <v>0</v>
      </c>
      <c r="J53" s="788">
        <f t="shared" si="19"/>
        <v>32.294202796407866</v>
      </c>
      <c r="K53" s="788">
        <f t="shared" si="19"/>
        <v>64.588405592815732</v>
      </c>
      <c r="L53" s="788">
        <f t="shared" si="19"/>
        <v>64.588405592815732</v>
      </c>
      <c r="M53" s="788">
        <f t="shared" si="19"/>
        <v>64.588405592815732</v>
      </c>
      <c r="N53" s="788">
        <f t="shared" si="19"/>
        <v>64.588405592815732</v>
      </c>
      <c r="O53" s="788">
        <f t="shared" si="19"/>
        <v>64.588405592815732</v>
      </c>
      <c r="P53" s="788">
        <f t="shared" si="19"/>
        <v>64.588405592815732</v>
      </c>
      <c r="Q53" s="788">
        <f t="shared" si="19"/>
        <v>64.588405592815732</v>
      </c>
      <c r="R53" s="788">
        <f t="shared" si="19"/>
        <v>64.588405592815732</v>
      </c>
      <c r="S53" s="788">
        <f t="shared" si="19"/>
        <v>96.882608389223591</v>
      </c>
      <c r="T53" s="788">
        <f t="shared" si="19"/>
        <v>0</v>
      </c>
      <c r="U53" s="788">
        <f t="shared" si="19"/>
        <v>0</v>
      </c>
      <c r="V53" s="788">
        <f t="shared" si="19"/>
        <v>0</v>
      </c>
      <c r="W53" s="788">
        <f t="shared" si="19"/>
        <v>0</v>
      </c>
      <c r="X53" s="788">
        <f t="shared" si="19"/>
        <v>0</v>
      </c>
      <c r="Y53" s="788">
        <f t="shared" si="19"/>
        <v>0</v>
      </c>
      <c r="Z53" s="788">
        <f t="shared" si="19"/>
        <v>0</v>
      </c>
      <c r="AA53" s="788">
        <f t="shared" si="19"/>
        <v>0</v>
      </c>
      <c r="AB53" s="788">
        <f t="shared" si="19"/>
        <v>0</v>
      </c>
      <c r="AC53" s="788">
        <f t="shared" si="19"/>
        <v>0</v>
      </c>
      <c r="AD53" s="788">
        <f t="shared" si="19"/>
        <v>0</v>
      </c>
      <c r="AE53" s="788">
        <f t="shared" si="19"/>
        <v>0</v>
      </c>
      <c r="AF53" s="788">
        <f t="shared" si="19"/>
        <v>0</v>
      </c>
      <c r="AG53" s="788">
        <f t="shared" si="19"/>
        <v>0</v>
      </c>
      <c r="AH53" s="778">
        <f t="shared" si="13"/>
        <v>645.8840559281573</v>
      </c>
    </row>
    <row r="54" spans="1:34" x14ac:dyDescent="0.3">
      <c r="A54" s="10"/>
      <c r="B54" s="961" t="s">
        <v>237</v>
      </c>
      <c r="C54" s="788">
        <v>0</v>
      </c>
      <c r="D54" s="788">
        <v>0</v>
      </c>
      <c r="E54" s="788">
        <v>0</v>
      </c>
      <c r="F54" s="788">
        <v>0</v>
      </c>
      <c r="G54" s="788">
        <v>0</v>
      </c>
      <c r="H54" s="788">
        <v>0</v>
      </c>
      <c r="I54" s="778">
        <v>0</v>
      </c>
      <c r="J54" s="788">
        <v>32.294202796407866</v>
      </c>
      <c r="K54" s="788">
        <v>64.588405592815732</v>
      </c>
      <c r="L54" s="788">
        <v>64.588405592815732</v>
      </c>
      <c r="M54" s="788">
        <v>64.588405592815732</v>
      </c>
      <c r="N54" s="788">
        <v>64.588405592815732</v>
      </c>
      <c r="O54" s="788">
        <v>64.588405592815732</v>
      </c>
      <c r="P54" s="788">
        <v>64.588405592815732</v>
      </c>
      <c r="Q54" s="788">
        <v>64.588405592815732</v>
      </c>
      <c r="R54" s="788">
        <v>64.588405592815732</v>
      </c>
      <c r="S54" s="788">
        <v>96.882608389223591</v>
      </c>
      <c r="T54" s="788">
        <v>0</v>
      </c>
      <c r="U54" s="788">
        <v>0</v>
      </c>
      <c r="V54" s="788">
        <v>0</v>
      </c>
      <c r="W54" s="788">
        <v>0</v>
      </c>
      <c r="X54" s="788">
        <v>0</v>
      </c>
      <c r="Y54" s="788">
        <v>0</v>
      </c>
      <c r="Z54" s="788">
        <v>0</v>
      </c>
      <c r="AA54" s="788">
        <v>0</v>
      </c>
      <c r="AB54" s="788">
        <v>0</v>
      </c>
      <c r="AC54" s="788">
        <v>0</v>
      </c>
      <c r="AD54" s="788">
        <v>0</v>
      </c>
      <c r="AE54" s="788">
        <v>0</v>
      </c>
      <c r="AF54" s="788">
        <v>0</v>
      </c>
      <c r="AG54" s="788">
        <v>0</v>
      </c>
      <c r="AH54" s="778">
        <f t="shared" si="13"/>
        <v>645.8840559281573</v>
      </c>
    </row>
    <row r="55" spans="1:34" x14ac:dyDescent="0.3">
      <c r="A55" s="10"/>
      <c r="B55" s="59" t="s">
        <v>22</v>
      </c>
      <c r="C55" s="788">
        <f>+C56+C57</f>
        <v>0</v>
      </c>
      <c r="D55" s="788">
        <f t="shared" ref="D55:AG55" si="20">+D56+D57</f>
        <v>0</v>
      </c>
      <c r="E55" s="788">
        <f t="shared" si="20"/>
        <v>0</v>
      </c>
      <c r="F55" s="788">
        <f t="shared" si="20"/>
        <v>0</v>
      </c>
      <c r="G55" s="788">
        <f t="shared" si="20"/>
        <v>0</v>
      </c>
      <c r="H55" s="788">
        <f t="shared" si="20"/>
        <v>0</v>
      </c>
      <c r="I55" s="788">
        <f t="shared" si="20"/>
        <v>0</v>
      </c>
      <c r="J55" s="788">
        <f t="shared" si="20"/>
        <v>7.8721437261035803</v>
      </c>
      <c r="K55" s="788">
        <f t="shared" si="20"/>
        <v>15.744287452207161</v>
      </c>
      <c r="L55" s="788">
        <f t="shared" si="20"/>
        <v>15.744287452207161</v>
      </c>
      <c r="M55" s="788">
        <f t="shared" si="20"/>
        <v>15.744287452207161</v>
      </c>
      <c r="N55" s="788">
        <f t="shared" si="20"/>
        <v>15.744287452207161</v>
      </c>
      <c r="O55" s="788">
        <f t="shared" si="20"/>
        <v>15.744287452207161</v>
      </c>
      <c r="P55" s="788">
        <f t="shared" si="20"/>
        <v>15.744287452207161</v>
      </c>
      <c r="Q55" s="788">
        <f t="shared" si="20"/>
        <v>15.744287452207161</v>
      </c>
      <c r="R55" s="788">
        <f t="shared" si="20"/>
        <v>15.744287452207161</v>
      </c>
      <c r="S55" s="788">
        <f t="shared" si="20"/>
        <v>23.616431178310741</v>
      </c>
      <c r="T55" s="788">
        <f t="shared" si="20"/>
        <v>0</v>
      </c>
      <c r="U55" s="788">
        <f t="shared" si="20"/>
        <v>0</v>
      </c>
      <c r="V55" s="788">
        <f t="shared" si="20"/>
        <v>0</v>
      </c>
      <c r="W55" s="788">
        <f t="shared" si="20"/>
        <v>0</v>
      </c>
      <c r="X55" s="788">
        <f t="shared" si="20"/>
        <v>0</v>
      </c>
      <c r="Y55" s="788">
        <f t="shared" si="20"/>
        <v>0</v>
      </c>
      <c r="Z55" s="788">
        <f t="shared" si="20"/>
        <v>0</v>
      </c>
      <c r="AA55" s="788">
        <f t="shared" si="20"/>
        <v>0</v>
      </c>
      <c r="AB55" s="788">
        <f t="shared" si="20"/>
        <v>0</v>
      </c>
      <c r="AC55" s="788">
        <f t="shared" si="20"/>
        <v>0</v>
      </c>
      <c r="AD55" s="788">
        <f t="shared" si="20"/>
        <v>0</v>
      </c>
      <c r="AE55" s="788">
        <f t="shared" si="20"/>
        <v>0</v>
      </c>
      <c r="AF55" s="788">
        <f t="shared" si="20"/>
        <v>0</v>
      </c>
      <c r="AG55" s="788">
        <f t="shared" si="20"/>
        <v>0</v>
      </c>
      <c r="AH55" s="778">
        <f t="shared" si="13"/>
        <v>157.44287452207161</v>
      </c>
    </row>
    <row r="56" spans="1:34" x14ac:dyDescent="0.3">
      <c r="A56" s="10"/>
      <c r="B56" s="862" t="s">
        <v>236</v>
      </c>
      <c r="C56" s="788">
        <v>0</v>
      </c>
      <c r="D56" s="788">
        <v>0</v>
      </c>
      <c r="E56" s="788">
        <v>0</v>
      </c>
      <c r="F56" s="788">
        <v>0</v>
      </c>
      <c r="G56" s="788">
        <v>0</v>
      </c>
      <c r="H56" s="788">
        <v>0</v>
      </c>
      <c r="I56" s="778">
        <v>0</v>
      </c>
      <c r="J56" s="788">
        <v>7.5011483315954122</v>
      </c>
      <c r="K56" s="788">
        <v>15.002296663190824</v>
      </c>
      <c r="L56" s="788">
        <v>15.002296663190824</v>
      </c>
      <c r="M56" s="788">
        <v>15.002296663190824</v>
      </c>
      <c r="N56" s="788">
        <v>15.002296663190824</v>
      </c>
      <c r="O56" s="788">
        <v>15.002296663190824</v>
      </c>
      <c r="P56" s="788">
        <v>15.002296663190824</v>
      </c>
      <c r="Q56" s="788">
        <v>15.002296663190824</v>
      </c>
      <c r="R56" s="788">
        <v>15.002296663190824</v>
      </c>
      <c r="S56" s="788">
        <v>22.503444994786236</v>
      </c>
      <c r="T56" s="788">
        <v>0</v>
      </c>
      <c r="U56" s="788">
        <v>0</v>
      </c>
      <c r="V56" s="788">
        <v>0</v>
      </c>
      <c r="W56" s="788">
        <v>0</v>
      </c>
      <c r="X56" s="788">
        <v>0</v>
      </c>
      <c r="Y56" s="788">
        <v>0</v>
      </c>
      <c r="Z56" s="788">
        <v>0</v>
      </c>
      <c r="AA56" s="788">
        <v>0</v>
      </c>
      <c r="AB56" s="788">
        <v>0</v>
      </c>
      <c r="AC56" s="788">
        <v>0</v>
      </c>
      <c r="AD56" s="788">
        <v>0</v>
      </c>
      <c r="AE56" s="788">
        <v>0</v>
      </c>
      <c r="AF56" s="788">
        <v>0</v>
      </c>
      <c r="AG56" s="788">
        <v>0</v>
      </c>
      <c r="AH56" s="778">
        <f t="shared" si="13"/>
        <v>150.02296663190822</v>
      </c>
    </row>
    <row r="57" spans="1:34" x14ac:dyDescent="0.3">
      <c r="A57" s="10"/>
      <c r="B57" s="862" t="s">
        <v>237</v>
      </c>
      <c r="C57" s="788">
        <v>0</v>
      </c>
      <c r="D57" s="788">
        <v>0</v>
      </c>
      <c r="E57" s="788">
        <v>0</v>
      </c>
      <c r="F57" s="788">
        <v>0</v>
      </c>
      <c r="G57" s="788">
        <v>0</v>
      </c>
      <c r="H57" s="788">
        <v>0</v>
      </c>
      <c r="I57" s="867">
        <v>0</v>
      </c>
      <c r="J57" s="788">
        <v>0.37099539450816826</v>
      </c>
      <c r="K57" s="788">
        <v>0.74199078901633653</v>
      </c>
      <c r="L57" s="788">
        <v>0.74199078901633653</v>
      </c>
      <c r="M57" s="788">
        <v>0.74199078901633653</v>
      </c>
      <c r="N57" s="788">
        <v>0.74199078901633653</v>
      </c>
      <c r="O57" s="788">
        <v>0.74199078901633653</v>
      </c>
      <c r="P57" s="788">
        <v>0.74199078901633653</v>
      </c>
      <c r="Q57" s="788">
        <v>0.74199078901633653</v>
      </c>
      <c r="R57" s="788">
        <v>0.74199078901633653</v>
      </c>
      <c r="S57" s="788">
        <v>1.1129861835245047</v>
      </c>
      <c r="T57" s="788">
        <v>0</v>
      </c>
      <c r="U57" s="788">
        <v>0</v>
      </c>
      <c r="V57" s="788">
        <v>0</v>
      </c>
      <c r="W57" s="788">
        <v>0</v>
      </c>
      <c r="X57" s="788">
        <v>0</v>
      </c>
      <c r="Y57" s="788">
        <v>0</v>
      </c>
      <c r="Z57" s="788">
        <v>0</v>
      </c>
      <c r="AA57" s="788">
        <v>0</v>
      </c>
      <c r="AB57" s="788">
        <v>0</v>
      </c>
      <c r="AC57" s="788">
        <v>0</v>
      </c>
      <c r="AD57" s="788">
        <v>0</v>
      </c>
      <c r="AE57" s="788">
        <v>0</v>
      </c>
      <c r="AF57" s="788">
        <v>0</v>
      </c>
      <c r="AG57" s="788">
        <v>0</v>
      </c>
      <c r="AH57" s="867">
        <f t="shared" si="13"/>
        <v>7.4199078901633637</v>
      </c>
    </row>
    <row r="58" spans="1:34" x14ac:dyDescent="0.3">
      <c r="A58" s="10"/>
      <c r="B58" s="764" t="s">
        <v>74</v>
      </c>
      <c r="C58" s="765">
        <f>+C59+C62+C67</f>
        <v>0</v>
      </c>
      <c r="D58" s="765">
        <f t="shared" ref="D58:AG58" si="21">+D59+D62+D67</f>
        <v>0</v>
      </c>
      <c r="E58" s="765">
        <f t="shared" si="21"/>
        <v>356.33553550146746</v>
      </c>
      <c r="F58" s="765">
        <f t="shared" si="21"/>
        <v>356.33553550146746</v>
      </c>
      <c r="G58" s="765">
        <f t="shared" si="21"/>
        <v>356.33553550146746</v>
      </c>
      <c r="H58" s="765">
        <f t="shared" si="21"/>
        <v>356.33553550146746</v>
      </c>
      <c r="I58" s="765">
        <f t="shared" si="21"/>
        <v>356.33553550146746</v>
      </c>
      <c r="J58" s="765">
        <f t="shared" si="21"/>
        <v>356.33553550146746</v>
      </c>
      <c r="K58" s="765">
        <f t="shared" si="21"/>
        <v>356.33553550146746</v>
      </c>
      <c r="L58" s="765">
        <f t="shared" si="21"/>
        <v>356.33553550146746</v>
      </c>
      <c r="M58" s="765">
        <f t="shared" si="21"/>
        <v>356.33553550146746</v>
      </c>
      <c r="N58" s="765">
        <f t="shared" si="21"/>
        <v>356.33553550146746</v>
      </c>
      <c r="O58" s="765">
        <f t="shared" si="21"/>
        <v>0</v>
      </c>
      <c r="P58" s="765">
        <f t="shared" si="21"/>
        <v>0</v>
      </c>
      <c r="Q58" s="765">
        <f t="shared" si="21"/>
        <v>0</v>
      </c>
      <c r="R58" s="765">
        <f t="shared" si="21"/>
        <v>0</v>
      </c>
      <c r="S58" s="765">
        <f t="shared" si="21"/>
        <v>0</v>
      </c>
      <c r="T58" s="765">
        <f t="shared" si="21"/>
        <v>0</v>
      </c>
      <c r="U58" s="765">
        <f t="shared" si="21"/>
        <v>0</v>
      </c>
      <c r="V58" s="765">
        <f t="shared" si="21"/>
        <v>0</v>
      </c>
      <c r="W58" s="765">
        <f t="shared" si="21"/>
        <v>0</v>
      </c>
      <c r="X58" s="765">
        <f t="shared" si="21"/>
        <v>0</v>
      </c>
      <c r="Y58" s="765">
        <f t="shared" si="21"/>
        <v>0</v>
      </c>
      <c r="Z58" s="765">
        <f t="shared" si="21"/>
        <v>0</v>
      </c>
      <c r="AA58" s="765">
        <f t="shared" si="21"/>
        <v>0</v>
      </c>
      <c r="AB58" s="765">
        <f t="shared" si="21"/>
        <v>0</v>
      </c>
      <c r="AC58" s="765">
        <f t="shared" si="21"/>
        <v>0</v>
      </c>
      <c r="AD58" s="765">
        <f t="shared" si="21"/>
        <v>0</v>
      </c>
      <c r="AE58" s="765">
        <f t="shared" si="21"/>
        <v>0</v>
      </c>
      <c r="AF58" s="765">
        <f t="shared" si="21"/>
        <v>0</v>
      </c>
      <c r="AG58" s="765">
        <f t="shared" si="21"/>
        <v>0</v>
      </c>
      <c r="AH58" s="773">
        <f t="shared" si="13"/>
        <v>3563.3553550146739</v>
      </c>
    </row>
    <row r="59" spans="1:34" x14ac:dyDescent="0.3">
      <c r="A59" s="10"/>
      <c r="B59" s="59" t="s">
        <v>23</v>
      </c>
      <c r="C59" s="788">
        <f>+C60+C61</f>
        <v>0</v>
      </c>
      <c r="D59" s="788">
        <f t="shared" ref="D59:AG59" si="22">+D60+D61</f>
        <v>0</v>
      </c>
      <c r="E59" s="788">
        <f t="shared" si="22"/>
        <v>346.41408461255543</v>
      </c>
      <c r="F59" s="788">
        <f t="shared" si="22"/>
        <v>346.41408461255543</v>
      </c>
      <c r="G59" s="788">
        <f t="shared" si="22"/>
        <v>346.41408461255543</v>
      </c>
      <c r="H59" s="788">
        <f t="shared" si="22"/>
        <v>346.41408461255543</v>
      </c>
      <c r="I59" s="788">
        <f t="shared" si="22"/>
        <v>346.41408461255543</v>
      </c>
      <c r="J59" s="788">
        <f t="shared" si="22"/>
        <v>346.41408461255543</v>
      </c>
      <c r="K59" s="788">
        <f t="shared" si="22"/>
        <v>346.41408461255543</v>
      </c>
      <c r="L59" s="788">
        <f t="shared" si="22"/>
        <v>346.41408461255543</v>
      </c>
      <c r="M59" s="788">
        <f t="shared" si="22"/>
        <v>346.41408461255543</v>
      </c>
      <c r="N59" s="788">
        <f t="shared" si="22"/>
        <v>346.41408461255543</v>
      </c>
      <c r="O59" s="788">
        <f t="shared" si="22"/>
        <v>0</v>
      </c>
      <c r="P59" s="788">
        <f t="shared" si="22"/>
        <v>0</v>
      </c>
      <c r="Q59" s="788">
        <f t="shared" si="22"/>
        <v>0</v>
      </c>
      <c r="R59" s="788">
        <f t="shared" si="22"/>
        <v>0</v>
      </c>
      <c r="S59" s="788">
        <f t="shared" si="22"/>
        <v>0</v>
      </c>
      <c r="T59" s="788">
        <f t="shared" si="22"/>
        <v>0</v>
      </c>
      <c r="U59" s="788">
        <f t="shared" si="22"/>
        <v>0</v>
      </c>
      <c r="V59" s="788">
        <f t="shared" si="22"/>
        <v>0</v>
      </c>
      <c r="W59" s="788">
        <f t="shared" si="22"/>
        <v>0</v>
      </c>
      <c r="X59" s="788">
        <f t="shared" si="22"/>
        <v>0</v>
      </c>
      <c r="Y59" s="788">
        <f t="shared" si="22"/>
        <v>0</v>
      </c>
      <c r="Z59" s="788">
        <f t="shared" si="22"/>
        <v>0</v>
      </c>
      <c r="AA59" s="788">
        <f t="shared" si="22"/>
        <v>0</v>
      </c>
      <c r="AB59" s="788">
        <f t="shared" si="22"/>
        <v>0</v>
      </c>
      <c r="AC59" s="788">
        <f t="shared" si="22"/>
        <v>0</v>
      </c>
      <c r="AD59" s="788">
        <f t="shared" si="22"/>
        <v>0</v>
      </c>
      <c r="AE59" s="788">
        <f t="shared" si="22"/>
        <v>0</v>
      </c>
      <c r="AF59" s="788">
        <f t="shared" si="22"/>
        <v>0</v>
      </c>
      <c r="AG59" s="788">
        <f t="shared" si="22"/>
        <v>0</v>
      </c>
      <c r="AH59" s="822">
        <f t="shared" si="13"/>
        <v>3464.1408461255551</v>
      </c>
    </row>
    <row r="60" spans="1:34" x14ac:dyDescent="0.3">
      <c r="A60" s="10"/>
      <c r="B60" s="862" t="s">
        <v>236</v>
      </c>
      <c r="C60" s="788">
        <v>0</v>
      </c>
      <c r="D60" s="788">
        <v>0</v>
      </c>
      <c r="E60" s="788">
        <v>342.2993923441486</v>
      </c>
      <c r="F60" s="788">
        <v>342.2993923441486</v>
      </c>
      <c r="G60" s="788">
        <v>342.2993923441486</v>
      </c>
      <c r="H60" s="788">
        <v>342.2993923441486</v>
      </c>
      <c r="I60" s="778">
        <v>342.2993923441486</v>
      </c>
      <c r="J60" s="788">
        <v>342.2993923441486</v>
      </c>
      <c r="K60" s="788">
        <v>342.2993923441486</v>
      </c>
      <c r="L60" s="788">
        <v>342.2993923441486</v>
      </c>
      <c r="M60" s="788">
        <v>342.2993923441486</v>
      </c>
      <c r="N60" s="788">
        <v>342.2993923441486</v>
      </c>
      <c r="O60" s="788">
        <v>0</v>
      </c>
      <c r="P60" s="788">
        <v>0</v>
      </c>
      <c r="Q60" s="788">
        <v>0</v>
      </c>
      <c r="R60" s="788">
        <v>0</v>
      </c>
      <c r="S60" s="788">
        <v>0</v>
      </c>
      <c r="T60" s="788">
        <v>0</v>
      </c>
      <c r="U60" s="788">
        <v>0</v>
      </c>
      <c r="V60" s="788">
        <v>0</v>
      </c>
      <c r="W60" s="788">
        <v>0</v>
      </c>
      <c r="X60" s="788">
        <v>0</v>
      </c>
      <c r="Y60" s="788">
        <v>0</v>
      </c>
      <c r="Z60" s="788">
        <v>0</v>
      </c>
      <c r="AA60" s="788">
        <v>0</v>
      </c>
      <c r="AB60" s="788">
        <v>0</v>
      </c>
      <c r="AC60" s="788">
        <v>0</v>
      </c>
      <c r="AD60" s="788">
        <v>0</v>
      </c>
      <c r="AE60" s="788">
        <v>0</v>
      </c>
      <c r="AF60" s="788">
        <v>0</v>
      </c>
      <c r="AG60" s="788">
        <v>0</v>
      </c>
      <c r="AH60" s="778">
        <f t="shared" si="13"/>
        <v>3422.993923441486</v>
      </c>
    </row>
    <row r="61" spans="1:34" x14ac:dyDescent="0.3">
      <c r="A61" s="10"/>
      <c r="B61" s="862" t="s">
        <v>237</v>
      </c>
      <c r="C61" s="788">
        <v>0</v>
      </c>
      <c r="D61" s="788">
        <v>0</v>
      </c>
      <c r="E61" s="788">
        <v>4.114692268406845</v>
      </c>
      <c r="F61" s="788">
        <v>4.114692268406845</v>
      </c>
      <c r="G61" s="788">
        <v>4.114692268406845</v>
      </c>
      <c r="H61" s="788">
        <v>4.114692268406845</v>
      </c>
      <c r="I61" s="778">
        <v>4.114692268406845</v>
      </c>
      <c r="J61" s="788">
        <v>4.114692268406845</v>
      </c>
      <c r="K61" s="788">
        <v>4.114692268406845</v>
      </c>
      <c r="L61" s="788">
        <v>4.114692268406845</v>
      </c>
      <c r="M61" s="788">
        <v>4.114692268406845</v>
      </c>
      <c r="N61" s="788">
        <v>4.114692268406845</v>
      </c>
      <c r="O61" s="788">
        <v>0</v>
      </c>
      <c r="P61" s="788">
        <v>0</v>
      </c>
      <c r="Q61" s="788">
        <v>0</v>
      </c>
      <c r="R61" s="788">
        <v>0</v>
      </c>
      <c r="S61" s="788">
        <v>0</v>
      </c>
      <c r="T61" s="788">
        <v>0</v>
      </c>
      <c r="U61" s="788">
        <v>0</v>
      </c>
      <c r="V61" s="788">
        <v>0</v>
      </c>
      <c r="W61" s="788">
        <v>0</v>
      </c>
      <c r="X61" s="788">
        <v>0</v>
      </c>
      <c r="Y61" s="788">
        <v>0</v>
      </c>
      <c r="Z61" s="788">
        <v>0</v>
      </c>
      <c r="AA61" s="788">
        <v>0</v>
      </c>
      <c r="AB61" s="788">
        <v>0</v>
      </c>
      <c r="AC61" s="788">
        <v>0</v>
      </c>
      <c r="AD61" s="788">
        <v>0</v>
      </c>
      <c r="AE61" s="788">
        <v>0</v>
      </c>
      <c r="AF61" s="788">
        <v>0</v>
      </c>
      <c r="AG61" s="788">
        <v>0</v>
      </c>
      <c r="AH61" s="778">
        <f t="shared" si="13"/>
        <v>41.146922684068443</v>
      </c>
    </row>
    <row r="62" spans="1:34" x14ac:dyDescent="0.3">
      <c r="A62" s="10"/>
      <c r="B62" s="59" t="s">
        <v>24</v>
      </c>
      <c r="C62" s="788">
        <f>+C63+C65</f>
        <v>0</v>
      </c>
      <c r="D62" s="788">
        <f t="shared" ref="D62:AG62" si="23">+D63+D65</f>
        <v>0</v>
      </c>
      <c r="E62" s="788">
        <f t="shared" si="23"/>
        <v>1.3842317</v>
      </c>
      <c r="F62" s="788">
        <f t="shared" si="23"/>
        <v>1.3842317</v>
      </c>
      <c r="G62" s="788">
        <f t="shared" si="23"/>
        <v>1.3842317</v>
      </c>
      <c r="H62" s="788">
        <f t="shared" si="23"/>
        <v>1.3842317</v>
      </c>
      <c r="I62" s="788">
        <f t="shared" si="23"/>
        <v>1.3842317</v>
      </c>
      <c r="J62" s="788">
        <f t="shared" si="23"/>
        <v>1.3842317</v>
      </c>
      <c r="K62" s="788">
        <f t="shared" si="23"/>
        <v>1.3842317</v>
      </c>
      <c r="L62" s="788">
        <f t="shared" si="23"/>
        <v>1.3842317</v>
      </c>
      <c r="M62" s="788">
        <f t="shared" si="23"/>
        <v>1.3842317</v>
      </c>
      <c r="N62" s="788">
        <f t="shared" si="23"/>
        <v>1.3842317</v>
      </c>
      <c r="O62" s="788">
        <f t="shared" si="23"/>
        <v>0</v>
      </c>
      <c r="P62" s="788">
        <f t="shared" si="23"/>
        <v>0</v>
      </c>
      <c r="Q62" s="788">
        <f t="shared" si="23"/>
        <v>0</v>
      </c>
      <c r="R62" s="788">
        <f t="shared" si="23"/>
        <v>0</v>
      </c>
      <c r="S62" s="788">
        <f t="shared" si="23"/>
        <v>0</v>
      </c>
      <c r="T62" s="788">
        <f t="shared" si="23"/>
        <v>0</v>
      </c>
      <c r="U62" s="788">
        <f t="shared" si="23"/>
        <v>0</v>
      </c>
      <c r="V62" s="788">
        <f t="shared" si="23"/>
        <v>0</v>
      </c>
      <c r="W62" s="788">
        <f t="shared" si="23"/>
        <v>0</v>
      </c>
      <c r="X62" s="788">
        <f t="shared" si="23"/>
        <v>0</v>
      </c>
      <c r="Y62" s="788">
        <f t="shared" si="23"/>
        <v>0</v>
      </c>
      <c r="Z62" s="788">
        <f t="shared" si="23"/>
        <v>0</v>
      </c>
      <c r="AA62" s="788">
        <f t="shared" si="23"/>
        <v>0</v>
      </c>
      <c r="AB62" s="788">
        <f t="shared" si="23"/>
        <v>0</v>
      </c>
      <c r="AC62" s="788">
        <f t="shared" si="23"/>
        <v>0</v>
      </c>
      <c r="AD62" s="788">
        <f t="shared" si="23"/>
        <v>0</v>
      </c>
      <c r="AE62" s="788">
        <f t="shared" si="23"/>
        <v>0</v>
      </c>
      <c r="AF62" s="788">
        <f t="shared" si="23"/>
        <v>0</v>
      </c>
      <c r="AG62" s="788">
        <f t="shared" si="23"/>
        <v>0</v>
      </c>
      <c r="AH62" s="778">
        <f t="shared" si="13"/>
        <v>13.842317000000001</v>
      </c>
    </row>
    <row r="63" spans="1:34" x14ac:dyDescent="0.3">
      <c r="A63" s="10"/>
      <c r="B63" s="862" t="s">
        <v>236</v>
      </c>
      <c r="C63" s="788">
        <f>+C64</f>
        <v>0</v>
      </c>
      <c r="D63" s="788">
        <f t="shared" ref="D63:AG63" si="24">+D64</f>
        <v>0</v>
      </c>
      <c r="E63" s="788">
        <f t="shared" si="24"/>
        <v>0.98391550000000005</v>
      </c>
      <c r="F63" s="788">
        <f t="shared" si="24"/>
        <v>0.98391550000000005</v>
      </c>
      <c r="G63" s="788">
        <f t="shared" si="24"/>
        <v>0.98391550000000005</v>
      </c>
      <c r="H63" s="788">
        <f t="shared" si="24"/>
        <v>0.98391550000000005</v>
      </c>
      <c r="I63" s="788">
        <f t="shared" si="24"/>
        <v>0.98391550000000005</v>
      </c>
      <c r="J63" s="788">
        <f t="shared" si="24"/>
        <v>0.98391550000000005</v>
      </c>
      <c r="K63" s="788">
        <f t="shared" si="24"/>
        <v>0.98391550000000005</v>
      </c>
      <c r="L63" s="788">
        <f t="shared" si="24"/>
        <v>0.98391550000000005</v>
      </c>
      <c r="M63" s="788">
        <f t="shared" si="24"/>
        <v>0.98391550000000005</v>
      </c>
      <c r="N63" s="788">
        <f t="shared" si="24"/>
        <v>0.98391550000000005</v>
      </c>
      <c r="O63" s="788">
        <f t="shared" si="24"/>
        <v>0</v>
      </c>
      <c r="P63" s="788">
        <f t="shared" si="24"/>
        <v>0</v>
      </c>
      <c r="Q63" s="788">
        <f t="shared" si="24"/>
        <v>0</v>
      </c>
      <c r="R63" s="788">
        <f t="shared" si="24"/>
        <v>0</v>
      </c>
      <c r="S63" s="788">
        <f t="shared" si="24"/>
        <v>0</v>
      </c>
      <c r="T63" s="788">
        <f t="shared" si="24"/>
        <v>0</v>
      </c>
      <c r="U63" s="788">
        <f t="shared" si="24"/>
        <v>0</v>
      </c>
      <c r="V63" s="788">
        <f t="shared" si="24"/>
        <v>0</v>
      </c>
      <c r="W63" s="788">
        <f t="shared" si="24"/>
        <v>0</v>
      </c>
      <c r="X63" s="788">
        <f t="shared" si="24"/>
        <v>0</v>
      </c>
      <c r="Y63" s="788">
        <f t="shared" si="24"/>
        <v>0</v>
      </c>
      <c r="Z63" s="788">
        <f t="shared" si="24"/>
        <v>0</v>
      </c>
      <c r="AA63" s="788">
        <f t="shared" si="24"/>
        <v>0</v>
      </c>
      <c r="AB63" s="788">
        <f t="shared" si="24"/>
        <v>0</v>
      </c>
      <c r="AC63" s="788">
        <f t="shared" si="24"/>
        <v>0</v>
      </c>
      <c r="AD63" s="788">
        <f t="shared" si="24"/>
        <v>0</v>
      </c>
      <c r="AE63" s="788">
        <f t="shared" si="24"/>
        <v>0</v>
      </c>
      <c r="AF63" s="788">
        <f t="shared" si="24"/>
        <v>0</v>
      </c>
      <c r="AG63" s="788">
        <f t="shared" si="24"/>
        <v>0</v>
      </c>
      <c r="AH63" s="778">
        <f t="shared" si="13"/>
        <v>9.8391549999999999</v>
      </c>
    </row>
    <row r="64" spans="1:34" x14ac:dyDescent="0.3">
      <c r="A64" s="10"/>
      <c r="B64" s="961" t="s">
        <v>239</v>
      </c>
      <c r="C64" s="788">
        <v>0</v>
      </c>
      <c r="D64" s="788">
        <v>0</v>
      </c>
      <c r="E64" s="788">
        <v>0.98391550000000005</v>
      </c>
      <c r="F64" s="788">
        <v>0.98391550000000005</v>
      </c>
      <c r="G64" s="788">
        <v>0.98391550000000005</v>
      </c>
      <c r="H64" s="788">
        <v>0.98391550000000005</v>
      </c>
      <c r="I64" s="778">
        <v>0.98391550000000005</v>
      </c>
      <c r="J64" s="788">
        <v>0.98391550000000005</v>
      </c>
      <c r="K64" s="788">
        <v>0.98391550000000005</v>
      </c>
      <c r="L64" s="788">
        <v>0.98391550000000005</v>
      </c>
      <c r="M64" s="788">
        <v>0.98391550000000005</v>
      </c>
      <c r="N64" s="788">
        <v>0.98391550000000005</v>
      </c>
      <c r="O64" s="788">
        <v>0</v>
      </c>
      <c r="P64" s="788">
        <v>0</v>
      </c>
      <c r="Q64" s="788">
        <v>0</v>
      </c>
      <c r="R64" s="788">
        <v>0</v>
      </c>
      <c r="S64" s="788">
        <v>0</v>
      </c>
      <c r="T64" s="788">
        <v>0</v>
      </c>
      <c r="U64" s="788">
        <v>0</v>
      </c>
      <c r="V64" s="788">
        <v>0</v>
      </c>
      <c r="W64" s="788">
        <v>0</v>
      </c>
      <c r="X64" s="788">
        <v>0</v>
      </c>
      <c r="Y64" s="788">
        <v>0</v>
      </c>
      <c r="Z64" s="788">
        <v>0</v>
      </c>
      <c r="AA64" s="788">
        <v>0</v>
      </c>
      <c r="AB64" s="788">
        <v>0</v>
      </c>
      <c r="AC64" s="788">
        <v>0</v>
      </c>
      <c r="AD64" s="788">
        <v>0</v>
      </c>
      <c r="AE64" s="788">
        <v>0</v>
      </c>
      <c r="AF64" s="788">
        <v>0</v>
      </c>
      <c r="AG64" s="788">
        <v>0</v>
      </c>
      <c r="AH64" s="778">
        <f t="shared" si="13"/>
        <v>9.8391549999999999</v>
      </c>
    </row>
    <row r="65" spans="1:34" x14ac:dyDescent="0.3">
      <c r="A65" s="10"/>
      <c r="B65" s="862" t="s">
        <v>237</v>
      </c>
      <c r="C65" s="788">
        <f>+C66</f>
        <v>0</v>
      </c>
      <c r="D65" s="788">
        <f t="shared" ref="D65:AG65" si="25">+D66</f>
        <v>0</v>
      </c>
      <c r="E65" s="788">
        <f t="shared" si="25"/>
        <v>0.40031620000000001</v>
      </c>
      <c r="F65" s="788">
        <f t="shared" si="25"/>
        <v>0.40031620000000001</v>
      </c>
      <c r="G65" s="788">
        <f t="shared" si="25"/>
        <v>0.40031620000000001</v>
      </c>
      <c r="H65" s="788">
        <f t="shared" si="25"/>
        <v>0.40031620000000001</v>
      </c>
      <c r="I65" s="788">
        <f t="shared" si="25"/>
        <v>0.40031620000000001</v>
      </c>
      <c r="J65" s="788">
        <f t="shared" si="25"/>
        <v>0.40031620000000001</v>
      </c>
      <c r="K65" s="788">
        <f t="shared" si="25"/>
        <v>0.40031620000000001</v>
      </c>
      <c r="L65" s="788">
        <f t="shared" si="25"/>
        <v>0.40031620000000001</v>
      </c>
      <c r="M65" s="788">
        <f t="shared" si="25"/>
        <v>0.40031620000000001</v>
      </c>
      <c r="N65" s="788">
        <f t="shared" si="25"/>
        <v>0.40031620000000001</v>
      </c>
      <c r="O65" s="788">
        <f t="shared" si="25"/>
        <v>0</v>
      </c>
      <c r="P65" s="788">
        <f t="shared" si="25"/>
        <v>0</v>
      </c>
      <c r="Q65" s="788">
        <f t="shared" si="25"/>
        <v>0</v>
      </c>
      <c r="R65" s="788">
        <f t="shared" si="25"/>
        <v>0</v>
      </c>
      <c r="S65" s="788">
        <f t="shared" si="25"/>
        <v>0</v>
      </c>
      <c r="T65" s="788">
        <f t="shared" si="25"/>
        <v>0</v>
      </c>
      <c r="U65" s="788">
        <f t="shared" si="25"/>
        <v>0</v>
      </c>
      <c r="V65" s="788">
        <f t="shared" si="25"/>
        <v>0</v>
      </c>
      <c r="W65" s="788">
        <f t="shared" si="25"/>
        <v>0</v>
      </c>
      <c r="X65" s="788">
        <f t="shared" si="25"/>
        <v>0</v>
      </c>
      <c r="Y65" s="788">
        <f t="shared" si="25"/>
        <v>0</v>
      </c>
      <c r="Z65" s="788">
        <f t="shared" si="25"/>
        <v>0</v>
      </c>
      <c r="AA65" s="788">
        <f t="shared" si="25"/>
        <v>0</v>
      </c>
      <c r="AB65" s="788">
        <f t="shared" si="25"/>
        <v>0</v>
      </c>
      <c r="AC65" s="788">
        <f t="shared" si="25"/>
        <v>0</v>
      </c>
      <c r="AD65" s="788">
        <f t="shared" si="25"/>
        <v>0</v>
      </c>
      <c r="AE65" s="788">
        <f t="shared" si="25"/>
        <v>0</v>
      </c>
      <c r="AF65" s="788">
        <f t="shared" si="25"/>
        <v>0</v>
      </c>
      <c r="AG65" s="788">
        <f t="shared" si="25"/>
        <v>0</v>
      </c>
      <c r="AH65" s="778">
        <f t="shared" si="13"/>
        <v>4.0031619999999988</v>
      </c>
    </row>
    <row r="66" spans="1:34" x14ac:dyDescent="0.3">
      <c r="A66" s="10"/>
      <c r="B66" s="961" t="s">
        <v>239</v>
      </c>
      <c r="C66" s="788">
        <v>0</v>
      </c>
      <c r="D66" s="788">
        <v>0</v>
      </c>
      <c r="E66" s="788">
        <v>0.40031620000000001</v>
      </c>
      <c r="F66" s="788">
        <v>0.40031620000000001</v>
      </c>
      <c r="G66" s="788">
        <v>0.40031620000000001</v>
      </c>
      <c r="H66" s="788">
        <v>0.40031620000000001</v>
      </c>
      <c r="I66" s="778">
        <v>0.40031620000000001</v>
      </c>
      <c r="J66" s="788">
        <v>0.40031620000000001</v>
      </c>
      <c r="K66" s="788">
        <v>0.40031620000000001</v>
      </c>
      <c r="L66" s="788">
        <v>0.40031620000000001</v>
      </c>
      <c r="M66" s="788">
        <v>0.40031620000000001</v>
      </c>
      <c r="N66" s="788">
        <v>0.40031620000000001</v>
      </c>
      <c r="O66" s="788">
        <v>0</v>
      </c>
      <c r="P66" s="788">
        <v>0</v>
      </c>
      <c r="Q66" s="788">
        <v>0</v>
      </c>
      <c r="R66" s="788">
        <v>0</v>
      </c>
      <c r="S66" s="788">
        <v>0</v>
      </c>
      <c r="T66" s="788">
        <v>0</v>
      </c>
      <c r="U66" s="788">
        <v>0</v>
      </c>
      <c r="V66" s="788">
        <v>0</v>
      </c>
      <c r="W66" s="788">
        <v>0</v>
      </c>
      <c r="X66" s="788">
        <v>0</v>
      </c>
      <c r="Y66" s="788">
        <v>0</v>
      </c>
      <c r="Z66" s="788">
        <v>0</v>
      </c>
      <c r="AA66" s="788">
        <v>0</v>
      </c>
      <c r="AB66" s="788">
        <v>0</v>
      </c>
      <c r="AC66" s="788">
        <v>0</v>
      </c>
      <c r="AD66" s="788">
        <v>0</v>
      </c>
      <c r="AE66" s="788">
        <v>0</v>
      </c>
      <c r="AF66" s="788">
        <v>0</v>
      </c>
      <c r="AG66" s="788">
        <v>0</v>
      </c>
      <c r="AH66" s="778">
        <f t="shared" si="13"/>
        <v>4.0031619999999988</v>
      </c>
    </row>
    <row r="67" spans="1:34" x14ac:dyDescent="0.3">
      <c r="A67" s="10"/>
      <c r="B67" s="290" t="s">
        <v>25</v>
      </c>
      <c r="C67" s="788">
        <f>+C68+C69</f>
        <v>0</v>
      </c>
      <c r="D67" s="788">
        <f t="shared" ref="D67:AG67" si="26">+D68+D69</f>
        <v>0</v>
      </c>
      <c r="E67" s="788">
        <f t="shared" si="26"/>
        <v>8.5372191889120614</v>
      </c>
      <c r="F67" s="788">
        <f t="shared" si="26"/>
        <v>8.5372191889120614</v>
      </c>
      <c r="G67" s="788">
        <f t="shared" si="26"/>
        <v>8.5372191889120614</v>
      </c>
      <c r="H67" s="788">
        <f t="shared" si="26"/>
        <v>8.5372191889120614</v>
      </c>
      <c r="I67" s="788">
        <f t="shared" si="26"/>
        <v>8.5372191889120614</v>
      </c>
      <c r="J67" s="788">
        <f t="shared" si="26"/>
        <v>8.5372191889120614</v>
      </c>
      <c r="K67" s="788">
        <f t="shared" si="26"/>
        <v>8.5372191889120614</v>
      </c>
      <c r="L67" s="788">
        <f t="shared" si="26"/>
        <v>8.5372191889120614</v>
      </c>
      <c r="M67" s="788">
        <f t="shared" si="26"/>
        <v>8.5372191889120614</v>
      </c>
      <c r="N67" s="788">
        <f t="shared" si="26"/>
        <v>8.5372191889120614</v>
      </c>
      <c r="O67" s="788">
        <f t="shared" si="26"/>
        <v>0</v>
      </c>
      <c r="P67" s="788">
        <f t="shared" si="26"/>
        <v>0</v>
      </c>
      <c r="Q67" s="788">
        <f t="shared" si="26"/>
        <v>0</v>
      </c>
      <c r="R67" s="788">
        <f t="shared" si="26"/>
        <v>0</v>
      </c>
      <c r="S67" s="788">
        <f t="shared" si="26"/>
        <v>0</v>
      </c>
      <c r="T67" s="788">
        <f t="shared" si="26"/>
        <v>0</v>
      </c>
      <c r="U67" s="788">
        <f t="shared" si="26"/>
        <v>0</v>
      </c>
      <c r="V67" s="788">
        <f t="shared" si="26"/>
        <v>0</v>
      </c>
      <c r="W67" s="788">
        <f t="shared" si="26"/>
        <v>0</v>
      </c>
      <c r="X67" s="788">
        <f t="shared" si="26"/>
        <v>0</v>
      </c>
      <c r="Y67" s="788">
        <f t="shared" si="26"/>
        <v>0</v>
      </c>
      <c r="Z67" s="788">
        <f t="shared" si="26"/>
        <v>0</v>
      </c>
      <c r="AA67" s="788">
        <f t="shared" si="26"/>
        <v>0</v>
      </c>
      <c r="AB67" s="788">
        <f t="shared" si="26"/>
        <v>0</v>
      </c>
      <c r="AC67" s="788">
        <f t="shared" si="26"/>
        <v>0</v>
      </c>
      <c r="AD67" s="788">
        <f t="shared" si="26"/>
        <v>0</v>
      </c>
      <c r="AE67" s="788">
        <f t="shared" si="26"/>
        <v>0</v>
      </c>
      <c r="AF67" s="788">
        <f t="shared" si="26"/>
        <v>0</v>
      </c>
      <c r="AG67" s="788">
        <f t="shared" si="26"/>
        <v>0</v>
      </c>
      <c r="AH67" s="778">
        <f t="shared" si="13"/>
        <v>85.372191889120614</v>
      </c>
    </row>
    <row r="68" spans="1:34" x14ac:dyDescent="0.3">
      <c r="A68" s="10"/>
      <c r="B68" s="868" t="s">
        <v>236</v>
      </c>
      <c r="C68" s="788">
        <v>0</v>
      </c>
      <c r="D68" s="788">
        <v>0</v>
      </c>
      <c r="E68" s="788">
        <v>5.8903906868265556</v>
      </c>
      <c r="F68" s="788">
        <v>5.8903906868265556</v>
      </c>
      <c r="G68" s="788">
        <v>5.8903906868265556</v>
      </c>
      <c r="H68" s="788">
        <v>5.8903906868265556</v>
      </c>
      <c r="I68" s="778">
        <v>5.8903906868265556</v>
      </c>
      <c r="J68" s="788">
        <v>5.8903906868265556</v>
      </c>
      <c r="K68" s="788">
        <v>5.8903906868265556</v>
      </c>
      <c r="L68" s="788">
        <v>5.8903906868265556</v>
      </c>
      <c r="M68" s="788">
        <v>5.8903906868265556</v>
      </c>
      <c r="N68" s="788">
        <v>5.8903906868265556</v>
      </c>
      <c r="O68" s="788">
        <v>0</v>
      </c>
      <c r="P68" s="788">
        <v>0</v>
      </c>
      <c r="Q68" s="788">
        <v>0</v>
      </c>
      <c r="R68" s="788">
        <v>0</v>
      </c>
      <c r="S68" s="788">
        <v>0</v>
      </c>
      <c r="T68" s="788">
        <v>0</v>
      </c>
      <c r="U68" s="788">
        <v>0</v>
      </c>
      <c r="V68" s="788">
        <v>0</v>
      </c>
      <c r="W68" s="788">
        <v>0</v>
      </c>
      <c r="X68" s="788">
        <v>0</v>
      </c>
      <c r="Y68" s="788">
        <v>0</v>
      </c>
      <c r="Z68" s="788">
        <v>0</v>
      </c>
      <c r="AA68" s="788">
        <v>0</v>
      </c>
      <c r="AB68" s="788">
        <v>0</v>
      </c>
      <c r="AC68" s="788">
        <v>0</v>
      </c>
      <c r="AD68" s="788">
        <v>0</v>
      </c>
      <c r="AE68" s="788">
        <v>0</v>
      </c>
      <c r="AF68" s="788">
        <v>0</v>
      </c>
      <c r="AG68" s="788">
        <v>0</v>
      </c>
      <c r="AH68" s="778">
        <f t="shared" si="13"/>
        <v>58.903906868265558</v>
      </c>
    </row>
    <row r="69" spans="1:34" x14ac:dyDescent="0.3">
      <c r="A69" s="10"/>
      <c r="B69" s="868" t="s">
        <v>237</v>
      </c>
      <c r="C69" s="788">
        <v>0</v>
      </c>
      <c r="D69" s="788">
        <v>0</v>
      </c>
      <c r="E69" s="788">
        <v>2.6468285020855058</v>
      </c>
      <c r="F69" s="788">
        <v>2.6468285020855058</v>
      </c>
      <c r="G69" s="788">
        <v>2.6468285020855058</v>
      </c>
      <c r="H69" s="788">
        <v>2.6468285020855058</v>
      </c>
      <c r="I69" s="867">
        <v>2.6468285020855058</v>
      </c>
      <c r="J69" s="788">
        <v>2.6468285020855058</v>
      </c>
      <c r="K69" s="788">
        <v>2.6468285020855058</v>
      </c>
      <c r="L69" s="788">
        <v>2.6468285020855058</v>
      </c>
      <c r="M69" s="788">
        <v>2.6468285020855058</v>
      </c>
      <c r="N69" s="788">
        <v>2.6468285020855058</v>
      </c>
      <c r="O69" s="788">
        <v>0</v>
      </c>
      <c r="P69" s="788">
        <v>0</v>
      </c>
      <c r="Q69" s="788">
        <v>0</v>
      </c>
      <c r="R69" s="788">
        <v>0</v>
      </c>
      <c r="S69" s="788">
        <v>0</v>
      </c>
      <c r="T69" s="788">
        <v>0</v>
      </c>
      <c r="U69" s="788">
        <v>0</v>
      </c>
      <c r="V69" s="788">
        <v>0</v>
      </c>
      <c r="W69" s="788">
        <v>0</v>
      </c>
      <c r="X69" s="788">
        <v>0</v>
      </c>
      <c r="Y69" s="788">
        <v>0</v>
      </c>
      <c r="Z69" s="788">
        <v>0</v>
      </c>
      <c r="AA69" s="788">
        <v>0</v>
      </c>
      <c r="AB69" s="788">
        <v>0</v>
      </c>
      <c r="AC69" s="788">
        <v>0</v>
      </c>
      <c r="AD69" s="788">
        <v>0</v>
      </c>
      <c r="AE69" s="788">
        <v>0</v>
      </c>
      <c r="AF69" s="788">
        <v>0</v>
      </c>
      <c r="AG69" s="788">
        <v>0</v>
      </c>
      <c r="AH69" s="867">
        <f t="shared" si="13"/>
        <v>26.468285020855053</v>
      </c>
    </row>
    <row r="70" spans="1:34" x14ac:dyDescent="0.3">
      <c r="A70" s="10"/>
      <c r="B70" s="782" t="s">
        <v>26</v>
      </c>
      <c r="C70" s="783">
        <v>0</v>
      </c>
      <c r="D70" s="783">
        <v>0</v>
      </c>
      <c r="E70" s="783">
        <v>0</v>
      </c>
      <c r="F70" s="783">
        <v>0</v>
      </c>
      <c r="G70" s="783">
        <v>0</v>
      </c>
      <c r="H70" s="783">
        <v>0</v>
      </c>
      <c r="I70" s="773">
        <v>0</v>
      </c>
      <c r="J70" s="783">
        <v>0</v>
      </c>
      <c r="K70" s="783">
        <v>0</v>
      </c>
      <c r="L70" s="783">
        <v>0</v>
      </c>
      <c r="M70" s="783">
        <v>0</v>
      </c>
      <c r="N70" s="783">
        <v>0</v>
      </c>
      <c r="O70" s="783">
        <v>0</v>
      </c>
      <c r="P70" s="783">
        <v>0</v>
      </c>
      <c r="Q70" s="783">
        <v>840.03507885182546</v>
      </c>
      <c r="R70" s="783">
        <v>840.03507885182546</v>
      </c>
      <c r="S70" s="783">
        <v>840.03507885182546</v>
      </c>
      <c r="T70" s="783">
        <v>840.03507885182546</v>
      </c>
      <c r="U70" s="783">
        <v>840.03507885182546</v>
      </c>
      <c r="V70" s="783">
        <v>840.03507885182546</v>
      </c>
      <c r="W70" s="783">
        <v>840.03507885182546</v>
      </c>
      <c r="X70" s="783">
        <v>840.03507885182546</v>
      </c>
      <c r="Y70" s="783">
        <v>840.03507885182546</v>
      </c>
      <c r="Z70" s="783">
        <v>840.03507885182546</v>
      </c>
      <c r="AA70" s="783">
        <v>0</v>
      </c>
      <c r="AB70" s="783">
        <v>0</v>
      </c>
      <c r="AC70" s="783">
        <v>0</v>
      </c>
      <c r="AD70" s="783">
        <v>0</v>
      </c>
      <c r="AE70" s="783">
        <v>0</v>
      </c>
      <c r="AF70" s="783">
        <v>0</v>
      </c>
      <c r="AG70" s="783">
        <v>0</v>
      </c>
      <c r="AH70" s="773">
        <f t="shared" si="13"/>
        <v>8400.3507885182553</v>
      </c>
    </row>
    <row r="71" spans="1:34" x14ac:dyDescent="0.3">
      <c r="A71" s="10"/>
      <c r="B71" s="782" t="s">
        <v>780</v>
      </c>
      <c r="C71" s="783">
        <v>0</v>
      </c>
      <c r="D71" s="783">
        <v>0</v>
      </c>
      <c r="E71" s="783">
        <v>52.999469637376379</v>
      </c>
      <c r="F71" s="783">
        <v>211.99787854950551</v>
      </c>
      <c r="G71" s="783">
        <v>211.99787854950551</v>
      </c>
      <c r="H71" s="783">
        <v>211.99787854950551</v>
      </c>
      <c r="I71" s="773">
        <v>211.99787854950551</v>
      </c>
      <c r="J71" s="783">
        <v>211.99787854950551</v>
      </c>
      <c r="K71" s="783">
        <v>211.99787854950551</v>
      </c>
      <c r="L71" s="783">
        <v>0</v>
      </c>
      <c r="M71" s="783">
        <v>0</v>
      </c>
      <c r="N71" s="783">
        <v>0</v>
      </c>
      <c r="O71" s="783">
        <v>0</v>
      </c>
      <c r="P71" s="783">
        <v>0</v>
      </c>
      <c r="Q71" s="783">
        <v>0</v>
      </c>
      <c r="R71" s="783">
        <v>0</v>
      </c>
      <c r="S71" s="783">
        <v>0</v>
      </c>
      <c r="T71" s="783">
        <v>0</v>
      </c>
      <c r="U71" s="783">
        <v>0</v>
      </c>
      <c r="V71" s="783">
        <v>0</v>
      </c>
      <c r="W71" s="783">
        <v>0</v>
      </c>
      <c r="X71" s="783">
        <v>0</v>
      </c>
      <c r="Y71" s="783">
        <v>0</v>
      </c>
      <c r="Z71" s="783">
        <v>0</v>
      </c>
      <c r="AA71" s="783">
        <v>0</v>
      </c>
      <c r="AB71" s="783">
        <v>0</v>
      </c>
      <c r="AC71" s="783">
        <v>0</v>
      </c>
      <c r="AD71" s="783">
        <v>0</v>
      </c>
      <c r="AE71" s="783">
        <v>0</v>
      </c>
      <c r="AF71" s="783">
        <v>0</v>
      </c>
      <c r="AG71" s="783">
        <v>0</v>
      </c>
      <c r="AH71" s="773">
        <f t="shared" si="13"/>
        <v>1324.9867409344092</v>
      </c>
    </row>
    <row r="72" spans="1:34" x14ac:dyDescent="0.3">
      <c r="A72" s="10"/>
      <c r="B72" s="784" t="s">
        <v>784</v>
      </c>
      <c r="C72" s="963">
        <v>0</v>
      </c>
      <c r="D72" s="963">
        <v>0</v>
      </c>
      <c r="E72" s="963">
        <v>0</v>
      </c>
      <c r="F72" s="963">
        <v>20.55012754348073</v>
      </c>
      <c r="G72" s="963">
        <v>20.55012754348073</v>
      </c>
      <c r="H72" s="963">
        <v>20.55012754348073</v>
      </c>
      <c r="I72" s="773">
        <v>20.55012754348073</v>
      </c>
      <c r="J72" s="963">
        <v>20.55012754348073</v>
      </c>
      <c r="K72" s="963">
        <v>0</v>
      </c>
      <c r="L72" s="963">
        <v>0</v>
      </c>
      <c r="M72" s="963">
        <v>0</v>
      </c>
      <c r="N72" s="963">
        <v>0</v>
      </c>
      <c r="O72" s="963">
        <v>0</v>
      </c>
      <c r="P72" s="963">
        <v>0</v>
      </c>
      <c r="Q72" s="963">
        <v>0</v>
      </c>
      <c r="R72" s="963">
        <v>0</v>
      </c>
      <c r="S72" s="963">
        <v>0</v>
      </c>
      <c r="T72" s="963">
        <v>0</v>
      </c>
      <c r="U72" s="963">
        <v>0</v>
      </c>
      <c r="V72" s="963">
        <v>0</v>
      </c>
      <c r="W72" s="963">
        <v>0</v>
      </c>
      <c r="X72" s="963">
        <v>0</v>
      </c>
      <c r="Y72" s="963">
        <v>0</v>
      </c>
      <c r="Z72" s="963">
        <v>0</v>
      </c>
      <c r="AA72" s="963">
        <v>0</v>
      </c>
      <c r="AB72" s="963">
        <v>0</v>
      </c>
      <c r="AC72" s="963">
        <v>0</v>
      </c>
      <c r="AD72" s="963">
        <v>0</v>
      </c>
      <c r="AE72" s="963">
        <v>0</v>
      </c>
      <c r="AF72" s="963">
        <v>0</v>
      </c>
      <c r="AG72" s="963">
        <v>0</v>
      </c>
      <c r="AH72" s="773">
        <f t="shared" si="13"/>
        <v>102.75063771740365</v>
      </c>
    </row>
    <row r="73" spans="1:34" x14ac:dyDescent="0.3">
      <c r="A73" s="10"/>
      <c r="B73" s="784" t="s">
        <v>782</v>
      </c>
      <c r="C73" s="963">
        <v>0</v>
      </c>
      <c r="D73" s="963">
        <v>0</v>
      </c>
      <c r="E73" s="963">
        <v>0</v>
      </c>
      <c r="F73" s="963">
        <v>0</v>
      </c>
      <c r="G73" s="963">
        <v>0</v>
      </c>
      <c r="H73" s="963">
        <v>41.818843457997048</v>
      </c>
      <c r="I73" s="773">
        <v>83.637686915994095</v>
      </c>
      <c r="J73" s="963">
        <v>83.637686915994095</v>
      </c>
      <c r="K73" s="963">
        <v>83.637686915994095</v>
      </c>
      <c r="L73" s="963">
        <v>83.637686915994095</v>
      </c>
      <c r="M73" s="963">
        <v>83.637686915994095</v>
      </c>
      <c r="N73" s="963">
        <v>83.637686915994095</v>
      </c>
      <c r="O73" s="963">
        <v>83.637686915994095</v>
      </c>
      <c r="P73" s="963">
        <v>83.637686915994095</v>
      </c>
      <c r="Q73" s="963">
        <v>83.637686915994095</v>
      </c>
      <c r="R73" s="963">
        <v>83.637686915994095</v>
      </c>
      <c r="S73" s="963">
        <v>41.818843457997048</v>
      </c>
      <c r="T73" s="963">
        <v>0</v>
      </c>
      <c r="U73" s="963">
        <v>0</v>
      </c>
      <c r="V73" s="963">
        <v>0</v>
      </c>
      <c r="W73" s="963">
        <v>0</v>
      </c>
      <c r="X73" s="963">
        <v>0</v>
      </c>
      <c r="Y73" s="963">
        <v>0</v>
      </c>
      <c r="Z73" s="963">
        <v>0</v>
      </c>
      <c r="AA73" s="963">
        <v>0</v>
      </c>
      <c r="AB73" s="963">
        <v>0</v>
      </c>
      <c r="AC73" s="963">
        <v>0</v>
      </c>
      <c r="AD73" s="963">
        <v>0</v>
      </c>
      <c r="AE73" s="963">
        <v>0</v>
      </c>
      <c r="AF73" s="963">
        <v>0</v>
      </c>
      <c r="AG73" s="963">
        <v>0</v>
      </c>
      <c r="AH73" s="773">
        <f t="shared" si="13"/>
        <v>920.01455607593493</v>
      </c>
    </row>
    <row r="74" spans="1:34" x14ac:dyDescent="0.3">
      <c r="A74" s="10"/>
      <c r="B74" s="784" t="s">
        <v>781</v>
      </c>
      <c r="C74" s="963">
        <v>0</v>
      </c>
      <c r="D74" s="963">
        <v>0</v>
      </c>
      <c r="E74" s="963">
        <v>0</v>
      </c>
      <c r="F74" s="963">
        <v>0</v>
      </c>
      <c r="G74" s="963">
        <v>0</v>
      </c>
      <c r="H74" s="963">
        <v>0</v>
      </c>
      <c r="I74" s="773">
        <v>0</v>
      </c>
      <c r="J74" s="963">
        <v>0</v>
      </c>
      <c r="K74" s="963">
        <v>0</v>
      </c>
      <c r="L74" s="963">
        <v>67.931172445151745</v>
      </c>
      <c r="M74" s="963">
        <v>67.931172445151745</v>
      </c>
      <c r="N74" s="963">
        <v>67.931172445151745</v>
      </c>
      <c r="O74" s="963">
        <v>67.931172445151745</v>
      </c>
      <c r="P74" s="963">
        <v>67.931172445151745</v>
      </c>
      <c r="Q74" s="963">
        <v>0</v>
      </c>
      <c r="R74" s="963">
        <v>0</v>
      </c>
      <c r="S74" s="963">
        <v>0</v>
      </c>
      <c r="T74" s="963">
        <v>0</v>
      </c>
      <c r="U74" s="963">
        <v>0</v>
      </c>
      <c r="V74" s="963">
        <v>0</v>
      </c>
      <c r="W74" s="963">
        <v>0</v>
      </c>
      <c r="X74" s="963">
        <v>0</v>
      </c>
      <c r="Y74" s="963">
        <v>0</v>
      </c>
      <c r="Z74" s="963">
        <v>0</v>
      </c>
      <c r="AA74" s="963">
        <v>0</v>
      </c>
      <c r="AB74" s="963">
        <v>0</v>
      </c>
      <c r="AC74" s="963">
        <v>0</v>
      </c>
      <c r="AD74" s="963">
        <v>0</v>
      </c>
      <c r="AE74" s="963">
        <v>0</v>
      </c>
      <c r="AF74" s="963">
        <v>0</v>
      </c>
      <c r="AG74" s="963">
        <v>0</v>
      </c>
      <c r="AH74" s="773">
        <f t="shared" ref="AH74:AH105" si="27">SUM(C74:AG74)</f>
        <v>339.65586222575871</v>
      </c>
    </row>
    <row r="75" spans="1:34" x14ac:dyDescent="0.3">
      <c r="A75" s="10"/>
      <c r="B75" s="784" t="s">
        <v>783</v>
      </c>
      <c r="C75" s="963">
        <v>0</v>
      </c>
      <c r="D75" s="963">
        <v>0</v>
      </c>
      <c r="E75" s="963">
        <v>0</v>
      </c>
      <c r="F75" s="963">
        <v>0</v>
      </c>
      <c r="G75" s="963">
        <v>0</v>
      </c>
      <c r="H75" s="963">
        <v>0</v>
      </c>
      <c r="I75" s="773">
        <v>127.68979206547687</v>
      </c>
      <c r="J75" s="963">
        <v>127.68979206547687</v>
      </c>
      <c r="K75" s="963">
        <v>127.68979206547687</v>
      </c>
      <c r="L75" s="963">
        <v>127.68979206547687</v>
      </c>
      <c r="M75" s="963">
        <v>127.68979206547687</v>
      </c>
      <c r="N75" s="963">
        <v>127.68979206547687</v>
      </c>
      <c r="O75" s="963">
        <v>127.68979206547687</v>
      </c>
      <c r="P75" s="963">
        <v>127.68979206547687</v>
      </c>
      <c r="Q75" s="963">
        <v>127.68979206547687</v>
      </c>
      <c r="R75" s="963">
        <v>127.68979206547687</v>
      </c>
      <c r="S75" s="963">
        <v>127.68979206547687</v>
      </c>
      <c r="T75" s="963">
        <v>127.68979206547687</v>
      </c>
      <c r="U75" s="963">
        <v>127.68979206547687</v>
      </c>
      <c r="V75" s="963">
        <v>127.68979206547687</v>
      </c>
      <c r="W75" s="963">
        <v>0</v>
      </c>
      <c r="X75" s="963">
        <v>0</v>
      </c>
      <c r="Y75" s="963">
        <v>0</v>
      </c>
      <c r="Z75" s="963">
        <v>0</v>
      </c>
      <c r="AA75" s="963">
        <v>0</v>
      </c>
      <c r="AB75" s="963">
        <v>0</v>
      </c>
      <c r="AC75" s="963">
        <v>0</v>
      </c>
      <c r="AD75" s="963">
        <v>0</v>
      </c>
      <c r="AE75" s="963">
        <v>0</v>
      </c>
      <c r="AF75" s="963">
        <v>0</v>
      </c>
      <c r="AG75" s="963">
        <v>0</v>
      </c>
      <c r="AH75" s="773">
        <f t="shared" si="27"/>
        <v>1787.6570889166767</v>
      </c>
    </row>
    <row r="76" spans="1:34" x14ac:dyDescent="0.3">
      <c r="A76" s="10"/>
      <c r="B76" s="784" t="s">
        <v>785</v>
      </c>
      <c r="C76" s="963">
        <v>0</v>
      </c>
      <c r="D76" s="963">
        <v>0</v>
      </c>
      <c r="E76" s="963">
        <v>0</v>
      </c>
      <c r="F76" s="963">
        <v>12.820800795725816</v>
      </c>
      <c r="G76" s="963">
        <v>12.820800795725816</v>
      </c>
      <c r="H76" s="963">
        <v>12.820800795725816</v>
      </c>
      <c r="I76" s="773">
        <v>12.820800795725816</v>
      </c>
      <c r="J76" s="963">
        <v>12.820800795725816</v>
      </c>
      <c r="K76" s="963">
        <v>12.820800795725816</v>
      </c>
      <c r="L76" s="963">
        <v>12.820800795725816</v>
      </c>
      <c r="M76" s="963">
        <v>12.820800795725816</v>
      </c>
      <c r="N76" s="963">
        <v>12.820800795725816</v>
      </c>
      <c r="O76" s="963">
        <v>12.820800795725816</v>
      </c>
      <c r="P76" s="963">
        <v>12.820800795725816</v>
      </c>
      <c r="Q76" s="963">
        <v>12.820800795725816</v>
      </c>
      <c r="R76" s="963">
        <v>12.820800795725816</v>
      </c>
      <c r="S76" s="963">
        <v>12.820800795725816</v>
      </c>
      <c r="T76" s="963">
        <v>12.820800795725816</v>
      </c>
      <c r="U76" s="963">
        <v>12.820800795725816</v>
      </c>
      <c r="V76" s="963">
        <v>12.820800795725816</v>
      </c>
      <c r="W76" s="963">
        <v>12.820800795725816</v>
      </c>
      <c r="X76" s="963">
        <v>12.820800795725816</v>
      </c>
      <c r="Y76" s="963">
        <v>12.820800795725816</v>
      </c>
      <c r="Z76" s="963">
        <v>12.820800795725816</v>
      </c>
      <c r="AA76" s="963">
        <v>12.820800795725816</v>
      </c>
      <c r="AB76" s="963">
        <v>0</v>
      </c>
      <c r="AC76" s="963">
        <v>0</v>
      </c>
      <c r="AD76" s="963">
        <v>0</v>
      </c>
      <c r="AE76" s="963">
        <v>0</v>
      </c>
      <c r="AF76" s="963">
        <v>0</v>
      </c>
      <c r="AG76" s="963">
        <v>0</v>
      </c>
      <c r="AH76" s="773">
        <f t="shared" si="27"/>
        <v>282.05761750596781</v>
      </c>
    </row>
    <row r="77" spans="1:34" x14ac:dyDescent="0.3">
      <c r="A77" s="10"/>
      <c r="B77" s="784" t="s">
        <v>773</v>
      </c>
      <c r="C77" s="963">
        <v>0</v>
      </c>
      <c r="D77" s="963">
        <v>0</v>
      </c>
      <c r="E77" s="963">
        <v>0</v>
      </c>
      <c r="F77" s="963">
        <v>527.00574200000005</v>
      </c>
      <c r="G77" s="963">
        <v>527.00574200000005</v>
      </c>
      <c r="H77" s="963">
        <v>527.00574200000005</v>
      </c>
      <c r="I77" s="773">
        <v>527.00574200000005</v>
      </c>
      <c r="J77" s="963">
        <v>527.00574200000005</v>
      </c>
      <c r="K77" s="963">
        <v>0</v>
      </c>
      <c r="L77" s="963">
        <v>0</v>
      </c>
      <c r="M77" s="963">
        <v>0</v>
      </c>
      <c r="N77" s="963">
        <v>0</v>
      </c>
      <c r="O77" s="963">
        <v>0</v>
      </c>
      <c r="P77" s="963">
        <v>0</v>
      </c>
      <c r="Q77" s="963">
        <v>0</v>
      </c>
      <c r="R77" s="963">
        <v>0</v>
      </c>
      <c r="S77" s="963">
        <v>0</v>
      </c>
      <c r="T77" s="963">
        <v>0</v>
      </c>
      <c r="U77" s="963">
        <v>0</v>
      </c>
      <c r="V77" s="963">
        <v>0</v>
      </c>
      <c r="W77" s="963">
        <v>0</v>
      </c>
      <c r="X77" s="963">
        <v>0</v>
      </c>
      <c r="Y77" s="963">
        <v>0</v>
      </c>
      <c r="Z77" s="963">
        <v>0</v>
      </c>
      <c r="AA77" s="963">
        <v>0</v>
      </c>
      <c r="AB77" s="963">
        <v>0</v>
      </c>
      <c r="AC77" s="963">
        <v>0</v>
      </c>
      <c r="AD77" s="963">
        <v>0</v>
      </c>
      <c r="AE77" s="963">
        <v>0</v>
      </c>
      <c r="AF77" s="963">
        <v>0</v>
      </c>
      <c r="AG77" s="963">
        <v>0</v>
      </c>
      <c r="AH77" s="773">
        <f t="shared" si="27"/>
        <v>2635.0287100000005</v>
      </c>
    </row>
    <row r="78" spans="1:34" x14ac:dyDescent="0.3">
      <c r="A78" s="10"/>
      <c r="B78" s="782" t="s">
        <v>771</v>
      </c>
      <c r="C78" s="963">
        <v>0</v>
      </c>
      <c r="D78" s="963">
        <v>0</v>
      </c>
      <c r="E78" s="963">
        <v>0</v>
      </c>
      <c r="F78" s="963">
        <v>0</v>
      </c>
      <c r="G78" s="963">
        <v>0</v>
      </c>
      <c r="H78" s="963">
        <v>518.41205759000002</v>
      </c>
      <c r="I78" s="773">
        <v>1036.82411518</v>
      </c>
      <c r="J78" s="963">
        <v>1036.82411518</v>
      </c>
      <c r="K78" s="963">
        <v>1036.82411518</v>
      </c>
      <c r="L78" s="963">
        <v>1036.82411518</v>
      </c>
      <c r="M78" s="963">
        <v>1036.82411518</v>
      </c>
      <c r="N78" s="963">
        <v>1036.82411518</v>
      </c>
      <c r="O78" s="963">
        <v>1036.82411518</v>
      </c>
      <c r="P78" s="963">
        <v>1036.82411518</v>
      </c>
      <c r="Q78" s="963">
        <v>1036.82411518</v>
      </c>
      <c r="R78" s="963">
        <v>1036.82411518</v>
      </c>
      <c r="S78" s="963">
        <v>518.41205759000002</v>
      </c>
      <c r="T78" s="963">
        <v>0</v>
      </c>
      <c r="U78" s="963">
        <v>0</v>
      </c>
      <c r="V78" s="963">
        <v>0</v>
      </c>
      <c r="W78" s="963">
        <v>0</v>
      </c>
      <c r="X78" s="963">
        <v>0</v>
      </c>
      <c r="Y78" s="963">
        <v>0</v>
      </c>
      <c r="Z78" s="963">
        <v>0</v>
      </c>
      <c r="AA78" s="963">
        <v>0</v>
      </c>
      <c r="AB78" s="963">
        <v>0</v>
      </c>
      <c r="AC78" s="963">
        <v>0</v>
      </c>
      <c r="AD78" s="963">
        <v>0</v>
      </c>
      <c r="AE78" s="963">
        <v>0</v>
      </c>
      <c r="AF78" s="963">
        <v>0</v>
      </c>
      <c r="AG78" s="963">
        <v>0</v>
      </c>
      <c r="AH78" s="773">
        <f t="shared" si="27"/>
        <v>11405.06526698</v>
      </c>
    </row>
    <row r="79" spans="1:34" x14ac:dyDescent="0.3">
      <c r="A79" s="10"/>
      <c r="B79" s="782" t="s">
        <v>769</v>
      </c>
      <c r="C79" s="963">
        <v>0</v>
      </c>
      <c r="D79" s="963">
        <v>0</v>
      </c>
      <c r="E79" s="963">
        <v>643.62448212000004</v>
      </c>
      <c r="F79" s="963">
        <v>2574.4979284800002</v>
      </c>
      <c r="G79" s="963">
        <v>2574.4979284800002</v>
      </c>
      <c r="H79" s="963">
        <v>2574.4979284800002</v>
      </c>
      <c r="I79" s="773">
        <v>2574.4979284800002</v>
      </c>
      <c r="J79" s="963">
        <v>2574.4979284800002</v>
      </c>
      <c r="K79" s="963">
        <v>2574.4979284800002</v>
      </c>
      <c r="L79" s="963">
        <v>0</v>
      </c>
      <c r="M79" s="963">
        <v>0</v>
      </c>
      <c r="N79" s="963">
        <v>0</v>
      </c>
      <c r="O79" s="963">
        <v>0</v>
      </c>
      <c r="P79" s="963">
        <v>0</v>
      </c>
      <c r="Q79" s="963">
        <v>0</v>
      </c>
      <c r="R79" s="963">
        <v>0</v>
      </c>
      <c r="S79" s="963">
        <v>0</v>
      </c>
      <c r="T79" s="963">
        <v>0</v>
      </c>
      <c r="U79" s="963">
        <v>0</v>
      </c>
      <c r="V79" s="963">
        <v>0</v>
      </c>
      <c r="W79" s="963">
        <v>0</v>
      </c>
      <c r="X79" s="963">
        <v>0</v>
      </c>
      <c r="Y79" s="963">
        <v>0</v>
      </c>
      <c r="Z79" s="963">
        <v>0</v>
      </c>
      <c r="AA79" s="963">
        <v>0</v>
      </c>
      <c r="AB79" s="963">
        <v>0</v>
      </c>
      <c r="AC79" s="963">
        <v>0</v>
      </c>
      <c r="AD79" s="963">
        <v>0</v>
      </c>
      <c r="AE79" s="963">
        <v>0</v>
      </c>
      <c r="AF79" s="963">
        <v>0</v>
      </c>
      <c r="AG79" s="963">
        <v>0</v>
      </c>
      <c r="AH79" s="773">
        <f t="shared" si="27"/>
        <v>16090.612052999997</v>
      </c>
    </row>
    <row r="80" spans="1:34" x14ac:dyDescent="0.3">
      <c r="A80" s="10"/>
      <c r="B80" s="784" t="s">
        <v>770</v>
      </c>
      <c r="C80" s="963">
        <v>0</v>
      </c>
      <c r="D80" s="963">
        <v>0</v>
      </c>
      <c r="E80" s="963">
        <v>0</v>
      </c>
      <c r="F80" s="963">
        <v>0</v>
      </c>
      <c r="G80" s="963">
        <v>0</v>
      </c>
      <c r="H80" s="963">
        <v>0</v>
      </c>
      <c r="I80" s="773">
        <v>0</v>
      </c>
      <c r="J80" s="963">
        <v>0</v>
      </c>
      <c r="K80" s="963">
        <v>0</v>
      </c>
      <c r="L80" s="963">
        <v>4100.3435594000002</v>
      </c>
      <c r="M80" s="963">
        <v>4100.3435594000002</v>
      </c>
      <c r="N80" s="963">
        <v>4100.3435594000002</v>
      </c>
      <c r="O80" s="963">
        <v>4100.3435594000002</v>
      </c>
      <c r="P80" s="963">
        <v>4100.3435594000002</v>
      </c>
      <c r="Q80" s="963">
        <v>0</v>
      </c>
      <c r="R80" s="963">
        <v>0</v>
      </c>
      <c r="S80" s="963">
        <v>0</v>
      </c>
      <c r="T80" s="963">
        <v>0</v>
      </c>
      <c r="U80" s="963">
        <v>0</v>
      </c>
      <c r="V80" s="963">
        <v>0</v>
      </c>
      <c r="W80" s="963">
        <v>0</v>
      </c>
      <c r="X80" s="963">
        <v>0</v>
      </c>
      <c r="Y80" s="963">
        <v>0</v>
      </c>
      <c r="Z80" s="963">
        <v>0</v>
      </c>
      <c r="AA80" s="963">
        <v>0</v>
      </c>
      <c r="AB80" s="963">
        <v>0</v>
      </c>
      <c r="AC80" s="963">
        <v>0</v>
      </c>
      <c r="AD80" s="963">
        <v>0</v>
      </c>
      <c r="AE80" s="963">
        <v>0</v>
      </c>
      <c r="AF80" s="963">
        <v>0</v>
      </c>
      <c r="AG80" s="963">
        <v>0</v>
      </c>
      <c r="AH80" s="773">
        <f t="shared" si="27"/>
        <v>20501.717797000001</v>
      </c>
    </row>
    <row r="81" spans="1:34" x14ac:dyDescent="0.3">
      <c r="A81" s="10"/>
      <c r="B81" s="782" t="s">
        <v>772</v>
      </c>
      <c r="C81" s="963">
        <v>0</v>
      </c>
      <c r="D81" s="963">
        <v>0</v>
      </c>
      <c r="E81" s="963">
        <v>0</v>
      </c>
      <c r="F81" s="963">
        <v>0</v>
      </c>
      <c r="G81" s="963">
        <v>0</v>
      </c>
      <c r="H81" s="963">
        <v>0</v>
      </c>
      <c r="I81" s="773">
        <v>748.72223422000002</v>
      </c>
      <c r="J81" s="963">
        <v>748.72223422000002</v>
      </c>
      <c r="K81" s="963">
        <v>748.72223422000002</v>
      </c>
      <c r="L81" s="963">
        <v>748.72223422000002</v>
      </c>
      <c r="M81" s="963">
        <v>748.72223422000002</v>
      </c>
      <c r="N81" s="963">
        <v>748.72223422000002</v>
      </c>
      <c r="O81" s="963">
        <v>748.72223422000002</v>
      </c>
      <c r="P81" s="963">
        <v>748.72223422000002</v>
      </c>
      <c r="Q81" s="963">
        <v>748.72223422000002</v>
      </c>
      <c r="R81" s="963">
        <v>748.72223422000002</v>
      </c>
      <c r="S81" s="963">
        <v>748.72223422000002</v>
      </c>
      <c r="T81" s="963">
        <v>748.72223422000002</v>
      </c>
      <c r="U81" s="963">
        <v>748.72223422000002</v>
      </c>
      <c r="V81" s="963">
        <v>748.72223422000002</v>
      </c>
      <c r="W81" s="963">
        <v>0</v>
      </c>
      <c r="X81" s="963">
        <v>0</v>
      </c>
      <c r="Y81" s="963">
        <v>0</v>
      </c>
      <c r="Z81" s="963">
        <v>0</v>
      </c>
      <c r="AA81" s="963">
        <v>0</v>
      </c>
      <c r="AB81" s="963">
        <v>0</v>
      </c>
      <c r="AC81" s="963">
        <v>0</v>
      </c>
      <c r="AD81" s="963">
        <v>0</v>
      </c>
      <c r="AE81" s="963">
        <v>0</v>
      </c>
      <c r="AF81" s="963">
        <v>0</v>
      </c>
      <c r="AG81" s="963">
        <v>0</v>
      </c>
      <c r="AH81" s="773">
        <f t="shared" si="27"/>
        <v>10482.111279080002</v>
      </c>
    </row>
    <row r="82" spans="1:34" x14ac:dyDescent="0.3">
      <c r="A82" s="10"/>
      <c r="B82" s="782" t="s">
        <v>774</v>
      </c>
      <c r="C82" s="963">
        <v>0</v>
      </c>
      <c r="D82" s="963">
        <v>0</v>
      </c>
      <c r="E82" s="963">
        <v>0</v>
      </c>
      <c r="F82" s="963">
        <v>95.090778360000002</v>
      </c>
      <c r="G82" s="963">
        <v>95.090778360000002</v>
      </c>
      <c r="H82" s="963">
        <v>95.090778360000002</v>
      </c>
      <c r="I82" s="773">
        <v>95.090778360000002</v>
      </c>
      <c r="J82" s="963">
        <v>95.090778360000002</v>
      </c>
      <c r="K82" s="963">
        <v>95.090778360000002</v>
      </c>
      <c r="L82" s="963">
        <v>95.090778360000002</v>
      </c>
      <c r="M82" s="963">
        <v>95.090778360000002</v>
      </c>
      <c r="N82" s="963">
        <v>95.090778360000002</v>
      </c>
      <c r="O82" s="963">
        <v>95.090778360000002</v>
      </c>
      <c r="P82" s="963">
        <v>95.090778360000002</v>
      </c>
      <c r="Q82" s="963">
        <v>95.090778360000002</v>
      </c>
      <c r="R82" s="963">
        <v>95.090778360000002</v>
      </c>
      <c r="S82" s="963">
        <v>95.090778360000002</v>
      </c>
      <c r="T82" s="963">
        <v>95.090778360000002</v>
      </c>
      <c r="U82" s="963">
        <v>95.090778360000002</v>
      </c>
      <c r="V82" s="963">
        <v>95.090778360000002</v>
      </c>
      <c r="W82" s="963">
        <v>95.090778360000002</v>
      </c>
      <c r="X82" s="963">
        <v>95.090778360000002</v>
      </c>
      <c r="Y82" s="963">
        <v>95.090778360000002</v>
      </c>
      <c r="Z82" s="963">
        <v>95.090778360000002</v>
      </c>
      <c r="AA82" s="963">
        <v>95.090778360000002</v>
      </c>
      <c r="AB82" s="963">
        <v>0</v>
      </c>
      <c r="AC82" s="963">
        <v>0</v>
      </c>
      <c r="AD82" s="963">
        <v>0</v>
      </c>
      <c r="AE82" s="963">
        <v>0</v>
      </c>
      <c r="AF82" s="963">
        <v>0</v>
      </c>
      <c r="AG82" s="963">
        <v>0</v>
      </c>
      <c r="AH82" s="773">
        <f t="shared" si="27"/>
        <v>2091.9971239200008</v>
      </c>
    </row>
    <row r="83" spans="1:34" x14ac:dyDescent="0.3">
      <c r="A83" s="10"/>
      <c r="B83" s="784" t="s">
        <v>779</v>
      </c>
      <c r="C83" s="964">
        <v>0</v>
      </c>
      <c r="D83" s="964">
        <v>0</v>
      </c>
      <c r="E83" s="964">
        <v>0</v>
      </c>
      <c r="F83" s="964">
        <v>438.88633820000001</v>
      </c>
      <c r="G83" s="964">
        <v>438.88633820000001</v>
      </c>
      <c r="H83" s="964">
        <v>438.88633820000001</v>
      </c>
      <c r="I83" s="773">
        <v>438.88633820000001</v>
      </c>
      <c r="J83" s="964">
        <v>438.88633820000001</v>
      </c>
      <c r="K83" s="964">
        <v>0</v>
      </c>
      <c r="L83" s="964">
        <v>0</v>
      </c>
      <c r="M83" s="964">
        <v>0</v>
      </c>
      <c r="N83" s="964">
        <v>0</v>
      </c>
      <c r="O83" s="964">
        <v>0</v>
      </c>
      <c r="P83" s="964">
        <v>0</v>
      </c>
      <c r="Q83" s="964">
        <v>0</v>
      </c>
      <c r="R83" s="964">
        <v>0</v>
      </c>
      <c r="S83" s="964">
        <v>0</v>
      </c>
      <c r="T83" s="964">
        <v>0</v>
      </c>
      <c r="U83" s="964">
        <v>0</v>
      </c>
      <c r="V83" s="964">
        <v>0</v>
      </c>
      <c r="W83" s="964">
        <v>0</v>
      </c>
      <c r="X83" s="964">
        <v>0</v>
      </c>
      <c r="Y83" s="964">
        <v>0</v>
      </c>
      <c r="Z83" s="964">
        <v>0</v>
      </c>
      <c r="AA83" s="964">
        <v>0</v>
      </c>
      <c r="AB83" s="964">
        <v>0</v>
      </c>
      <c r="AC83" s="964">
        <v>0</v>
      </c>
      <c r="AD83" s="964">
        <v>0</v>
      </c>
      <c r="AE83" s="964">
        <v>0</v>
      </c>
      <c r="AF83" s="964">
        <v>0</v>
      </c>
      <c r="AG83" s="964">
        <v>0</v>
      </c>
      <c r="AH83" s="773">
        <f t="shared" si="27"/>
        <v>2194.4316910000002</v>
      </c>
    </row>
    <row r="84" spans="1:34" x14ac:dyDescent="0.3">
      <c r="A84" s="10"/>
      <c r="B84" s="784" t="s">
        <v>777</v>
      </c>
      <c r="C84" s="964">
        <v>0</v>
      </c>
      <c r="D84" s="964">
        <v>0</v>
      </c>
      <c r="E84" s="964">
        <v>0</v>
      </c>
      <c r="F84" s="964">
        <v>0</v>
      </c>
      <c r="G84" s="964">
        <v>0</v>
      </c>
      <c r="H84" s="964">
        <v>327.68261861000002</v>
      </c>
      <c r="I84" s="773">
        <v>655.36523722000004</v>
      </c>
      <c r="J84" s="964">
        <v>655.36523722000004</v>
      </c>
      <c r="K84" s="964">
        <v>655.36523722000004</v>
      </c>
      <c r="L84" s="964">
        <v>655.36523722000004</v>
      </c>
      <c r="M84" s="964">
        <v>655.36523722000004</v>
      </c>
      <c r="N84" s="964">
        <v>655.36523722000004</v>
      </c>
      <c r="O84" s="964">
        <v>655.36523722000004</v>
      </c>
      <c r="P84" s="964">
        <v>655.36523722000004</v>
      </c>
      <c r="Q84" s="964">
        <v>655.36523722000004</v>
      </c>
      <c r="R84" s="964">
        <v>655.36523722000004</v>
      </c>
      <c r="S84" s="964">
        <v>336.34383320000001</v>
      </c>
      <c r="T84" s="964">
        <v>0</v>
      </c>
      <c r="U84" s="964">
        <v>0</v>
      </c>
      <c r="V84" s="964">
        <v>0</v>
      </c>
      <c r="W84" s="964">
        <v>0</v>
      </c>
      <c r="X84" s="964">
        <v>0</v>
      </c>
      <c r="Y84" s="964">
        <v>0</v>
      </c>
      <c r="Z84" s="964">
        <v>0</v>
      </c>
      <c r="AA84" s="964">
        <v>0</v>
      </c>
      <c r="AB84" s="964">
        <v>0</v>
      </c>
      <c r="AC84" s="964">
        <v>0</v>
      </c>
      <c r="AD84" s="964">
        <v>0</v>
      </c>
      <c r="AE84" s="964">
        <v>0</v>
      </c>
      <c r="AF84" s="964">
        <v>0</v>
      </c>
      <c r="AG84" s="964">
        <v>0</v>
      </c>
      <c r="AH84" s="773">
        <f t="shared" si="27"/>
        <v>7217.6788240100013</v>
      </c>
    </row>
    <row r="85" spans="1:34" x14ac:dyDescent="0.3">
      <c r="A85" s="10"/>
      <c r="B85" s="782" t="s">
        <v>775</v>
      </c>
      <c r="C85" s="963">
        <v>0</v>
      </c>
      <c r="D85" s="963">
        <v>0</v>
      </c>
      <c r="E85" s="963">
        <v>540.9641408</v>
      </c>
      <c r="F85" s="963">
        <v>2163.8565632</v>
      </c>
      <c r="G85" s="963">
        <v>2163.8565632</v>
      </c>
      <c r="H85" s="963">
        <v>2163.8565632</v>
      </c>
      <c r="I85" s="773">
        <v>2163.8565632</v>
      </c>
      <c r="J85" s="963">
        <v>2163.8565632</v>
      </c>
      <c r="K85" s="963">
        <v>2163.8565632</v>
      </c>
      <c r="L85" s="963">
        <v>0</v>
      </c>
      <c r="M85" s="963">
        <v>0</v>
      </c>
      <c r="N85" s="963">
        <v>0</v>
      </c>
      <c r="O85" s="963">
        <v>0</v>
      </c>
      <c r="P85" s="963">
        <v>0</v>
      </c>
      <c r="Q85" s="963">
        <v>0</v>
      </c>
      <c r="R85" s="963">
        <v>0</v>
      </c>
      <c r="S85" s="963">
        <v>0</v>
      </c>
      <c r="T85" s="963">
        <v>0</v>
      </c>
      <c r="U85" s="963">
        <v>0</v>
      </c>
      <c r="V85" s="963">
        <v>0</v>
      </c>
      <c r="W85" s="963">
        <v>0</v>
      </c>
      <c r="X85" s="963">
        <v>0</v>
      </c>
      <c r="Y85" s="963">
        <v>0</v>
      </c>
      <c r="Z85" s="963">
        <v>0</v>
      </c>
      <c r="AA85" s="963">
        <v>0</v>
      </c>
      <c r="AB85" s="963">
        <v>0</v>
      </c>
      <c r="AC85" s="963">
        <v>0</v>
      </c>
      <c r="AD85" s="963">
        <v>0</v>
      </c>
      <c r="AE85" s="963">
        <v>0</v>
      </c>
      <c r="AF85" s="963">
        <v>0</v>
      </c>
      <c r="AG85" s="963">
        <v>0</v>
      </c>
      <c r="AH85" s="773">
        <f t="shared" si="27"/>
        <v>13524.103519999997</v>
      </c>
    </row>
    <row r="86" spans="1:34" x14ac:dyDescent="0.3">
      <c r="A86" s="10"/>
      <c r="B86" s="782" t="s">
        <v>776</v>
      </c>
      <c r="C86" s="963">
        <v>0</v>
      </c>
      <c r="D86" s="963">
        <v>0</v>
      </c>
      <c r="E86" s="963">
        <v>0</v>
      </c>
      <c r="F86" s="963">
        <v>0</v>
      </c>
      <c r="G86" s="963">
        <v>0</v>
      </c>
      <c r="H86" s="963">
        <v>0</v>
      </c>
      <c r="I86" s="773">
        <v>0</v>
      </c>
      <c r="J86" s="963">
        <v>0</v>
      </c>
      <c r="K86" s="963">
        <v>0</v>
      </c>
      <c r="L86" s="963">
        <v>3814.1692440000002</v>
      </c>
      <c r="M86" s="963">
        <v>3814.1692440000002</v>
      </c>
      <c r="N86" s="963">
        <v>3814.1692440000002</v>
      </c>
      <c r="O86" s="963">
        <v>3814.1692440000002</v>
      </c>
      <c r="P86" s="963">
        <v>3814.1692440000002</v>
      </c>
      <c r="Q86" s="963">
        <v>0</v>
      </c>
      <c r="R86" s="963">
        <v>0</v>
      </c>
      <c r="S86" s="963">
        <v>0</v>
      </c>
      <c r="T86" s="963">
        <v>0</v>
      </c>
      <c r="U86" s="963">
        <v>0</v>
      </c>
      <c r="V86" s="963">
        <v>0</v>
      </c>
      <c r="W86" s="963">
        <v>0</v>
      </c>
      <c r="X86" s="963">
        <v>0</v>
      </c>
      <c r="Y86" s="963">
        <v>0</v>
      </c>
      <c r="Z86" s="963">
        <v>0</v>
      </c>
      <c r="AA86" s="963">
        <v>0</v>
      </c>
      <c r="AB86" s="963">
        <v>0</v>
      </c>
      <c r="AC86" s="963">
        <v>0</v>
      </c>
      <c r="AD86" s="963">
        <v>0</v>
      </c>
      <c r="AE86" s="963">
        <v>0</v>
      </c>
      <c r="AF86" s="963">
        <v>0</v>
      </c>
      <c r="AG86" s="963">
        <v>0</v>
      </c>
      <c r="AH86" s="773">
        <f t="shared" si="27"/>
        <v>19070.846219999999</v>
      </c>
    </row>
    <row r="87" spans="1:34" x14ac:dyDescent="0.3">
      <c r="A87" s="10"/>
      <c r="B87" s="784" t="s">
        <v>778</v>
      </c>
      <c r="C87" s="822">
        <v>0</v>
      </c>
      <c r="D87" s="822">
        <v>0</v>
      </c>
      <c r="E87" s="822">
        <v>0</v>
      </c>
      <c r="F87" s="822">
        <v>0</v>
      </c>
      <c r="G87" s="822">
        <v>0</v>
      </c>
      <c r="H87" s="822">
        <v>0</v>
      </c>
      <c r="I87" s="773">
        <v>107.35909792</v>
      </c>
      <c r="J87" s="822">
        <v>107.35909792</v>
      </c>
      <c r="K87" s="822">
        <v>107.35909792</v>
      </c>
      <c r="L87" s="822">
        <v>107.35909792</v>
      </c>
      <c r="M87" s="822">
        <v>107.35909792</v>
      </c>
      <c r="N87" s="822">
        <v>107.35909792</v>
      </c>
      <c r="O87" s="822">
        <v>107.35909792</v>
      </c>
      <c r="P87" s="822">
        <v>107.35909792</v>
      </c>
      <c r="Q87" s="822">
        <v>107.35909792</v>
      </c>
      <c r="R87" s="822">
        <v>107.35909792</v>
      </c>
      <c r="S87" s="822">
        <v>107.35909792</v>
      </c>
      <c r="T87" s="822">
        <v>107.35909792</v>
      </c>
      <c r="U87" s="822">
        <v>107.35909792</v>
      </c>
      <c r="V87" s="822">
        <v>107.35909792</v>
      </c>
      <c r="W87" s="822">
        <v>0</v>
      </c>
      <c r="X87" s="822">
        <v>0</v>
      </c>
      <c r="Y87" s="822">
        <v>0</v>
      </c>
      <c r="Z87" s="822">
        <v>0</v>
      </c>
      <c r="AA87" s="822">
        <v>0</v>
      </c>
      <c r="AB87" s="822">
        <v>0</v>
      </c>
      <c r="AC87" s="822">
        <v>0</v>
      </c>
      <c r="AD87" s="822">
        <v>0</v>
      </c>
      <c r="AE87" s="822">
        <v>0</v>
      </c>
      <c r="AF87" s="822">
        <v>0</v>
      </c>
      <c r="AG87" s="822">
        <v>0</v>
      </c>
      <c r="AH87" s="773">
        <f t="shared" si="27"/>
        <v>1503.02737088</v>
      </c>
    </row>
    <row r="88" spans="1:34" x14ac:dyDescent="0.3">
      <c r="A88" s="10"/>
      <c r="B88" s="784" t="s">
        <v>498</v>
      </c>
      <c r="C88" s="822">
        <v>0</v>
      </c>
      <c r="D88" s="822">
        <v>0</v>
      </c>
      <c r="E88" s="822">
        <v>0</v>
      </c>
      <c r="F88" s="822">
        <v>0</v>
      </c>
      <c r="G88" s="822">
        <v>0</v>
      </c>
      <c r="H88" s="822">
        <v>0</v>
      </c>
      <c r="I88" s="773">
        <v>0</v>
      </c>
      <c r="J88" s="822">
        <v>0</v>
      </c>
      <c r="K88" s="822">
        <v>0</v>
      </c>
      <c r="L88" s="822">
        <v>0</v>
      </c>
      <c r="M88" s="822">
        <v>0</v>
      </c>
      <c r="N88" s="822">
        <v>0</v>
      </c>
      <c r="O88" s="822">
        <v>0</v>
      </c>
      <c r="P88" s="822">
        <v>1.3270220700000002</v>
      </c>
      <c r="Q88" s="822">
        <v>1.3270220700000002</v>
      </c>
      <c r="R88" s="822">
        <v>1.3672348600000002</v>
      </c>
      <c r="S88" s="822">
        <v>0</v>
      </c>
      <c r="T88" s="822">
        <v>0</v>
      </c>
      <c r="U88" s="822">
        <v>0</v>
      </c>
      <c r="V88" s="822">
        <v>0</v>
      </c>
      <c r="W88" s="822">
        <v>0</v>
      </c>
      <c r="X88" s="822">
        <v>0</v>
      </c>
      <c r="Y88" s="822">
        <v>0</v>
      </c>
      <c r="Z88" s="822">
        <v>0</v>
      </c>
      <c r="AA88" s="822">
        <v>0</v>
      </c>
      <c r="AB88" s="822">
        <v>0</v>
      </c>
      <c r="AC88" s="822">
        <v>0</v>
      </c>
      <c r="AD88" s="822">
        <v>0</v>
      </c>
      <c r="AE88" s="822">
        <v>0</v>
      </c>
      <c r="AF88" s="822">
        <v>0</v>
      </c>
      <c r="AG88" s="822">
        <v>0</v>
      </c>
      <c r="AH88" s="773">
        <f t="shared" si="27"/>
        <v>4.0212790000000007</v>
      </c>
    </row>
    <row r="89" spans="1:34" x14ac:dyDescent="0.3">
      <c r="A89" s="10"/>
      <c r="B89" s="782" t="s">
        <v>497</v>
      </c>
      <c r="C89" s="773">
        <v>0</v>
      </c>
      <c r="D89" s="773">
        <v>0.64706664000000003</v>
      </c>
      <c r="E89" s="773">
        <v>0.64706664000000003</v>
      </c>
      <c r="F89" s="773">
        <v>0.66667471999999994</v>
      </c>
      <c r="G89" s="773">
        <v>0</v>
      </c>
      <c r="H89" s="773">
        <v>0</v>
      </c>
      <c r="I89" s="773">
        <v>0</v>
      </c>
      <c r="J89" s="773">
        <v>0</v>
      </c>
      <c r="K89" s="773">
        <v>0</v>
      </c>
      <c r="L89" s="773">
        <v>0</v>
      </c>
      <c r="M89" s="773">
        <v>0</v>
      </c>
      <c r="N89" s="773">
        <v>0</v>
      </c>
      <c r="O89" s="773">
        <v>0</v>
      </c>
      <c r="P89" s="773">
        <v>0</v>
      </c>
      <c r="Q89" s="773">
        <v>0</v>
      </c>
      <c r="R89" s="773">
        <v>0</v>
      </c>
      <c r="S89" s="773">
        <v>0</v>
      </c>
      <c r="T89" s="773">
        <v>0</v>
      </c>
      <c r="U89" s="773">
        <v>0</v>
      </c>
      <c r="V89" s="773">
        <v>0</v>
      </c>
      <c r="W89" s="773">
        <v>0</v>
      </c>
      <c r="X89" s="773">
        <v>0</v>
      </c>
      <c r="Y89" s="773">
        <v>0</v>
      </c>
      <c r="Z89" s="773">
        <v>0</v>
      </c>
      <c r="AA89" s="773">
        <v>0</v>
      </c>
      <c r="AB89" s="773">
        <v>0</v>
      </c>
      <c r="AC89" s="773">
        <v>0</v>
      </c>
      <c r="AD89" s="773">
        <v>0</v>
      </c>
      <c r="AE89" s="773">
        <v>0</v>
      </c>
      <c r="AF89" s="773">
        <v>0</v>
      </c>
      <c r="AG89" s="773">
        <v>0</v>
      </c>
      <c r="AH89" s="773">
        <f t="shared" si="27"/>
        <v>1.9608080000000001</v>
      </c>
    </row>
    <row r="90" spans="1:34" x14ac:dyDescent="0.3">
      <c r="A90" s="10"/>
      <c r="B90" s="784" t="s">
        <v>559</v>
      </c>
      <c r="C90" s="773">
        <v>15.613977899999998</v>
      </c>
      <c r="D90" s="773">
        <v>5.2046592999999994</v>
      </c>
      <c r="E90" s="773">
        <v>5.2171554800000006</v>
      </c>
      <c r="F90" s="773">
        <v>0</v>
      </c>
      <c r="G90" s="773">
        <v>0</v>
      </c>
      <c r="H90" s="773">
        <v>0</v>
      </c>
      <c r="I90" s="773">
        <v>0</v>
      </c>
      <c r="J90" s="773">
        <v>0</v>
      </c>
      <c r="K90" s="773">
        <v>0</v>
      </c>
      <c r="L90" s="773">
        <v>0</v>
      </c>
      <c r="M90" s="773">
        <v>0</v>
      </c>
      <c r="N90" s="773">
        <v>0</v>
      </c>
      <c r="O90" s="773">
        <v>0</v>
      </c>
      <c r="P90" s="773">
        <v>0</v>
      </c>
      <c r="Q90" s="773">
        <v>0</v>
      </c>
      <c r="R90" s="773">
        <v>0</v>
      </c>
      <c r="S90" s="773">
        <v>0</v>
      </c>
      <c r="T90" s="773">
        <v>0</v>
      </c>
      <c r="U90" s="773">
        <v>0</v>
      </c>
      <c r="V90" s="773">
        <v>0</v>
      </c>
      <c r="W90" s="773">
        <v>0</v>
      </c>
      <c r="X90" s="773">
        <v>0</v>
      </c>
      <c r="Y90" s="773">
        <v>0</v>
      </c>
      <c r="Z90" s="773">
        <v>0</v>
      </c>
      <c r="AA90" s="773">
        <v>0</v>
      </c>
      <c r="AB90" s="773">
        <v>0</v>
      </c>
      <c r="AC90" s="773">
        <v>0</v>
      </c>
      <c r="AD90" s="773">
        <v>0</v>
      </c>
      <c r="AE90" s="773">
        <v>0</v>
      </c>
      <c r="AF90" s="773">
        <v>0</v>
      </c>
      <c r="AG90" s="773">
        <v>0</v>
      </c>
      <c r="AH90" s="773">
        <f t="shared" si="27"/>
        <v>26.03579268</v>
      </c>
    </row>
    <row r="91" spans="1:34" x14ac:dyDescent="0.3">
      <c r="A91" s="10"/>
      <c r="B91" s="784" t="s">
        <v>592</v>
      </c>
      <c r="C91" s="773">
        <v>39.399323399026748</v>
      </c>
      <c r="D91" s="773">
        <v>42.125414502189777</v>
      </c>
      <c r="E91" s="773">
        <v>44.989746609732364</v>
      </c>
      <c r="F91" s="773">
        <v>48.153027292846708</v>
      </c>
      <c r="G91" s="773">
        <v>51.484798703357669</v>
      </c>
      <c r="H91" s="773">
        <v>55.047099767980534</v>
      </c>
      <c r="I91" s="773">
        <v>58.845189478248173</v>
      </c>
      <c r="J91" s="773">
        <v>0</v>
      </c>
      <c r="K91" s="773">
        <v>0</v>
      </c>
      <c r="L91" s="773">
        <v>0</v>
      </c>
      <c r="M91" s="773">
        <v>0</v>
      </c>
      <c r="N91" s="773">
        <v>0</v>
      </c>
      <c r="O91" s="773">
        <v>0</v>
      </c>
      <c r="P91" s="773">
        <v>0</v>
      </c>
      <c r="Q91" s="773">
        <v>0</v>
      </c>
      <c r="R91" s="773">
        <v>0</v>
      </c>
      <c r="S91" s="773">
        <v>0</v>
      </c>
      <c r="T91" s="773">
        <v>0</v>
      </c>
      <c r="U91" s="773">
        <v>0</v>
      </c>
      <c r="V91" s="773">
        <v>0</v>
      </c>
      <c r="W91" s="773">
        <v>0</v>
      </c>
      <c r="X91" s="773">
        <v>0</v>
      </c>
      <c r="Y91" s="773">
        <v>0</v>
      </c>
      <c r="Z91" s="773">
        <v>0</v>
      </c>
      <c r="AA91" s="773">
        <v>0</v>
      </c>
      <c r="AB91" s="773">
        <v>0</v>
      </c>
      <c r="AC91" s="773">
        <v>0</v>
      </c>
      <c r="AD91" s="773">
        <v>0</v>
      </c>
      <c r="AE91" s="773">
        <v>0</v>
      </c>
      <c r="AF91" s="773">
        <v>0</v>
      </c>
      <c r="AG91" s="773">
        <v>0</v>
      </c>
      <c r="AH91" s="773">
        <f t="shared" si="27"/>
        <v>340.04459975338199</v>
      </c>
    </row>
    <row r="92" spans="1:34" x14ac:dyDescent="0.3">
      <c r="A92" s="10"/>
      <c r="B92" s="782" t="s">
        <v>557</v>
      </c>
      <c r="C92" s="773">
        <v>675.52479645742096</v>
      </c>
      <c r="D92" s="773">
        <v>0</v>
      </c>
      <c r="E92" s="773">
        <v>0</v>
      </c>
      <c r="F92" s="773">
        <v>0</v>
      </c>
      <c r="G92" s="773">
        <v>0</v>
      </c>
      <c r="H92" s="773">
        <v>0</v>
      </c>
      <c r="I92" s="773">
        <v>0</v>
      </c>
      <c r="J92" s="773">
        <v>0</v>
      </c>
      <c r="K92" s="773">
        <v>0</v>
      </c>
      <c r="L92" s="773">
        <v>0</v>
      </c>
      <c r="M92" s="773">
        <v>0</v>
      </c>
      <c r="N92" s="773">
        <v>0</v>
      </c>
      <c r="O92" s="773">
        <v>0</v>
      </c>
      <c r="P92" s="773">
        <v>0</v>
      </c>
      <c r="Q92" s="773">
        <v>0</v>
      </c>
      <c r="R92" s="773">
        <v>0</v>
      </c>
      <c r="S92" s="773">
        <v>0</v>
      </c>
      <c r="T92" s="773">
        <v>0</v>
      </c>
      <c r="U92" s="773">
        <v>0</v>
      </c>
      <c r="V92" s="773">
        <v>0</v>
      </c>
      <c r="W92" s="773">
        <v>0</v>
      </c>
      <c r="X92" s="773">
        <v>0</v>
      </c>
      <c r="Y92" s="773">
        <v>0</v>
      </c>
      <c r="Z92" s="773">
        <v>0</v>
      </c>
      <c r="AA92" s="773">
        <v>0</v>
      </c>
      <c r="AB92" s="773">
        <v>0</v>
      </c>
      <c r="AC92" s="773">
        <v>0</v>
      </c>
      <c r="AD92" s="773">
        <v>0</v>
      </c>
      <c r="AE92" s="773">
        <v>0</v>
      </c>
      <c r="AF92" s="773">
        <v>0</v>
      </c>
      <c r="AG92" s="773">
        <v>0</v>
      </c>
      <c r="AH92" s="773">
        <f t="shared" si="27"/>
        <v>675.52479645742096</v>
      </c>
    </row>
    <row r="93" spans="1:34" x14ac:dyDescent="0.3">
      <c r="A93" s="10"/>
      <c r="B93" s="784" t="s">
        <v>802</v>
      </c>
      <c r="C93" s="773">
        <v>0.73906899999999998</v>
      </c>
      <c r="D93" s="773">
        <v>0</v>
      </c>
      <c r="E93" s="773">
        <v>0</v>
      </c>
      <c r="F93" s="773">
        <v>0</v>
      </c>
      <c r="G93" s="773">
        <v>0</v>
      </c>
      <c r="H93" s="773">
        <v>0</v>
      </c>
      <c r="I93" s="773">
        <v>0</v>
      </c>
      <c r="J93" s="773">
        <v>0</v>
      </c>
      <c r="K93" s="773">
        <v>0</v>
      </c>
      <c r="L93" s="773">
        <v>0</v>
      </c>
      <c r="M93" s="773">
        <v>0</v>
      </c>
      <c r="N93" s="773">
        <v>0</v>
      </c>
      <c r="O93" s="773">
        <v>0</v>
      </c>
      <c r="P93" s="773">
        <v>0</v>
      </c>
      <c r="Q93" s="773">
        <v>0</v>
      </c>
      <c r="R93" s="773">
        <v>0</v>
      </c>
      <c r="S93" s="773">
        <v>0</v>
      </c>
      <c r="T93" s="773">
        <v>0</v>
      </c>
      <c r="U93" s="773">
        <v>0</v>
      </c>
      <c r="V93" s="773">
        <v>0</v>
      </c>
      <c r="W93" s="773">
        <v>0</v>
      </c>
      <c r="X93" s="773">
        <v>0</v>
      </c>
      <c r="Y93" s="773">
        <v>0</v>
      </c>
      <c r="Z93" s="773">
        <v>0</v>
      </c>
      <c r="AA93" s="773">
        <v>0</v>
      </c>
      <c r="AB93" s="773">
        <v>0</v>
      </c>
      <c r="AC93" s="773">
        <v>0</v>
      </c>
      <c r="AD93" s="773">
        <v>0</v>
      </c>
      <c r="AE93" s="773">
        <v>0</v>
      </c>
      <c r="AF93" s="773">
        <v>0</v>
      </c>
      <c r="AG93" s="773">
        <v>0</v>
      </c>
      <c r="AH93" s="773">
        <f t="shared" si="27"/>
        <v>0.73906899999999998</v>
      </c>
    </row>
    <row r="94" spans="1:34" x14ac:dyDescent="0.3">
      <c r="A94" s="10"/>
      <c r="B94" s="784" t="s">
        <v>743</v>
      </c>
      <c r="C94" s="773">
        <v>0</v>
      </c>
      <c r="D94" s="773">
        <v>24.998895000000001</v>
      </c>
      <c r="E94" s="773">
        <v>0</v>
      </c>
      <c r="F94" s="773">
        <v>0</v>
      </c>
      <c r="G94" s="773">
        <v>0</v>
      </c>
      <c r="H94" s="773">
        <v>0</v>
      </c>
      <c r="I94" s="773">
        <v>0</v>
      </c>
      <c r="J94" s="773">
        <v>0</v>
      </c>
      <c r="K94" s="773">
        <v>0</v>
      </c>
      <c r="L94" s="773">
        <v>0</v>
      </c>
      <c r="M94" s="773">
        <v>0</v>
      </c>
      <c r="N94" s="773">
        <v>0</v>
      </c>
      <c r="O94" s="773">
        <v>0</v>
      </c>
      <c r="P94" s="773">
        <v>0</v>
      </c>
      <c r="Q94" s="773">
        <v>0</v>
      </c>
      <c r="R94" s="773">
        <v>0</v>
      </c>
      <c r="S94" s="773">
        <v>0</v>
      </c>
      <c r="T94" s="773">
        <v>0</v>
      </c>
      <c r="U94" s="773">
        <v>0</v>
      </c>
      <c r="V94" s="773">
        <v>0</v>
      </c>
      <c r="W94" s="773">
        <v>0</v>
      </c>
      <c r="X94" s="773">
        <v>0</v>
      </c>
      <c r="Y94" s="773">
        <v>0</v>
      </c>
      <c r="Z94" s="773">
        <v>0</v>
      </c>
      <c r="AA94" s="773">
        <v>0</v>
      </c>
      <c r="AB94" s="773">
        <v>0</v>
      </c>
      <c r="AC94" s="773">
        <v>0</v>
      </c>
      <c r="AD94" s="773">
        <v>0</v>
      </c>
      <c r="AE94" s="773">
        <v>0</v>
      </c>
      <c r="AF94" s="773">
        <v>0</v>
      </c>
      <c r="AG94" s="773">
        <v>0</v>
      </c>
      <c r="AH94" s="773">
        <f t="shared" si="27"/>
        <v>24.998895000000001</v>
      </c>
    </row>
    <row r="95" spans="1:34" x14ac:dyDescent="0.3">
      <c r="A95" s="10"/>
      <c r="B95" s="784" t="s">
        <v>742</v>
      </c>
      <c r="C95" s="773">
        <v>7.9244300000000001</v>
      </c>
      <c r="D95" s="773">
        <v>0</v>
      </c>
      <c r="E95" s="773">
        <v>0</v>
      </c>
      <c r="F95" s="773">
        <v>0</v>
      </c>
      <c r="G95" s="773">
        <v>0</v>
      </c>
      <c r="H95" s="773">
        <v>0</v>
      </c>
      <c r="I95" s="773">
        <v>0</v>
      </c>
      <c r="J95" s="773">
        <v>0</v>
      </c>
      <c r="K95" s="773">
        <v>0</v>
      </c>
      <c r="L95" s="773">
        <v>0</v>
      </c>
      <c r="M95" s="773">
        <v>0</v>
      </c>
      <c r="N95" s="773">
        <v>0</v>
      </c>
      <c r="O95" s="773">
        <v>0</v>
      </c>
      <c r="P95" s="773">
        <v>0</v>
      </c>
      <c r="Q95" s="773">
        <v>0</v>
      </c>
      <c r="R95" s="773">
        <v>0</v>
      </c>
      <c r="S95" s="773">
        <v>0</v>
      </c>
      <c r="T95" s="773">
        <v>0</v>
      </c>
      <c r="U95" s="773">
        <v>0</v>
      </c>
      <c r="V95" s="773">
        <v>0</v>
      </c>
      <c r="W95" s="773">
        <v>0</v>
      </c>
      <c r="X95" s="773">
        <v>0</v>
      </c>
      <c r="Y95" s="773">
        <v>0</v>
      </c>
      <c r="Z95" s="773">
        <v>0</v>
      </c>
      <c r="AA95" s="773">
        <v>0</v>
      </c>
      <c r="AB95" s="773">
        <v>0</v>
      </c>
      <c r="AC95" s="773">
        <v>0</v>
      </c>
      <c r="AD95" s="773">
        <v>0</v>
      </c>
      <c r="AE95" s="773">
        <v>0</v>
      </c>
      <c r="AF95" s="773">
        <v>0</v>
      </c>
      <c r="AG95" s="773">
        <v>0</v>
      </c>
      <c r="AH95" s="773">
        <f t="shared" si="27"/>
        <v>7.9244300000000001</v>
      </c>
    </row>
    <row r="96" spans="1:34" x14ac:dyDescent="0.3">
      <c r="A96" s="10"/>
      <c r="B96" s="784" t="s">
        <v>804</v>
      </c>
      <c r="C96" s="773">
        <v>1952.3749519999999</v>
      </c>
      <c r="D96" s="773">
        <v>0</v>
      </c>
      <c r="E96" s="773">
        <v>0</v>
      </c>
      <c r="F96" s="773">
        <v>0</v>
      </c>
      <c r="G96" s="773">
        <v>0</v>
      </c>
      <c r="H96" s="773">
        <v>0</v>
      </c>
      <c r="I96" s="773">
        <v>0</v>
      </c>
      <c r="J96" s="773">
        <v>0</v>
      </c>
      <c r="K96" s="773">
        <v>0</v>
      </c>
      <c r="L96" s="773">
        <v>0</v>
      </c>
      <c r="M96" s="773">
        <v>0</v>
      </c>
      <c r="N96" s="773">
        <v>0</v>
      </c>
      <c r="O96" s="773">
        <v>0</v>
      </c>
      <c r="P96" s="773">
        <v>0</v>
      </c>
      <c r="Q96" s="773">
        <v>0</v>
      </c>
      <c r="R96" s="773">
        <v>0</v>
      </c>
      <c r="S96" s="773">
        <v>0</v>
      </c>
      <c r="T96" s="773">
        <v>0</v>
      </c>
      <c r="U96" s="773">
        <v>0</v>
      </c>
      <c r="V96" s="773">
        <v>0</v>
      </c>
      <c r="W96" s="773">
        <v>0</v>
      </c>
      <c r="X96" s="773">
        <v>0</v>
      </c>
      <c r="Y96" s="773">
        <v>0</v>
      </c>
      <c r="Z96" s="773">
        <v>0</v>
      </c>
      <c r="AA96" s="773">
        <v>0</v>
      </c>
      <c r="AB96" s="773">
        <v>0</v>
      </c>
      <c r="AC96" s="773">
        <v>0</v>
      </c>
      <c r="AD96" s="773">
        <v>0</v>
      </c>
      <c r="AE96" s="773">
        <v>0</v>
      </c>
      <c r="AF96" s="773">
        <v>0</v>
      </c>
      <c r="AG96" s="773">
        <v>0</v>
      </c>
      <c r="AH96" s="773">
        <f t="shared" si="27"/>
        <v>1952.3749519999999</v>
      </c>
    </row>
    <row r="97" spans="1:34" x14ac:dyDescent="0.3">
      <c r="A97" s="10"/>
      <c r="B97" s="784" t="s">
        <v>477</v>
      </c>
      <c r="C97" s="783">
        <v>0</v>
      </c>
      <c r="D97" s="783">
        <v>0</v>
      </c>
      <c r="E97" s="783">
        <v>0</v>
      </c>
      <c r="F97" s="783">
        <v>0</v>
      </c>
      <c r="G97" s="783">
        <v>939.85122861313869</v>
      </c>
      <c r="H97" s="783">
        <v>0</v>
      </c>
      <c r="I97" s="773">
        <v>0</v>
      </c>
      <c r="J97" s="783">
        <v>0</v>
      </c>
      <c r="K97" s="783">
        <v>0</v>
      </c>
      <c r="L97" s="783">
        <v>0</v>
      </c>
      <c r="M97" s="783">
        <v>0</v>
      </c>
      <c r="N97" s="783">
        <v>0</v>
      </c>
      <c r="O97" s="783">
        <v>0</v>
      </c>
      <c r="P97" s="783">
        <v>0</v>
      </c>
      <c r="Q97" s="783">
        <v>0</v>
      </c>
      <c r="R97" s="783">
        <v>0</v>
      </c>
      <c r="S97" s="783">
        <v>0</v>
      </c>
      <c r="T97" s="783">
        <v>0</v>
      </c>
      <c r="U97" s="783">
        <v>0</v>
      </c>
      <c r="V97" s="783">
        <v>0</v>
      </c>
      <c r="W97" s="783">
        <v>0</v>
      </c>
      <c r="X97" s="783">
        <v>0</v>
      </c>
      <c r="Y97" s="783">
        <v>0</v>
      </c>
      <c r="Z97" s="783">
        <v>0</v>
      </c>
      <c r="AA97" s="783">
        <v>0</v>
      </c>
      <c r="AB97" s="783">
        <v>0</v>
      </c>
      <c r="AC97" s="783">
        <v>0</v>
      </c>
      <c r="AD97" s="783">
        <v>0</v>
      </c>
      <c r="AE97" s="783">
        <v>0</v>
      </c>
      <c r="AF97" s="783">
        <v>0</v>
      </c>
      <c r="AG97" s="783">
        <v>0</v>
      </c>
      <c r="AH97" s="773">
        <f t="shared" si="27"/>
        <v>939.85122861313869</v>
      </c>
    </row>
    <row r="98" spans="1:34" x14ac:dyDescent="0.3">
      <c r="A98" s="10"/>
      <c r="B98" s="784" t="s">
        <v>478</v>
      </c>
      <c r="C98" s="783">
        <v>0</v>
      </c>
      <c r="D98" s="783">
        <v>624.33433631143555</v>
      </c>
      <c r="E98" s="783">
        <v>0</v>
      </c>
      <c r="F98" s="783">
        <v>0</v>
      </c>
      <c r="G98" s="783">
        <v>0</v>
      </c>
      <c r="H98" s="783">
        <v>0</v>
      </c>
      <c r="I98" s="773">
        <v>0</v>
      </c>
      <c r="J98" s="783">
        <v>0</v>
      </c>
      <c r="K98" s="783">
        <v>0</v>
      </c>
      <c r="L98" s="783">
        <v>0</v>
      </c>
      <c r="M98" s="783">
        <v>0</v>
      </c>
      <c r="N98" s="783">
        <v>0</v>
      </c>
      <c r="O98" s="783">
        <v>0</v>
      </c>
      <c r="P98" s="783">
        <v>0</v>
      </c>
      <c r="Q98" s="783">
        <v>0</v>
      </c>
      <c r="R98" s="783">
        <v>0</v>
      </c>
      <c r="S98" s="783">
        <v>0</v>
      </c>
      <c r="T98" s="783">
        <v>0</v>
      </c>
      <c r="U98" s="783">
        <v>0</v>
      </c>
      <c r="V98" s="783">
        <v>0</v>
      </c>
      <c r="W98" s="783">
        <v>0</v>
      </c>
      <c r="X98" s="783">
        <v>0</v>
      </c>
      <c r="Y98" s="783">
        <v>0</v>
      </c>
      <c r="Z98" s="783">
        <v>0</v>
      </c>
      <c r="AA98" s="783">
        <v>0</v>
      </c>
      <c r="AB98" s="783">
        <v>0</v>
      </c>
      <c r="AC98" s="783">
        <v>0</v>
      </c>
      <c r="AD98" s="783">
        <v>0</v>
      </c>
      <c r="AE98" s="783">
        <v>0</v>
      </c>
      <c r="AF98" s="783">
        <v>0</v>
      </c>
      <c r="AG98" s="783">
        <v>0</v>
      </c>
      <c r="AH98" s="773">
        <f t="shared" si="27"/>
        <v>624.33433631143555</v>
      </c>
    </row>
    <row r="99" spans="1:34" x14ac:dyDescent="0.3">
      <c r="A99" s="10"/>
      <c r="B99" s="784" t="s">
        <v>741</v>
      </c>
      <c r="C99" s="783">
        <v>3595.0494275133819</v>
      </c>
      <c r="D99" s="783">
        <v>0</v>
      </c>
      <c r="E99" s="783">
        <v>0</v>
      </c>
      <c r="F99" s="783">
        <v>0</v>
      </c>
      <c r="G99" s="783">
        <v>0</v>
      </c>
      <c r="H99" s="783">
        <v>0</v>
      </c>
      <c r="I99" s="773">
        <v>0</v>
      </c>
      <c r="J99" s="783">
        <v>0</v>
      </c>
      <c r="K99" s="783">
        <v>0</v>
      </c>
      <c r="L99" s="783">
        <v>0</v>
      </c>
      <c r="M99" s="783">
        <v>0</v>
      </c>
      <c r="N99" s="783">
        <v>0</v>
      </c>
      <c r="O99" s="783">
        <v>0</v>
      </c>
      <c r="P99" s="783">
        <v>0</v>
      </c>
      <c r="Q99" s="783">
        <v>0</v>
      </c>
      <c r="R99" s="783">
        <v>0</v>
      </c>
      <c r="S99" s="783">
        <v>0</v>
      </c>
      <c r="T99" s="783">
        <v>0</v>
      </c>
      <c r="U99" s="783">
        <v>0</v>
      </c>
      <c r="V99" s="783">
        <v>0</v>
      </c>
      <c r="W99" s="783">
        <v>0</v>
      </c>
      <c r="X99" s="783">
        <v>0</v>
      </c>
      <c r="Y99" s="783">
        <v>0</v>
      </c>
      <c r="Z99" s="783">
        <v>0</v>
      </c>
      <c r="AA99" s="783">
        <v>0</v>
      </c>
      <c r="AB99" s="783">
        <v>0</v>
      </c>
      <c r="AC99" s="783">
        <v>0</v>
      </c>
      <c r="AD99" s="783">
        <v>0</v>
      </c>
      <c r="AE99" s="783">
        <v>0</v>
      </c>
      <c r="AF99" s="783">
        <v>0</v>
      </c>
      <c r="AG99" s="783">
        <v>0</v>
      </c>
      <c r="AH99" s="773">
        <f t="shared" si="27"/>
        <v>3595.0494275133819</v>
      </c>
    </row>
    <row r="100" spans="1:34" x14ac:dyDescent="0.3">
      <c r="A100" s="10"/>
      <c r="B100" s="782" t="s">
        <v>813</v>
      </c>
      <c r="C100" s="783">
        <v>0</v>
      </c>
      <c r="D100" s="783">
        <v>565.75025936739655</v>
      </c>
      <c r="E100" s="783">
        <v>0</v>
      </c>
      <c r="F100" s="783">
        <v>0</v>
      </c>
      <c r="G100" s="783">
        <v>0</v>
      </c>
      <c r="H100" s="783">
        <v>0</v>
      </c>
      <c r="I100" s="773">
        <v>0</v>
      </c>
      <c r="J100" s="783">
        <v>0</v>
      </c>
      <c r="K100" s="783">
        <v>0</v>
      </c>
      <c r="L100" s="783">
        <v>0</v>
      </c>
      <c r="M100" s="783">
        <v>0</v>
      </c>
      <c r="N100" s="783">
        <v>0</v>
      </c>
      <c r="O100" s="783">
        <v>0</v>
      </c>
      <c r="P100" s="783">
        <v>0</v>
      </c>
      <c r="Q100" s="783">
        <v>0</v>
      </c>
      <c r="R100" s="783">
        <v>0</v>
      </c>
      <c r="S100" s="783">
        <v>0</v>
      </c>
      <c r="T100" s="783">
        <v>0</v>
      </c>
      <c r="U100" s="783">
        <v>0</v>
      </c>
      <c r="V100" s="783">
        <v>0</v>
      </c>
      <c r="W100" s="783">
        <v>0</v>
      </c>
      <c r="X100" s="783">
        <v>0</v>
      </c>
      <c r="Y100" s="783">
        <v>0</v>
      </c>
      <c r="Z100" s="783">
        <v>0</v>
      </c>
      <c r="AA100" s="783">
        <v>0</v>
      </c>
      <c r="AB100" s="783">
        <v>0</v>
      </c>
      <c r="AC100" s="783">
        <v>0</v>
      </c>
      <c r="AD100" s="783">
        <v>0</v>
      </c>
      <c r="AE100" s="783">
        <v>0</v>
      </c>
      <c r="AF100" s="783">
        <v>0</v>
      </c>
      <c r="AG100" s="783">
        <v>0</v>
      </c>
      <c r="AH100" s="773">
        <f t="shared" si="27"/>
        <v>565.75025936739655</v>
      </c>
    </row>
    <row r="101" spans="1:34" x14ac:dyDescent="0.3">
      <c r="A101" s="10"/>
      <c r="B101" s="782" t="s">
        <v>838</v>
      </c>
      <c r="C101" s="783">
        <v>1613.6356249999999</v>
      </c>
      <c r="D101" s="783">
        <v>0</v>
      </c>
      <c r="E101" s="783">
        <v>0</v>
      </c>
      <c r="F101" s="783">
        <v>0</v>
      </c>
      <c r="G101" s="783">
        <v>0</v>
      </c>
      <c r="H101" s="783">
        <v>0</v>
      </c>
      <c r="I101" s="773">
        <v>0</v>
      </c>
      <c r="J101" s="783">
        <v>0</v>
      </c>
      <c r="K101" s="783">
        <v>0</v>
      </c>
      <c r="L101" s="783">
        <v>0</v>
      </c>
      <c r="M101" s="783">
        <v>0</v>
      </c>
      <c r="N101" s="783">
        <v>0</v>
      </c>
      <c r="O101" s="783">
        <v>0</v>
      </c>
      <c r="P101" s="783">
        <v>0</v>
      </c>
      <c r="Q101" s="783">
        <v>0</v>
      </c>
      <c r="R101" s="783">
        <v>0</v>
      </c>
      <c r="S101" s="783">
        <v>0</v>
      </c>
      <c r="T101" s="783">
        <v>0</v>
      </c>
      <c r="U101" s="783">
        <v>0</v>
      </c>
      <c r="V101" s="783">
        <v>0</v>
      </c>
      <c r="W101" s="783">
        <v>0</v>
      </c>
      <c r="X101" s="783">
        <v>0</v>
      </c>
      <c r="Y101" s="783">
        <v>0</v>
      </c>
      <c r="Z101" s="783">
        <v>0</v>
      </c>
      <c r="AA101" s="783">
        <v>0</v>
      </c>
      <c r="AB101" s="783">
        <v>0</v>
      </c>
      <c r="AC101" s="783">
        <v>0</v>
      </c>
      <c r="AD101" s="783">
        <v>0</v>
      </c>
      <c r="AE101" s="783">
        <v>0</v>
      </c>
      <c r="AF101" s="783">
        <v>0</v>
      </c>
      <c r="AG101" s="783">
        <v>0</v>
      </c>
      <c r="AH101" s="773">
        <f t="shared" si="27"/>
        <v>1613.6356249999999</v>
      </c>
    </row>
    <row r="102" spans="1:34" x14ac:dyDescent="0.3">
      <c r="A102" s="10"/>
      <c r="B102" s="784" t="s">
        <v>840</v>
      </c>
      <c r="C102" s="783">
        <v>0</v>
      </c>
      <c r="D102" s="783">
        <v>0</v>
      </c>
      <c r="E102" s="783">
        <v>0</v>
      </c>
      <c r="F102" s="783">
        <v>13.131444159026762</v>
      </c>
      <c r="G102" s="783">
        <v>13.131444159026762</v>
      </c>
      <c r="H102" s="783">
        <v>13.131444159026762</v>
      </c>
      <c r="I102" s="773">
        <v>13.131444159026762</v>
      </c>
      <c r="J102" s="783">
        <v>13.131444159026762</v>
      </c>
      <c r="K102" s="783">
        <v>13.131444159026762</v>
      </c>
      <c r="L102" s="783">
        <v>0</v>
      </c>
      <c r="M102" s="783">
        <v>0</v>
      </c>
      <c r="N102" s="783">
        <v>0</v>
      </c>
      <c r="O102" s="783">
        <v>0</v>
      </c>
      <c r="P102" s="783">
        <v>0</v>
      </c>
      <c r="Q102" s="783">
        <v>0</v>
      </c>
      <c r="R102" s="783">
        <v>0</v>
      </c>
      <c r="S102" s="783">
        <v>0</v>
      </c>
      <c r="T102" s="783">
        <v>0</v>
      </c>
      <c r="U102" s="783">
        <v>0</v>
      </c>
      <c r="V102" s="783">
        <v>0</v>
      </c>
      <c r="W102" s="783">
        <v>0</v>
      </c>
      <c r="X102" s="783">
        <v>0</v>
      </c>
      <c r="Y102" s="783">
        <v>0</v>
      </c>
      <c r="Z102" s="783">
        <v>0</v>
      </c>
      <c r="AA102" s="783">
        <v>0</v>
      </c>
      <c r="AB102" s="783">
        <v>0</v>
      </c>
      <c r="AC102" s="783">
        <v>0</v>
      </c>
      <c r="AD102" s="783">
        <v>0</v>
      </c>
      <c r="AE102" s="783">
        <v>0</v>
      </c>
      <c r="AF102" s="783">
        <v>0</v>
      </c>
      <c r="AG102" s="783">
        <v>0</v>
      </c>
      <c r="AH102" s="773">
        <f t="shared" si="27"/>
        <v>78.788664954160566</v>
      </c>
    </row>
    <row r="103" spans="1:34" x14ac:dyDescent="0.3">
      <c r="A103" s="10"/>
      <c r="B103" s="782" t="s">
        <v>841</v>
      </c>
      <c r="C103" s="783">
        <v>11.490834761654503</v>
      </c>
      <c r="D103" s="783">
        <v>11.490834761654503</v>
      </c>
      <c r="E103" s="783">
        <v>11.490834761654503</v>
      </c>
      <c r="F103" s="783">
        <v>11.490834761654503</v>
      </c>
      <c r="G103" s="783">
        <v>11.490834761654503</v>
      </c>
      <c r="H103" s="783">
        <v>11.490834761654503</v>
      </c>
      <c r="I103" s="773">
        <v>11.490834761654503</v>
      </c>
      <c r="J103" s="783">
        <v>11.490834761654503</v>
      </c>
      <c r="K103" s="783">
        <v>11.490834761654503</v>
      </c>
      <c r="L103" s="783">
        <v>8.6181260712408765</v>
      </c>
      <c r="M103" s="783">
        <v>0</v>
      </c>
      <c r="N103" s="783">
        <v>0</v>
      </c>
      <c r="O103" s="783">
        <v>0</v>
      </c>
      <c r="P103" s="783">
        <v>0</v>
      </c>
      <c r="Q103" s="783">
        <v>0</v>
      </c>
      <c r="R103" s="783">
        <v>0</v>
      </c>
      <c r="S103" s="783">
        <v>0</v>
      </c>
      <c r="T103" s="783">
        <v>0</v>
      </c>
      <c r="U103" s="783">
        <v>0</v>
      </c>
      <c r="V103" s="783">
        <v>0</v>
      </c>
      <c r="W103" s="783">
        <v>0</v>
      </c>
      <c r="X103" s="783">
        <v>0</v>
      </c>
      <c r="Y103" s="783">
        <v>0</v>
      </c>
      <c r="Z103" s="783">
        <v>0</v>
      </c>
      <c r="AA103" s="783">
        <v>0</v>
      </c>
      <c r="AB103" s="783">
        <v>0</v>
      </c>
      <c r="AC103" s="783">
        <v>0</v>
      </c>
      <c r="AD103" s="783">
        <v>0</v>
      </c>
      <c r="AE103" s="783">
        <v>0</v>
      </c>
      <c r="AF103" s="783">
        <v>0</v>
      </c>
      <c r="AG103" s="783">
        <v>0</v>
      </c>
      <c r="AH103" s="773">
        <f t="shared" si="27"/>
        <v>112.03563892613138</v>
      </c>
    </row>
    <row r="104" spans="1:34" x14ac:dyDescent="0.3">
      <c r="A104" s="10"/>
      <c r="B104" s="782" t="s">
        <v>850</v>
      </c>
      <c r="C104" s="773">
        <v>0</v>
      </c>
      <c r="D104" s="773">
        <v>2221.7516380000002</v>
      </c>
      <c r="E104" s="773">
        <v>0</v>
      </c>
      <c r="F104" s="773">
        <v>0</v>
      </c>
      <c r="G104" s="773">
        <v>0</v>
      </c>
      <c r="H104" s="773">
        <v>0</v>
      </c>
      <c r="I104" s="773">
        <v>0</v>
      </c>
      <c r="J104" s="773">
        <v>0</v>
      </c>
      <c r="K104" s="773">
        <v>0</v>
      </c>
      <c r="L104" s="773">
        <v>0</v>
      </c>
      <c r="M104" s="773">
        <v>0</v>
      </c>
      <c r="N104" s="773">
        <v>0</v>
      </c>
      <c r="O104" s="773">
        <v>0</v>
      </c>
      <c r="P104" s="773">
        <v>0</v>
      </c>
      <c r="Q104" s="773">
        <v>0</v>
      </c>
      <c r="R104" s="773">
        <v>0</v>
      </c>
      <c r="S104" s="773">
        <v>0</v>
      </c>
      <c r="T104" s="773">
        <v>0</v>
      </c>
      <c r="U104" s="773">
        <v>0</v>
      </c>
      <c r="V104" s="773">
        <v>0</v>
      </c>
      <c r="W104" s="773">
        <v>0</v>
      </c>
      <c r="X104" s="773">
        <v>0</v>
      </c>
      <c r="Y104" s="773">
        <v>0</v>
      </c>
      <c r="Z104" s="773">
        <v>0</v>
      </c>
      <c r="AA104" s="773">
        <v>0</v>
      </c>
      <c r="AB104" s="773">
        <v>0</v>
      </c>
      <c r="AC104" s="773">
        <v>0</v>
      </c>
      <c r="AD104" s="773">
        <v>0</v>
      </c>
      <c r="AE104" s="773">
        <v>0</v>
      </c>
      <c r="AF104" s="773">
        <v>0</v>
      </c>
      <c r="AG104" s="773">
        <v>0</v>
      </c>
      <c r="AH104" s="773">
        <f t="shared" si="27"/>
        <v>2221.7516380000002</v>
      </c>
    </row>
    <row r="105" spans="1:34" x14ac:dyDescent="0.3">
      <c r="A105" s="10"/>
      <c r="B105" s="784" t="s">
        <v>889</v>
      </c>
      <c r="C105" s="783">
        <v>0</v>
      </c>
      <c r="D105" s="783">
        <v>6.6218195192214111</v>
      </c>
      <c r="E105" s="783">
        <v>6.6218195192214111</v>
      </c>
      <c r="F105" s="783">
        <v>6.6218195192214111</v>
      </c>
      <c r="G105" s="783">
        <v>27.43325229391727</v>
      </c>
      <c r="H105" s="783">
        <v>0</v>
      </c>
      <c r="I105" s="773">
        <v>0</v>
      </c>
      <c r="J105" s="783">
        <v>0</v>
      </c>
      <c r="K105" s="783">
        <v>0</v>
      </c>
      <c r="L105" s="783">
        <v>0</v>
      </c>
      <c r="M105" s="783">
        <v>0</v>
      </c>
      <c r="N105" s="783">
        <v>0</v>
      </c>
      <c r="O105" s="783">
        <v>0</v>
      </c>
      <c r="P105" s="783">
        <v>0</v>
      </c>
      <c r="Q105" s="783">
        <v>0</v>
      </c>
      <c r="R105" s="783">
        <v>0</v>
      </c>
      <c r="S105" s="783">
        <v>0</v>
      </c>
      <c r="T105" s="783">
        <v>0</v>
      </c>
      <c r="U105" s="783">
        <v>0</v>
      </c>
      <c r="V105" s="783">
        <v>0</v>
      </c>
      <c r="W105" s="783">
        <v>0</v>
      </c>
      <c r="X105" s="783">
        <v>0</v>
      </c>
      <c r="Y105" s="783">
        <v>0</v>
      </c>
      <c r="Z105" s="783">
        <v>0</v>
      </c>
      <c r="AA105" s="783">
        <v>0</v>
      </c>
      <c r="AB105" s="783">
        <v>0</v>
      </c>
      <c r="AC105" s="783">
        <v>0</v>
      </c>
      <c r="AD105" s="783">
        <v>0</v>
      </c>
      <c r="AE105" s="783">
        <v>0</v>
      </c>
      <c r="AF105" s="783">
        <v>0</v>
      </c>
      <c r="AG105" s="783">
        <v>0</v>
      </c>
      <c r="AH105" s="773">
        <f t="shared" si="27"/>
        <v>47.298710851581504</v>
      </c>
    </row>
    <row r="106" spans="1:34" x14ac:dyDescent="0.3">
      <c r="A106" s="10"/>
      <c r="B106" s="784" t="s">
        <v>697</v>
      </c>
      <c r="C106" s="783">
        <v>4874.2518822559141</v>
      </c>
      <c r="D106" s="783">
        <v>0</v>
      </c>
      <c r="E106" s="783">
        <v>0</v>
      </c>
      <c r="F106" s="783">
        <v>0</v>
      </c>
      <c r="G106" s="783">
        <v>0</v>
      </c>
      <c r="H106" s="783">
        <v>0</v>
      </c>
      <c r="I106" s="773">
        <v>0</v>
      </c>
      <c r="J106" s="783">
        <v>0</v>
      </c>
      <c r="K106" s="783">
        <v>0</v>
      </c>
      <c r="L106" s="783">
        <v>0</v>
      </c>
      <c r="M106" s="783">
        <v>0</v>
      </c>
      <c r="N106" s="783">
        <v>0</v>
      </c>
      <c r="O106" s="783">
        <v>0</v>
      </c>
      <c r="P106" s="783">
        <v>0</v>
      </c>
      <c r="Q106" s="783">
        <v>0</v>
      </c>
      <c r="R106" s="783">
        <v>0</v>
      </c>
      <c r="S106" s="783">
        <v>0</v>
      </c>
      <c r="T106" s="783">
        <v>0</v>
      </c>
      <c r="U106" s="783">
        <v>0</v>
      </c>
      <c r="V106" s="783">
        <v>0</v>
      </c>
      <c r="W106" s="783">
        <v>0</v>
      </c>
      <c r="X106" s="783">
        <v>0</v>
      </c>
      <c r="Y106" s="783">
        <v>0</v>
      </c>
      <c r="Z106" s="783">
        <v>0</v>
      </c>
      <c r="AA106" s="783">
        <v>0</v>
      </c>
      <c r="AB106" s="783">
        <v>0</v>
      </c>
      <c r="AC106" s="783">
        <v>0</v>
      </c>
      <c r="AD106" s="783">
        <v>0</v>
      </c>
      <c r="AE106" s="783">
        <v>0</v>
      </c>
      <c r="AF106" s="783">
        <v>0</v>
      </c>
      <c r="AG106" s="783">
        <v>0</v>
      </c>
      <c r="AH106" s="773">
        <f t="shared" ref="AH106:AH132" si="28">SUM(C106:AG106)</f>
        <v>4874.2518822559141</v>
      </c>
    </row>
    <row r="107" spans="1:34" x14ac:dyDescent="0.3">
      <c r="A107" s="10"/>
      <c r="B107" s="782" t="s">
        <v>795</v>
      </c>
      <c r="C107" s="783">
        <v>0</v>
      </c>
      <c r="D107" s="783">
        <v>5055.6047222604575</v>
      </c>
      <c r="E107" s="783">
        <v>0</v>
      </c>
      <c r="F107" s="783">
        <v>0</v>
      </c>
      <c r="G107" s="783">
        <v>0</v>
      </c>
      <c r="H107" s="783">
        <v>0</v>
      </c>
      <c r="I107" s="773">
        <v>0</v>
      </c>
      <c r="J107" s="783">
        <v>0</v>
      </c>
      <c r="K107" s="783">
        <v>0</v>
      </c>
      <c r="L107" s="783">
        <v>0</v>
      </c>
      <c r="M107" s="783">
        <v>0</v>
      </c>
      <c r="N107" s="783">
        <v>0</v>
      </c>
      <c r="O107" s="783">
        <v>0</v>
      </c>
      <c r="P107" s="783">
        <v>0</v>
      </c>
      <c r="Q107" s="783">
        <v>0</v>
      </c>
      <c r="R107" s="783">
        <v>0</v>
      </c>
      <c r="S107" s="783">
        <v>0</v>
      </c>
      <c r="T107" s="783">
        <v>0</v>
      </c>
      <c r="U107" s="783">
        <v>0</v>
      </c>
      <c r="V107" s="783">
        <v>0</v>
      </c>
      <c r="W107" s="783">
        <v>0</v>
      </c>
      <c r="X107" s="783">
        <v>0</v>
      </c>
      <c r="Y107" s="783">
        <v>0</v>
      </c>
      <c r="Z107" s="783">
        <v>0</v>
      </c>
      <c r="AA107" s="783">
        <v>0</v>
      </c>
      <c r="AB107" s="783">
        <v>0</v>
      </c>
      <c r="AC107" s="783">
        <v>0</v>
      </c>
      <c r="AD107" s="783">
        <v>0</v>
      </c>
      <c r="AE107" s="783">
        <v>0</v>
      </c>
      <c r="AF107" s="783">
        <v>0</v>
      </c>
      <c r="AG107" s="783">
        <v>0</v>
      </c>
      <c r="AH107" s="773">
        <f t="shared" si="28"/>
        <v>5055.6047222604575</v>
      </c>
    </row>
    <row r="108" spans="1:34" x14ac:dyDescent="0.3">
      <c r="A108" s="10"/>
      <c r="B108" s="784" t="s">
        <v>794</v>
      </c>
      <c r="C108" s="773">
        <v>6443.9926266379052</v>
      </c>
      <c r="D108" s="773">
        <v>0</v>
      </c>
      <c r="E108" s="773">
        <v>0</v>
      </c>
      <c r="F108" s="773">
        <v>0</v>
      </c>
      <c r="G108" s="773">
        <v>0</v>
      </c>
      <c r="H108" s="773">
        <v>0</v>
      </c>
      <c r="I108" s="773">
        <v>0</v>
      </c>
      <c r="J108" s="773">
        <v>0</v>
      </c>
      <c r="K108" s="773">
        <v>0</v>
      </c>
      <c r="L108" s="773">
        <v>0</v>
      </c>
      <c r="M108" s="773">
        <v>0</v>
      </c>
      <c r="N108" s="773">
        <v>0</v>
      </c>
      <c r="O108" s="773">
        <v>0</v>
      </c>
      <c r="P108" s="773">
        <v>0</v>
      </c>
      <c r="Q108" s="773">
        <v>0</v>
      </c>
      <c r="R108" s="773">
        <v>0</v>
      </c>
      <c r="S108" s="773">
        <v>0</v>
      </c>
      <c r="T108" s="773">
        <v>0</v>
      </c>
      <c r="U108" s="773">
        <v>0</v>
      </c>
      <c r="V108" s="773">
        <v>0</v>
      </c>
      <c r="W108" s="773">
        <v>0</v>
      </c>
      <c r="X108" s="773">
        <v>0</v>
      </c>
      <c r="Y108" s="773">
        <v>0</v>
      </c>
      <c r="Z108" s="773">
        <v>0</v>
      </c>
      <c r="AA108" s="773">
        <v>0</v>
      </c>
      <c r="AB108" s="773">
        <v>0</v>
      </c>
      <c r="AC108" s="773">
        <v>0</v>
      </c>
      <c r="AD108" s="773">
        <v>0</v>
      </c>
      <c r="AE108" s="773">
        <v>0</v>
      </c>
      <c r="AF108" s="773">
        <v>0</v>
      </c>
      <c r="AG108" s="773">
        <v>0</v>
      </c>
      <c r="AH108" s="773">
        <f t="shared" si="28"/>
        <v>6443.9926266379052</v>
      </c>
    </row>
    <row r="109" spans="1:34" x14ac:dyDescent="0.3">
      <c r="A109" s="10"/>
      <c r="B109" s="784" t="s">
        <v>792</v>
      </c>
      <c r="C109" s="773">
        <v>0</v>
      </c>
      <c r="D109" s="773">
        <v>5684.8714311754857</v>
      </c>
      <c r="E109" s="773">
        <v>0</v>
      </c>
      <c r="F109" s="773">
        <v>0</v>
      </c>
      <c r="G109" s="773">
        <v>0</v>
      </c>
      <c r="H109" s="773">
        <v>0</v>
      </c>
      <c r="I109" s="773">
        <v>0</v>
      </c>
      <c r="J109" s="773">
        <v>0</v>
      </c>
      <c r="K109" s="773">
        <v>0</v>
      </c>
      <c r="L109" s="773">
        <v>0</v>
      </c>
      <c r="M109" s="773">
        <v>0</v>
      </c>
      <c r="N109" s="773">
        <v>0</v>
      </c>
      <c r="O109" s="773">
        <v>0</v>
      </c>
      <c r="P109" s="773">
        <v>0</v>
      </c>
      <c r="Q109" s="773">
        <v>0</v>
      </c>
      <c r="R109" s="773">
        <v>0</v>
      </c>
      <c r="S109" s="773">
        <v>0</v>
      </c>
      <c r="T109" s="773">
        <v>0</v>
      </c>
      <c r="U109" s="773">
        <v>0</v>
      </c>
      <c r="V109" s="773">
        <v>0</v>
      </c>
      <c r="W109" s="773">
        <v>0</v>
      </c>
      <c r="X109" s="773">
        <v>0</v>
      </c>
      <c r="Y109" s="773">
        <v>0</v>
      </c>
      <c r="Z109" s="773">
        <v>0</v>
      </c>
      <c r="AA109" s="773">
        <v>0</v>
      </c>
      <c r="AB109" s="773">
        <v>0</v>
      </c>
      <c r="AC109" s="773">
        <v>0</v>
      </c>
      <c r="AD109" s="773">
        <v>0</v>
      </c>
      <c r="AE109" s="773">
        <v>0</v>
      </c>
      <c r="AF109" s="773">
        <v>0</v>
      </c>
      <c r="AG109" s="773">
        <v>0</v>
      </c>
      <c r="AH109" s="773">
        <f t="shared" si="28"/>
        <v>5684.8714311754857</v>
      </c>
    </row>
    <row r="110" spans="1:34" x14ac:dyDescent="0.3">
      <c r="A110" s="10"/>
      <c r="B110" s="965" t="s">
        <v>793</v>
      </c>
      <c r="C110" s="773">
        <v>0</v>
      </c>
      <c r="D110" s="773">
        <v>0</v>
      </c>
      <c r="E110" s="773">
        <v>6381.7682241885977</v>
      </c>
      <c r="F110" s="773">
        <v>0</v>
      </c>
      <c r="G110" s="773">
        <v>0</v>
      </c>
      <c r="H110" s="773">
        <v>0</v>
      </c>
      <c r="I110" s="773">
        <v>0</v>
      </c>
      <c r="J110" s="773">
        <v>0</v>
      </c>
      <c r="K110" s="773">
        <v>0</v>
      </c>
      <c r="L110" s="773">
        <v>0</v>
      </c>
      <c r="M110" s="773">
        <v>0</v>
      </c>
      <c r="N110" s="773">
        <v>0</v>
      </c>
      <c r="O110" s="773">
        <v>0</v>
      </c>
      <c r="P110" s="773">
        <v>0</v>
      </c>
      <c r="Q110" s="773">
        <v>0</v>
      </c>
      <c r="R110" s="773">
        <v>0</v>
      </c>
      <c r="S110" s="773">
        <v>0</v>
      </c>
      <c r="T110" s="773">
        <v>0</v>
      </c>
      <c r="U110" s="773">
        <v>0</v>
      </c>
      <c r="V110" s="773">
        <v>0</v>
      </c>
      <c r="W110" s="773">
        <v>0</v>
      </c>
      <c r="X110" s="773">
        <v>0</v>
      </c>
      <c r="Y110" s="773">
        <v>0</v>
      </c>
      <c r="Z110" s="773">
        <v>0</v>
      </c>
      <c r="AA110" s="773">
        <v>0</v>
      </c>
      <c r="AB110" s="773">
        <v>0</v>
      </c>
      <c r="AC110" s="773">
        <v>0</v>
      </c>
      <c r="AD110" s="773">
        <v>0</v>
      </c>
      <c r="AE110" s="773">
        <v>0</v>
      </c>
      <c r="AF110" s="773">
        <v>0</v>
      </c>
      <c r="AG110" s="773">
        <v>0</v>
      </c>
      <c r="AH110" s="773">
        <f t="shared" si="28"/>
        <v>6381.7682241885977</v>
      </c>
    </row>
    <row r="111" spans="1:34" x14ac:dyDescent="0.3">
      <c r="A111" s="10"/>
      <c r="B111" s="782" t="s">
        <v>796</v>
      </c>
      <c r="C111" s="773">
        <v>0</v>
      </c>
      <c r="D111" s="773">
        <v>0</v>
      </c>
      <c r="E111" s="773">
        <v>221.28326969001574</v>
      </c>
      <c r="F111" s="773">
        <v>442.56653938003149</v>
      </c>
      <c r="G111" s="773">
        <v>442.56653938003149</v>
      </c>
      <c r="H111" s="773">
        <v>0</v>
      </c>
      <c r="I111" s="773">
        <v>0</v>
      </c>
      <c r="J111" s="773">
        <v>0</v>
      </c>
      <c r="K111" s="773">
        <v>0</v>
      </c>
      <c r="L111" s="773">
        <v>0</v>
      </c>
      <c r="M111" s="773">
        <v>0</v>
      </c>
      <c r="N111" s="773">
        <v>0</v>
      </c>
      <c r="O111" s="773">
        <v>0</v>
      </c>
      <c r="P111" s="773">
        <v>0</v>
      </c>
      <c r="Q111" s="773">
        <v>0</v>
      </c>
      <c r="R111" s="773">
        <v>0</v>
      </c>
      <c r="S111" s="773">
        <v>0</v>
      </c>
      <c r="T111" s="773">
        <v>0</v>
      </c>
      <c r="U111" s="773">
        <v>0</v>
      </c>
      <c r="V111" s="773">
        <v>0</v>
      </c>
      <c r="W111" s="773">
        <v>0</v>
      </c>
      <c r="X111" s="773">
        <v>0</v>
      </c>
      <c r="Y111" s="773">
        <v>0</v>
      </c>
      <c r="Z111" s="773">
        <v>0</v>
      </c>
      <c r="AA111" s="773">
        <v>0</v>
      </c>
      <c r="AB111" s="773">
        <v>0</v>
      </c>
      <c r="AC111" s="773">
        <v>0</v>
      </c>
      <c r="AD111" s="773">
        <v>0</v>
      </c>
      <c r="AE111" s="773">
        <v>0</v>
      </c>
      <c r="AF111" s="773">
        <v>0</v>
      </c>
      <c r="AG111" s="773">
        <v>0</v>
      </c>
      <c r="AH111" s="773">
        <f t="shared" si="28"/>
        <v>1106.4163484500787</v>
      </c>
    </row>
    <row r="112" spans="1:34" x14ac:dyDescent="0.3">
      <c r="A112" s="10"/>
      <c r="B112" s="782" t="s">
        <v>797</v>
      </c>
      <c r="C112" s="867">
        <v>0</v>
      </c>
      <c r="D112" s="867">
        <v>0</v>
      </c>
      <c r="E112" s="867">
        <v>30.589707239986794</v>
      </c>
      <c r="F112" s="867">
        <v>30.589707239986794</v>
      </c>
      <c r="G112" s="867">
        <v>30.589707239986794</v>
      </c>
      <c r="H112" s="867">
        <v>30.589707239986794</v>
      </c>
      <c r="I112" s="773">
        <v>30.589707239986794</v>
      </c>
      <c r="J112" s="867">
        <v>0</v>
      </c>
      <c r="K112" s="867">
        <v>0</v>
      </c>
      <c r="L112" s="867">
        <v>0</v>
      </c>
      <c r="M112" s="867">
        <v>0</v>
      </c>
      <c r="N112" s="867">
        <v>0</v>
      </c>
      <c r="O112" s="867">
        <v>0</v>
      </c>
      <c r="P112" s="867">
        <v>0</v>
      </c>
      <c r="Q112" s="867">
        <v>0</v>
      </c>
      <c r="R112" s="867">
        <v>0</v>
      </c>
      <c r="S112" s="867">
        <v>0</v>
      </c>
      <c r="T112" s="867">
        <v>0</v>
      </c>
      <c r="U112" s="867">
        <v>0</v>
      </c>
      <c r="V112" s="867">
        <v>0</v>
      </c>
      <c r="W112" s="867">
        <v>0</v>
      </c>
      <c r="X112" s="867">
        <v>0</v>
      </c>
      <c r="Y112" s="867">
        <v>0</v>
      </c>
      <c r="Z112" s="867">
        <v>0</v>
      </c>
      <c r="AA112" s="867">
        <v>0</v>
      </c>
      <c r="AB112" s="867">
        <v>0</v>
      </c>
      <c r="AC112" s="867">
        <v>0</v>
      </c>
      <c r="AD112" s="867">
        <v>0</v>
      </c>
      <c r="AE112" s="867">
        <v>0</v>
      </c>
      <c r="AF112" s="867">
        <v>0</v>
      </c>
      <c r="AG112" s="867">
        <v>0</v>
      </c>
      <c r="AH112" s="773">
        <f t="shared" si="28"/>
        <v>152.94853619993398</v>
      </c>
    </row>
    <row r="113" spans="1:34" x14ac:dyDescent="0.3">
      <c r="A113" s="10"/>
      <c r="B113" s="784" t="s">
        <v>585</v>
      </c>
      <c r="C113" s="823">
        <v>0</v>
      </c>
      <c r="D113" s="823">
        <v>1207.4855898072913</v>
      </c>
      <c r="E113" s="823">
        <v>0</v>
      </c>
      <c r="F113" s="823">
        <v>0</v>
      </c>
      <c r="G113" s="823">
        <v>0</v>
      </c>
      <c r="H113" s="823">
        <v>0</v>
      </c>
      <c r="I113" s="773">
        <v>0</v>
      </c>
      <c r="J113" s="823">
        <v>0</v>
      </c>
      <c r="K113" s="823">
        <v>0</v>
      </c>
      <c r="L113" s="823">
        <v>0</v>
      </c>
      <c r="M113" s="823">
        <v>0</v>
      </c>
      <c r="N113" s="823">
        <v>0</v>
      </c>
      <c r="O113" s="823">
        <v>0</v>
      </c>
      <c r="P113" s="823">
        <v>0</v>
      </c>
      <c r="Q113" s="823">
        <v>0</v>
      </c>
      <c r="R113" s="823">
        <v>0</v>
      </c>
      <c r="S113" s="823">
        <v>0</v>
      </c>
      <c r="T113" s="823">
        <v>0</v>
      </c>
      <c r="U113" s="823">
        <v>0</v>
      </c>
      <c r="V113" s="823">
        <v>0</v>
      </c>
      <c r="W113" s="823">
        <v>0</v>
      </c>
      <c r="X113" s="823">
        <v>0</v>
      </c>
      <c r="Y113" s="823">
        <v>0</v>
      </c>
      <c r="Z113" s="823">
        <v>0</v>
      </c>
      <c r="AA113" s="823">
        <v>0</v>
      </c>
      <c r="AB113" s="823">
        <v>0</v>
      </c>
      <c r="AC113" s="823">
        <v>0</v>
      </c>
      <c r="AD113" s="823">
        <v>0</v>
      </c>
      <c r="AE113" s="823">
        <v>0</v>
      </c>
      <c r="AF113" s="823">
        <v>0</v>
      </c>
      <c r="AG113" s="823">
        <v>0</v>
      </c>
      <c r="AH113" s="773">
        <f t="shared" si="28"/>
        <v>1207.4855898072913</v>
      </c>
    </row>
    <row r="114" spans="1:34" x14ac:dyDescent="0.3">
      <c r="A114" s="10"/>
      <c r="B114" s="784" t="s">
        <v>586</v>
      </c>
      <c r="C114" s="823">
        <v>0</v>
      </c>
      <c r="D114" s="823">
        <v>0</v>
      </c>
      <c r="E114" s="823">
        <v>0</v>
      </c>
      <c r="F114" s="823">
        <v>1194.7918762575036</v>
      </c>
      <c r="G114" s="823">
        <v>0</v>
      </c>
      <c r="H114" s="823">
        <v>0</v>
      </c>
      <c r="I114" s="773">
        <v>0</v>
      </c>
      <c r="J114" s="823">
        <v>0</v>
      </c>
      <c r="K114" s="823">
        <v>0</v>
      </c>
      <c r="L114" s="823">
        <v>0</v>
      </c>
      <c r="M114" s="823">
        <v>0</v>
      </c>
      <c r="N114" s="823">
        <v>0</v>
      </c>
      <c r="O114" s="823">
        <v>0</v>
      </c>
      <c r="P114" s="823">
        <v>0</v>
      </c>
      <c r="Q114" s="823">
        <v>0</v>
      </c>
      <c r="R114" s="823">
        <v>0</v>
      </c>
      <c r="S114" s="823">
        <v>0</v>
      </c>
      <c r="T114" s="823">
        <v>0</v>
      </c>
      <c r="U114" s="823">
        <v>0</v>
      </c>
      <c r="V114" s="823">
        <v>0</v>
      </c>
      <c r="W114" s="823">
        <v>0</v>
      </c>
      <c r="X114" s="823">
        <v>0</v>
      </c>
      <c r="Y114" s="823">
        <v>0</v>
      </c>
      <c r="Z114" s="823">
        <v>0</v>
      </c>
      <c r="AA114" s="823">
        <v>0</v>
      </c>
      <c r="AB114" s="823">
        <v>0</v>
      </c>
      <c r="AC114" s="823">
        <v>0</v>
      </c>
      <c r="AD114" s="823">
        <v>0</v>
      </c>
      <c r="AE114" s="823">
        <v>0</v>
      </c>
      <c r="AF114" s="823">
        <v>0</v>
      </c>
      <c r="AG114" s="823">
        <v>0</v>
      </c>
      <c r="AH114" s="773">
        <f t="shared" si="28"/>
        <v>1194.7918762575036</v>
      </c>
    </row>
    <row r="115" spans="1:34" x14ac:dyDescent="0.3">
      <c r="A115" s="10"/>
      <c r="B115" s="784" t="s">
        <v>597</v>
      </c>
      <c r="C115" s="823">
        <v>1082.1028504293658</v>
      </c>
      <c r="D115" s="823">
        <v>0</v>
      </c>
      <c r="E115" s="823">
        <v>0</v>
      </c>
      <c r="F115" s="823">
        <v>0</v>
      </c>
      <c r="G115" s="823">
        <v>0</v>
      </c>
      <c r="H115" s="823">
        <v>0</v>
      </c>
      <c r="I115" s="773">
        <v>0</v>
      </c>
      <c r="J115" s="823">
        <v>0</v>
      </c>
      <c r="K115" s="823">
        <v>0</v>
      </c>
      <c r="L115" s="823">
        <v>0</v>
      </c>
      <c r="M115" s="823">
        <v>0</v>
      </c>
      <c r="N115" s="823">
        <v>0</v>
      </c>
      <c r="O115" s="823">
        <v>0</v>
      </c>
      <c r="P115" s="823">
        <v>0</v>
      </c>
      <c r="Q115" s="823">
        <v>0</v>
      </c>
      <c r="R115" s="823">
        <v>0</v>
      </c>
      <c r="S115" s="823">
        <v>0</v>
      </c>
      <c r="T115" s="823">
        <v>0</v>
      </c>
      <c r="U115" s="823">
        <v>0</v>
      </c>
      <c r="V115" s="823">
        <v>0</v>
      </c>
      <c r="W115" s="823">
        <v>0</v>
      </c>
      <c r="X115" s="823">
        <v>0</v>
      </c>
      <c r="Y115" s="823">
        <v>0</v>
      </c>
      <c r="Z115" s="823">
        <v>0</v>
      </c>
      <c r="AA115" s="823">
        <v>0</v>
      </c>
      <c r="AB115" s="823">
        <v>0</v>
      </c>
      <c r="AC115" s="823">
        <v>0</v>
      </c>
      <c r="AD115" s="823">
        <v>0</v>
      </c>
      <c r="AE115" s="823">
        <v>0</v>
      </c>
      <c r="AF115" s="823">
        <v>0</v>
      </c>
      <c r="AG115" s="823">
        <v>0</v>
      </c>
      <c r="AH115" s="773">
        <f t="shared" si="28"/>
        <v>1082.1028504293658</v>
      </c>
    </row>
    <row r="116" spans="1:34" x14ac:dyDescent="0.3">
      <c r="A116" s="10"/>
      <c r="B116" s="782" t="s">
        <v>815</v>
      </c>
      <c r="C116" s="783">
        <v>0</v>
      </c>
      <c r="D116" s="783">
        <v>0</v>
      </c>
      <c r="E116" s="783">
        <v>1516.9700278822643</v>
      </c>
      <c r="F116" s="783">
        <v>0</v>
      </c>
      <c r="G116" s="783">
        <v>0</v>
      </c>
      <c r="H116" s="783">
        <v>0</v>
      </c>
      <c r="I116" s="773">
        <v>0</v>
      </c>
      <c r="J116" s="783">
        <v>0</v>
      </c>
      <c r="K116" s="783">
        <v>0</v>
      </c>
      <c r="L116" s="783">
        <v>0</v>
      </c>
      <c r="M116" s="783">
        <v>0</v>
      </c>
      <c r="N116" s="783">
        <v>0</v>
      </c>
      <c r="O116" s="783">
        <v>0</v>
      </c>
      <c r="P116" s="783">
        <v>0</v>
      </c>
      <c r="Q116" s="783">
        <v>0</v>
      </c>
      <c r="R116" s="783">
        <v>0</v>
      </c>
      <c r="S116" s="783">
        <v>0</v>
      </c>
      <c r="T116" s="783">
        <v>0</v>
      </c>
      <c r="U116" s="783">
        <v>0</v>
      </c>
      <c r="V116" s="783">
        <v>0</v>
      </c>
      <c r="W116" s="783">
        <v>0</v>
      </c>
      <c r="X116" s="783">
        <v>0</v>
      </c>
      <c r="Y116" s="783">
        <v>0</v>
      </c>
      <c r="Z116" s="783">
        <v>0</v>
      </c>
      <c r="AA116" s="783">
        <v>0</v>
      </c>
      <c r="AB116" s="783">
        <v>0</v>
      </c>
      <c r="AC116" s="783">
        <v>0</v>
      </c>
      <c r="AD116" s="783">
        <v>0</v>
      </c>
      <c r="AE116" s="783">
        <v>0</v>
      </c>
      <c r="AF116" s="783">
        <v>0</v>
      </c>
      <c r="AG116" s="783">
        <v>0</v>
      </c>
      <c r="AH116" s="773">
        <f t="shared" si="28"/>
        <v>1516.9700278822643</v>
      </c>
    </row>
    <row r="117" spans="1:34" x14ac:dyDescent="0.3">
      <c r="A117" s="10"/>
      <c r="B117" s="782" t="s">
        <v>78</v>
      </c>
      <c r="C117" s="783">
        <v>7757.6480259999998</v>
      </c>
      <c r="D117" s="783">
        <v>9424.9517798400011</v>
      </c>
      <c r="E117" s="783">
        <v>10939.764891999999</v>
      </c>
      <c r="F117" s="783">
        <v>10562.539717</v>
      </c>
      <c r="G117" s="783">
        <v>376.29992600000003</v>
      </c>
      <c r="H117" s="783">
        <v>0</v>
      </c>
      <c r="I117" s="773">
        <v>0</v>
      </c>
      <c r="J117" s="783">
        <v>4571</v>
      </c>
      <c r="K117" s="783">
        <v>118.67858368</v>
      </c>
      <c r="L117" s="783">
        <v>13758.569308</v>
      </c>
      <c r="M117" s="783">
        <v>0</v>
      </c>
      <c r="N117" s="783">
        <v>0</v>
      </c>
      <c r="O117" s="783">
        <v>0</v>
      </c>
      <c r="P117" s="783">
        <v>0</v>
      </c>
      <c r="Q117" s="783">
        <v>0</v>
      </c>
      <c r="R117" s="783">
        <v>0</v>
      </c>
      <c r="S117" s="783">
        <v>0</v>
      </c>
      <c r="T117" s="783">
        <v>0</v>
      </c>
      <c r="U117" s="783">
        <v>0</v>
      </c>
      <c r="V117" s="783">
        <v>0</v>
      </c>
      <c r="W117" s="783">
        <v>0</v>
      </c>
      <c r="X117" s="783">
        <v>0</v>
      </c>
      <c r="Y117" s="783">
        <v>0</v>
      </c>
      <c r="Z117" s="783">
        <v>0</v>
      </c>
      <c r="AA117" s="783">
        <v>0</v>
      </c>
      <c r="AB117" s="783">
        <v>0</v>
      </c>
      <c r="AC117" s="783">
        <v>0</v>
      </c>
      <c r="AD117" s="783">
        <v>0</v>
      </c>
      <c r="AE117" s="783">
        <v>0</v>
      </c>
      <c r="AF117" s="783">
        <v>0</v>
      </c>
      <c r="AG117" s="783">
        <v>0</v>
      </c>
      <c r="AH117" s="773">
        <f t="shared" si="28"/>
        <v>57509.452232519994</v>
      </c>
    </row>
    <row r="118" spans="1:34" x14ac:dyDescent="0.3">
      <c r="A118" s="10"/>
      <c r="B118" s="782" t="s">
        <v>521</v>
      </c>
      <c r="C118" s="783">
        <v>345.91377499999999</v>
      </c>
      <c r="D118" s="783">
        <v>351.53877499999999</v>
      </c>
      <c r="E118" s="783">
        <v>351.53877499999999</v>
      </c>
      <c r="F118" s="783">
        <v>351.53877499999999</v>
      </c>
      <c r="G118" s="783">
        <v>351.53877499999999</v>
      </c>
      <c r="H118" s="783">
        <v>351.53877499999999</v>
      </c>
      <c r="I118" s="773">
        <v>351.53877499999999</v>
      </c>
      <c r="J118" s="783">
        <v>351.53877499999999</v>
      </c>
      <c r="K118" s="783">
        <v>351.53877499999999</v>
      </c>
      <c r="L118" s="783">
        <v>351.53877499999999</v>
      </c>
      <c r="M118" s="783">
        <v>351.53877499999999</v>
      </c>
      <c r="N118" s="783">
        <v>351.53877499999999</v>
      </c>
      <c r="O118" s="783">
        <v>351.53877499999999</v>
      </c>
      <c r="P118" s="783">
        <v>351.53877499999999</v>
      </c>
      <c r="Q118" s="783">
        <v>351.53877499999999</v>
      </c>
      <c r="R118" s="783">
        <v>351.53877499999999</v>
      </c>
      <c r="S118" s="783">
        <v>351.53877499999999</v>
      </c>
      <c r="T118" s="783">
        <v>303.25772499999999</v>
      </c>
      <c r="U118" s="783">
        <v>119.51365000000004</v>
      </c>
      <c r="V118" s="783">
        <v>11.463000000000001</v>
      </c>
      <c r="W118" s="783">
        <v>5.625</v>
      </c>
      <c r="X118" s="783">
        <v>0</v>
      </c>
      <c r="Y118" s="783">
        <v>0</v>
      </c>
      <c r="Z118" s="783">
        <v>0</v>
      </c>
      <c r="AA118" s="783">
        <v>0</v>
      </c>
      <c r="AB118" s="783">
        <v>0</v>
      </c>
      <c r="AC118" s="783">
        <v>0</v>
      </c>
      <c r="AD118" s="783">
        <v>0</v>
      </c>
      <c r="AE118" s="783">
        <v>0</v>
      </c>
      <c r="AF118" s="783">
        <v>0</v>
      </c>
      <c r="AG118" s="783">
        <v>0</v>
      </c>
      <c r="AH118" s="773">
        <f t="shared" si="28"/>
        <v>6410.3935499999998</v>
      </c>
    </row>
    <row r="119" spans="1:34" x14ac:dyDescent="0.3">
      <c r="A119" s="10"/>
      <c r="B119" s="784" t="s">
        <v>217</v>
      </c>
      <c r="C119" s="783">
        <f t="shared" ref="C119:AG119" si="29">+C120+C121</f>
        <v>23216.793097811988</v>
      </c>
      <c r="D119" s="783">
        <f t="shared" si="29"/>
        <v>448.02578199999999</v>
      </c>
      <c r="E119" s="783">
        <f t="shared" si="29"/>
        <v>45.310327000000001</v>
      </c>
      <c r="F119" s="783">
        <f t="shared" si="29"/>
        <v>0</v>
      </c>
      <c r="G119" s="783">
        <f t="shared" si="29"/>
        <v>0</v>
      </c>
      <c r="H119" s="783">
        <f t="shared" si="29"/>
        <v>0</v>
      </c>
      <c r="I119" s="783">
        <f t="shared" si="29"/>
        <v>0</v>
      </c>
      <c r="J119" s="783">
        <f t="shared" si="29"/>
        <v>0</v>
      </c>
      <c r="K119" s="783">
        <f t="shared" si="29"/>
        <v>0</v>
      </c>
      <c r="L119" s="783">
        <f t="shared" si="29"/>
        <v>0</v>
      </c>
      <c r="M119" s="783">
        <f t="shared" si="29"/>
        <v>0</v>
      </c>
      <c r="N119" s="783">
        <f t="shared" si="29"/>
        <v>0</v>
      </c>
      <c r="O119" s="783">
        <f t="shared" si="29"/>
        <v>0</v>
      </c>
      <c r="P119" s="783">
        <f t="shared" si="29"/>
        <v>0</v>
      </c>
      <c r="Q119" s="783">
        <f t="shared" si="29"/>
        <v>0</v>
      </c>
      <c r="R119" s="783">
        <f t="shared" si="29"/>
        <v>0</v>
      </c>
      <c r="S119" s="783">
        <f t="shared" si="29"/>
        <v>0</v>
      </c>
      <c r="T119" s="783">
        <f t="shared" si="29"/>
        <v>0</v>
      </c>
      <c r="U119" s="783">
        <f t="shared" si="29"/>
        <v>0</v>
      </c>
      <c r="V119" s="783">
        <f t="shared" si="29"/>
        <v>0</v>
      </c>
      <c r="W119" s="783">
        <f t="shared" si="29"/>
        <v>0</v>
      </c>
      <c r="X119" s="783">
        <f t="shared" si="29"/>
        <v>0</v>
      </c>
      <c r="Y119" s="783">
        <f t="shared" si="29"/>
        <v>0</v>
      </c>
      <c r="Z119" s="783">
        <f t="shared" si="29"/>
        <v>0</v>
      </c>
      <c r="AA119" s="783">
        <f t="shared" si="29"/>
        <v>0</v>
      </c>
      <c r="AB119" s="783">
        <f t="shared" si="29"/>
        <v>0</v>
      </c>
      <c r="AC119" s="783">
        <f t="shared" si="29"/>
        <v>0</v>
      </c>
      <c r="AD119" s="783">
        <f t="shared" si="29"/>
        <v>0</v>
      </c>
      <c r="AE119" s="783">
        <f t="shared" si="29"/>
        <v>0</v>
      </c>
      <c r="AF119" s="783">
        <f t="shared" si="29"/>
        <v>0</v>
      </c>
      <c r="AG119" s="783">
        <f t="shared" si="29"/>
        <v>0</v>
      </c>
      <c r="AH119" s="773">
        <f t="shared" si="28"/>
        <v>23710.129206811987</v>
      </c>
    </row>
    <row r="120" spans="1:34" x14ac:dyDescent="0.3">
      <c r="A120" s="10"/>
      <c r="B120" s="807" t="s">
        <v>71</v>
      </c>
      <c r="C120" s="1223">
        <v>21902.513896771987</v>
      </c>
      <c r="D120" s="769">
        <v>0</v>
      </c>
      <c r="E120" s="769">
        <v>0</v>
      </c>
      <c r="F120" s="769">
        <v>0</v>
      </c>
      <c r="G120" s="769">
        <v>0</v>
      </c>
      <c r="H120" s="769">
        <v>0</v>
      </c>
      <c r="I120" s="761">
        <v>0</v>
      </c>
      <c r="J120" s="769">
        <v>0</v>
      </c>
      <c r="K120" s="769">
        <v>0</v>
      </c>
      <c r="L120" s="769">
        <v>0</v>
      </c>
      <c r="M120" s="769">
        <v>0</v>
      </c>
      <c r="N120" s="769">
        <v>0</v>
      </c>
      <c r="O120" s="769">
        <v>0</v>
      </c>
      <c r="P120" s="769">
        <v>0</v>
      </c>
      <c r="Q120" s="769">
        <v>0</v>
      </c>
      <c r="R120" s="769">
        <v>0</v>
      </c>
      <c r="S120" s="769">
        <v>0</v>
      </c>
      <c r="T120" s="769">
        <v>0</v>
      </c>
      <c r="U120" s="769">
        <v>0</v>
      </c>
      <c r="V120" s="769">
        <v>0</v>
      </c>
      <c r="W120" s="769">
        <v>0</v>
      </c>
      <c r="X120" s="769">
        <v>0</v>
      </c>
      <c r="Y120" s="769">
        <v>0</v>
      </c>
      <c r="Z120" s="769">
        <v>0</v>
      </c>
      <c r="AA120" s="769">
        <v>0</v>
      </c>
      <c r="AB120" s="769">
        <v>0</v>
      </c>
      <c r="AC120" s="769">
        <v>0</v>
      </c>
      <c r="AD120" s="769">
        <v>0</v>
      </c>
      <c r="AE120" s="769">
        <v>0</v>
      </c>
      <c r="AF120" s="769">
        <v>0</v>
      </c>
      <c r="AG120" s="769">
        <v>0</v>
      </c>
      <c r="AH120" s="761">
        <f t="shared" si="28"/>
        <v>21902.513896771987</v>
      </c>
    </row>
    <row r="121" spans="1:34" x14ac:dyDescent="0.3">
      <c r="A121" s="10"/>
      <c r="B121" s="763" t="s">
        <v>69</v>
      </c>
      <c r="C121" s="808">
        <v>1314.2792010400001</v>
      </c>
      <c r="D121" s="808">
        <v>448.02578199999999</v>
      </c>
      <c r="E121" s="808">
        <v>45.310327000000001</v>
      </c>
      <c r="F121" s="808">
        <v>0</v>
      </c>
      <c r="G121" s="808">
        <v>0</v>
      </c>
      <c r="H121" s="808">
        <v>0</v>
      </c>
      <c r="I121" s="762">
        <v>0</v>
      </c>
      <c r="J121" s="808">
        <v>0</v>
      </c>
      <c r="K121" s="808">
        <v>0</v>
      </c>
      <c r="L121" s="808">
        <v>0</v>
      </c>
      <c r="M121" s="808">
        <v>0</v>
      </c>
      <c r="N121" s="808">
        <v>0</v>
      </c>
      <c r="O121" s="808">
        <v>0</v>
      </c>
      <c r="P121" s="808">
        <v>0</v>
      </c>
      <c r="Q121" s="808">
        <v>0</v>
      </c>
      <c r="R121" s="808">
        <v>0</v>
      </c>
      <c r="S121" s="808">
        <v>0</v>
      </c>
      <c r="T121" s="808">
        <v>0</v>
      </c>
      <c r="U121" s="808">
        <v>0</v>
      </c>
      <c r="V121" s="808">
        <v>0</v>
      </c>
      <c r="W121" s="808">
        <v>0</v>
      </c>
      <c r="X121" s="808">
        <v>0</v>
      </c>
      <c r="Y121" s="808">
        <v>0</v>
      </c>
      <c r="Z121" s="808">
        <v>0</v>
      </c>
      <c r="AA121" s="808">
        <v>0</v>
      </c>
      <c r="AB121" s="808">
        <v>0</v>
      </c>
      <c r="AC121" s="808">
        <v>0</v>
      </c>
      <c r="AD121" s="808">
        <v>0</v>
      </c>
      <c r="AE121" s="808">
        <v>0</v>
      </c>
      <c r="AF121" s="808">
        <v>0</v>
      </c>
      <c r="AG121" s="808">
        <v>0</v>
      </c>
      <c r="AH121" s="762">
        <f t="shared" si="28"/>
        <v>1807.6153100399999</v>
      </c>
    </row>
    <row r="122" spans="1:34" x14ac:dyDescent="0.3">
      <c r="A122" s="10"/>
      <c r="B122" s="784" t="s">
        <v>335</v>
      </c>
      <c r="C122" s="783">
        <f t="shared" ref="C122:AG122" si="30">+C123+C130</f>
        <v>196.47270203551867</v>
      </c>
      <c r="D122" s="783">
        <f t="shared" si="30"/>
        <v>60.349207735190326</v>
      </c>
      <c r="E122" s="783">
        <f t="shared" si="30"/>
        <v>17.57104527192352</v>
      </c>
      <c r="F122" s="783">
        <f t="shared" si="30"/>
        <v>8.5787219951338187E-2</v>
      </c>
      <c r="G122" s="783">
        <f t="shared" si="30"/>
        <v>8.5787219951338187E-2</v>
      </c>
      <c r="H122" s="783">
        <f t="shared" si="30"/>
        <v>0.62178722995133817</v>
      </c>
      <c r="I122" s="783">
        <f t="shared" si="30"/>
        <v>8.5787219951338187E-2</v>
      </c>
      <c r="J122" s="783">
        <f t="shared" si="30"/>
        <v>8.5787219951338187E-2</v>
      </c>
      <c r="K122" s="783">
        <f t="shared" si="30"/>
        <v>8.5787219951338187E-2</v>
      </c>
      <c r="L122" s="783">
        <f t="shared" si="30"/>
        <v>8.5787219951338187E-2</v>
      </c>
      <c r="M122" s="783">
        <f t="shared" si="30"/>
        <v>8.5787219951338187E-2</v>
      </c>
      <c r="N122" s="783">
        <f t="shared" si="30"/>
        <v>8.5787219951338187E-2</v>
      </c>
      <c r="O122" s="783">
        <f t="shared" si="30"/>
        <v>8.5787219951338187E-2</v>
      </c>
      <c r="P122" s="783">
        <f t="shared" si="30"/>
        <v>8.5787219951338187E-2</v>
      </c>
      <c r="Q122" s="783">
        <f t="shared" si="30"/>
        <v>8.5787219951338187E-2</v>
      </c>
      <c r="R122" s="783">
        <f t="shared" si="30"/>
        <v>8.5787219951338187E-2</v>
      </c>
      <c r="S122" s="783">
        <f t="shared" si="30"/>
        <v>8.5787219951338187E-2</v>
      </c>
      <c r="T122" s="783">
        <f t="shared" si="30"/>
        <v>8.5787219951338187E-2</v>
      </c>
      <c r="U122" s="783">
        <f t="shared" si="30"/>
        <v>8.5787219951338187E-2</v>
      </c>
      <c r="V122" s="783">
        <f t="shared" si="30"/>
        <v>8.5787219951338187E-2</v>
      </c>
      <c r="W122" s="783">
        <f t="shared" si="30"/>
        <v>8.5787219951338187E-2</v>
      </c>
      <c r="X122" s="783">
        <f t="shared" si="30"/>
        <v>8.5787219951338187E-2</v>
      </c>
      <c r="Y122" s="783">
        <f t="shared" si="30"/>
        <v>8.5787219951338187E-2</v>
      </c>
      <c r="Z122" s="783">
        <f t="shared" si="30"/>
        <v>8.5787219951338187E-2</v>
      </c>
      <c r="AA122" s="783">
        <f t="shared" si="30"/>
        <v>8.5787219951338187E-2</v>
      </c>
      <c r="AB122" s="783">
        <f t="shared" si="30"/>
        <v>8.5787219951338187E-2</v>
      </c>
      <c r="AC122" s="783">
        <f t="shared" si="30"/>
        <v>8.5787219951338187E-2</v>
      </c>
      <c r="AD122" s="783">
        <f t="shared" si="30"/>
        <v>8.5787219951338187E-2</v>
      </c>
      <c r="AE122" s="783">
        <f t="shared" si="30"/>
        <v>8.5787219951338187E-2</v>
      </c>
      <c r="AF122" s="783">
        <f t="shared" si="30"/>
        <v>8.5787219951338187E-2</v>
      </c>
      <c r="AG122" s="783">
        <f t="shared" si="30"/>
        <v>4.9756587577615576</v>
      </c>
      <c r="AH122" s="773">
        <f t="shared" si="28"/>
        <v>282.22086874907995</v>
      </c>
    </row>
    <row r="123" spans="1:34" x14ac:dyDescent="0.3">
      <c r="A123" s="10"/>
      <c r="B123" s="774" t="s">
        <v>71</v>
      </c>
      <c r="C123" s="825">
        <f t="shared" ref="C123:AG123" si="31">+C124+C127</f>
        <v>183.34431411551867</v>
      </c>
      <c r="D123" s="825">
        <f t="shared" si="31"/>
        <v>60.349207735190326</v>
      </c>
      <c r="E123" s="825">
        <f t="shared" si="31"/>
        <v>17.57104527192352</v>
      </c>
      <c r="F123" s="825">
        <f t="shared" si="31"/>
        <v>8.5787219951338187E-2</v>
      </c>
      <c r="G123" s="825">
        <f t="shared" si="31"/>
        <v>8.5787219951338187E-2</v>
      </c>
      <c r="H123" s="825">
        <f t="shared" si="31"/>
        <v>8.5787219951338187E-2</v>
      </c>
      <c r="I123" s="825">
        <f t="shared" si="31"/>
        <v>8.5787219951338187E-2</v>
      </c>
      <c r="J123" s="825">
        <f t="shared" si="31"/>
        <v>8.5787219951338187E-2</v>
      </c>
      <c r="K123" s="825">
        <f t="shared" si="31"/>
        <v>8.5787219951338187E-2</v>
      </c>
      <c r="L123" s="825">
        <f t="shared" si="31"/>
        <v>8.5787219951338187E-2</v>
      </c>
      <c r="M123" s="825">
        <f t="shared" si="31"/>
        <v>8.5787219951338187E-2</v>
      </c>
      <c r="N123" s="825">
        <f t="shared" si="31"/>
        <v>8.5787219951338187E-2</v>
      </c>
      <c r="O123" s="825">
        <f t="shared" si="31"/>
        <v>8.5787219951338187E-2</v>
      </c>
      <c r="P123" s="825">
        <f t="shared" si="31"/>
        <v>8.5787219951338187E-2</v>
      </c>
      <c r="Q123" s="825">
        <f t="shared" si="31"/>
        <v>8.5787219951338187E-2</v>
      </c>
      <c r="R123" s="825">
        <f t="shared" si="31"/>
        <v>8.5787219951338187E-2</v>
      </c>
      <c r="S123" s="825">
        <f t="shared" si="31"/>
        <v>8.5787219951338187E-2</v>
      </c>
      <c r="T123" s="825">
        <f t="shared" si="31"/>
        <v>8.5787219951338187E-2</v>
      </c>
      <c r="U123" s="825">
        <f t="shared" si="31"/>
        <v>8.5787219951338187E-2</v>
      </c>
      <c r="V123" s="825">
        <f t="shared" si="31"/>
        <v>8.5787219951338187E-2</v>
      </c>
      <c r="W123" s="825">
        <f t="shared" si="31"/>
        <v>8.5787219951338187E-2</v>
      </c>
      <c r="X123" s="825">
        <f t="shared" si="31"/>
        <v>8.5787219951338187E-2</v>
      </c>
      <c r="Y123" s="825">
        <f t="shared" si="31"/>
        <v>8.5787219951338187E-2</v>
      </c>
      <c r="Z123" s="825">
        <f t="shared" si="31"/>
        <v>8.5787219951338187E-2</v>
      </c>
      <c r="AA123" s="825">
        <f t="shared" si="31"/>
        <v>8.5787219951338187E-2</v>
      </c>
      <c r="AB123" s="825">
        <f t="shared" si="31"/>
        <v>8.5787219951338187E-2</v>
      </c>
      <c r="AC123" s="825">
        <f t="shared" si="31"/>
        <v>8.5787219951338187E-2</v>
      </c>
      <c r="AD123" s="825">
        <f t="shared" si="31"/>
        <v>8.5787219951338187E-2</v>
      </c>
      <c r="AE123" s="825">
        <f t="shared" si="31"/>
        <v>8.5787219951338187E-2</v>
      </c>
      <c r="AF123" s="825">
        <f t="shared" si="31"/>
        <v>8.5787219951338187E-2</v>
      </c>
      <c r="AG123" s="825">
        <f t="shared" si="31"/>
        <v>4.9756587577615576</v>
      </c>
      <c r="AH123" s="759">
        <f t="shared" si="28"/>
        <v>268.55648081907992</v>
      </c>
    </row>
    <row r="124" spans="1:34" x14ac:dyDescent="0.3">
      <c r="A124" s="10"/>
      <c r="B124" s="777" t="s">
        <v>81</v>
      </c>
      <c r="C124" s="787">
        <f t="shared" ref="C124:AG124" si="32">+C125+C126</f>
        <v>61.449361302847137</v>
      </c>
      <c r="D124" s="787">
        <f t="shared" si="32"/>
        <v>60.263420515238991</v>
      </c>
      <c r="E124" s="787">
        <f t="shared" si="32"/>
        <v>17.485258051972181</v>
      </c>
      <c r="F124" s="787">
        <f t="shared" si="32"/>
        <v>0</v>
      </c>
      <c r="G124" s="787">
        <f t="shared" si="32"/>
        <v>0</v>
      </c>
      <c r="H124" s="787">
        <f t="shared" si="32"/>
        <v>0</v>
      </c>
      <c r="I124" s="787">
        <f t="shared" si="32"/>
        <v>0</v>
      </c>
      <c r="J124" s="787">
        <f t="shared" si="32"/>
        <v>0</v>
      </c>
      <c r="K124" s="787">
        <f t="shared" si="32"/>
        <v>0</v>
      </c>
      <c r="L124" s="787">
        <f t="shared" si="32"/>
        <v>0</v>
      </c>
      <c r="M124" s="787">
        <f t="shared" si="32"/>
        <v>0</v>
      </c>
      <c r="N124" s="787">
        <f t="shared" si="32"/>
        <v>0</v>
      </c>
      <c r="O124" s="787">
        <f t="shared" si="32"/>
        <v>0</v>
      </c>
      <c r="P124" s="787">
        <f t="shared" si="32"/>
        <v>0</v>
      </c>
      <c r="Q124" s="787">
        <f t="shared" si="32"/>
        <v>0</v>
      </c>
      <c r="R124" s="787">
        <f t="shared" si="32"/>
        <v>0</v>
      </c>
      <c r="S124" s="787">
        <f t="shared" si="32"/>
        <v>0</v>
      </c>
      <c r="T124" s="787">
        <f t="shared" si="32"/>
        <v>0</v>
      </c>
      <c r="U124" s="787">
        <f t="shared" si="32"/>
        <v>0</v>
      </c>
      <c r="V124" s="787">
        <f t="shared" si="32"/>
        <v>0</v>
      </c>
      <c r="W124" s="787">
        <f t="shared" si="32"/>
        <v>0</v>
      </c>
      <c r="X124" s="787">
        <f t="shared" si="32"/>
        <v>0</v>
      </c>
      <c r="Y124" s="787">
        <f t="shared" si="32"/>
        <v>0</v>
      </c>
      <c r="Z124" s="787">
        <f t="shared" si="32"/>
        <v>0</v>
      </c>
      <c r="AA124" s="787">
        <f t="shared" si="32"/>
        <v>0</v>
      </c>
      <c r="AB124" s="787">
        <f t="shared" si="32"/>
        <v>0</v>
      </c>
      <c r="AC124" s="787">
        <f t="shared" si="32"/>
        <v>0</v>
      </c>
      <c r="AD124" s="787">
        <f t="shared" si="32"/>
        <v>0</v>
      </c>
      <c r="AE124" s="787">
        <f t="shared" si="32"/>
        <v>0</v>
      </c>
      <c r="AF124" s="787">
        <f t="shared" si="32"/>
        <v>0</v>
      </c>
      <c r="AG124" s="787">
        <f t="shared" si="32"/>
        <v>0</v>
      </c>
      <c r="AH124" s="778">
        <f t="shared" si="28"/>
        <v>139.19803987005832</v>
      </c>
    </row>
    <row r="125" spans="1:34" x14ac:dyDescent="0.3">
      <c r="A125" s="10"/>
      <c r="B125" s="777" t="s">
        <v>667</v>
      </c>
      <c r="C125" s="787">
        <v>61.293382817394878</v>
      </c>
      <c r="D125" s="787">
        <v>60.263420515238991</v>
      </c>
      <c r="E125" s="787">
        <v>17.485258051972181</v>
      </c>
      <c r="F125" s="787">
        <v>0</v>
      </c>
      <c r="G125" s="787">
        <v>0</v>
      </c>
      <c r="H125" s="787">
        <v>0</v>
      </c>
      <c r="I125" s="778">
        <v>0</v>
      </c>
      <c r="J125" s="787">
        <v>0</v>
      </c>
      <c r="K125" s="787">
        <v>0</v>
      </c>
      <c r="L125" s="787">
        <v>0</v>
      </c>
      <c r="M125" s="787">
        <v>0</v>
      </c>
      <c r="N125" s="787">
        <v>0</v>
      </c>
      <c r="O125" s="787">
        <v>0</v>
      </c>
      <c r="P125" s="787">
        <v>0</v>
      </c>
      <c r="Q125" s="787">
        <v>0</v>
      </c>
      <c r="R125" s="787">
        <v>0</v>
      </c>
      <c r="S125" s="787">
        <v>0</v>
      </c>
      <c r="T125" s="787">
        <v>0</v>
      </c>
      <c r="U125" s="787">
        <v>0</v>
      </c>
      <c r="V125" s="787">
        <v>0</v>
      </c>
      <c r="W125" s="787">
        <v>0</v>
      </c>
      <c r="X125" s="787">
        <v>0</v>
      </c>
      <c r="Y125" s="787">
        <v>0</v>
      </c>
      <c r="Z125" s="787">
        <v>0</v>
      </c>
      <c r="AA125" s="787">
        <v>0</v>
      </c>
      <c r="AB125" s="787">
        <v>0</v>
      </c>
      <c r="AC125" s="787">
        <v>0</v>
      </c>
      <c r="AD125" s="787">
        <v>0</v>
      </c>
      <c r="AE125" s="787">
        <v>0</v>
      </c>
      <c r="AF125" s="787">
        <v>0</v>
      </c>
      <c r="AG125" s="787">
        <v>0</v>
      </c>
      <c r="AH125" s="778">
        <f t="shared" si="28"/>
        <v>139.04206138460606</v>
      </c>
    </row>
    <row r="126" spans="1:34" x14ac:dyDescent="0.3">
      <c r="A126" s="10"/>
      <c r="B126" s="777" t="s">
        <v>84</v>
      </c>
      <c r="C126" s="787">
        <v>0.15597848545225756</v>
      </c>
      <c r="D126" s="787">
        <v>0</v>
      </c>
      <c r="E126" s="787">
        <v>0</v>
      </c>
      <c r="F126" s="787">
        <v>0</v>
      </c>
      <c r="G126" s="787">
        <v>0</v>
      </c>
      <c r="H126" s="787">
        <v>0</v>
      </c>
      <c r="I126" s="778">
        <v>0</v>
      </c>
      <c r="J126" s="787">
        <v>0</v>
      </c>
      <c r="K126" s="787">
        <v>0</v>
      </c>
      <c r="L126" s="787">
        <v>0</v>
      </c>
      <c r="M126" s="787">
        <v>0</v>
      </c>
      <c r="N126" s="787">
        <v>0</v>
      </c>
      <c r="O126" s="787">
        <v>0</v>
      </c>
      <c r="P126" s="787">
        <v>0</v>
      </c>
      <c r="Q126" s="787">
        <v>0</v>
      </c>
      <c r="R126" s="787">
        <v>0</v>
      </c>
      <c r="S126" s="787">
        <v>0</v>
      </c>
      <c r="T126" s="787">
        <v>0</v>
      </c>
      <c r="U126" s="787">
        <v>0</v>
      </c>
      <c r="V126" s="787">
        <v>0</v>
      </c>
      <c r="W126" s="787">
        <v>0</v>
      </c>
      <c r="X126" s="787">
        <v>0</v>
      </c>
      <c r="Y126" s="787">
        <v>0</v>
      </c>
      <c r="Z126" s="787">
        <v>0</v>
      </c>
      <c r="AA126" s="787">
        <v>0</v>
      </c>
      <c r="AB126" s="787">
        <v>0</v>
      </c>
      <c r="AC126" s="787">
        <v>0</v>
      </c>
      <c r="AD126" s="787">
        <v>0</v>
      </c>
      <c r="AE126" s="787">
        <v>0</v>
      </c>
      <c r="AF126" s="787">
        <v>0</v>
      </c>
      <c r="AG126" s="787">
        <v>0</v>
      </c>
      <c r="AH126" s="778">
        <f t="shared" si="28"/>
        <v>0.15597848545225756</v>
      </c>
    </row>
    <row r="127" spans="1:34" x14ac:dyDescent="0.3">
      <c r="A127" s="10"/>
      <c r="B127" s="790" t="s">
        <v>85</v>
      </c>
      <c r="C127" s="787">
        <f t="shared" ref="C127:AG127" si="33">+C128+C129</f>
        <v>121.89495281267155</v>
      </c>
      <c r="D127" s="787">
        <f t="shared" si="33"/>
        <v>8.5787219951338187E-2</v>
      </c>
      <c r="E127" s="787">
        <f t="shared" si="33"/>
        <v>8.5787219951338187E-2</v>
      </c>
      <c r="F127" s="787">
        <f t="shared" si="33"/>
        <v>8.5787219951338187E-2</v>
      </c>
      <c r="G127" s="787">
        <f t="shared" si="33"/>
        <v>8.5787219951338187E-2</v>
      </c>
      <c r="H127" s="787">
        <f t="shared" si="33"/>
        <v>8.5787219951338187E-2</v>
      </c>
      <c r="I127" s="787">
        <f t="shared" si="33"/>
        <v>8.5787219951338187E-2</v>
      </c>
      <c r="J127" s="787">
        <f t="shared" si="33"/>
        <v>8.5787219951338187E-2</v>
      </c>
      <c r="K127" s="787">
        <f t="shared" si="33"/>
        <v>8.5787219951338187E-2</v>
      </c>
      <c r="L127" s="787">
        <f t="shared" si="33"/>
        <v>8.5787219951338187E-2</v>
      </c>
      <c r="M127" s="787">
        <f t="shared" si="33"/>
        <v>8.5787219951338187E-2</v>
      </c>
      <c r="N127" s="787">
        <f t="shared" si="33"/>
        <v>8.5787219951338187E-2</v>
      </c>
      <c r="O127" s="787">
        <f t="shared" si="33"/>
        <v>8.5787219951338187E-2</v>
      </c>
      <c r="P127" s="787">
        <f t="shared" si="33"/>
        <v>8.5787219951338187E-2</v>
      </c>
      <c r="Q127" s="787">
        <f t="shared" si="33"/>
        <v>8.5787219951338187E-2</v>
      </c>
      <c r="R127" s="787">
        <f t="shared" si="33"/>
        <v>8.5787219951338187E-2</v>
      </c>
      <c r="S127" s="787">
        <f t="shared" si="33"/>
        <v>8.5787219951338187E-2</v>
      </c>
      <c r="T127" s="787">
        <f t="shared" si="33"/>
        <v>8.5787219951338187E-2</v>
      </c>
      <c r="U127" s="787">
        <f t="shared" si="33"/>
        <v>8.5787219951338187E-2</v>
      </c>
      <c r="V127" s="787">
        <f t="shared" si="33"/>
        <v>8.5787219951338187E-2</v>
      </c>
      <c r="W127" s="787">
        <f t="shared" si="33"/>
        <v>8.5787219951338187E-2</v>
      </c>
      <c r="X127" s="787">
        <f t="shared" si="33"/>
        <v>8.5787219951338187E-2</v>
      </c>
      <c r="Y127" s="787">
        <f t="shared" si="33"/>
        <v>8.5787219951338187E-2</v>
      </c>
      <c r="Z127" s="787">
        <f t="shared" si="33"/>
        <v>8.5787219951338187E-2</v>
      </c>
      <c r="AA127" s="787">
        <f t="shared" si="33"/>
        <v>8.5787219951338187E-2</v>
      </c>
      <c r="AB127" s="787">
        <f t="shared" si="33"/>
        <v>8.5787219951338187E-2</v>
      </c>
      <c r="AC127" s="787">
        <f t="shared" si="33"/>
        <v>8.5787219951338187E-2</v>
      </c>
      <c r="AD127" s="787">
        <f t="shared" si="33"/>
        <v>8.5787219951338187E-2</v>
      </c>
      <c r="AE127" s="787">
        <f t="shared" si="33"/>
        <v>8.5787219951338187E-2</v>
      </c>
      <c r="AF127" s="787">
        <f t="shared" si="33"/>
        <v>8.5787219951338187E-2</v>
      </c>
      <c r="AG127" s="787">
        <f t="shared" si="33"/>
        <v>4.9756587577615576</v>
      </c>
      <c r="AH127" s="778">
        <f t="shared" si="28"/>
        <v>129.35844094902203</v>
      </c>
    </row>
    <row r="128" spans="1:34" x14ac:dyDescent="0.3">
      <c r="A128" s="10"/>
      <c r="B128" s="777" t="s">
        <v>667</v>
      </c>
      <c r="C128" s="787">
        <v>121.80916559272021</v>
      </c>
      <c r="D128" s="787">
        <v>0</v>
      </c>
      <c r="E128" s="787">
        <v>0</v>
      </c>
      <c r="F128" s="787">
        <v>0</v>
      </c>
      <c r="G128" s="787">
        <v>0</v>
      </c>
      <c r="H128" s="787">
        <v>0</v>
      </c>
      <c r="I128" s="778">
        <v>0</v>
      </c>
      <c r="J128" s="787">
        <v>0</v>
      </c>
      <c r="K128" s="787">
        <v>0</v>
      </c>
      <c r="L128" s="787">
        <v>0</v>
      </c>
      <c r="M128" s="787">
        <v>0</v>
      </c>
      <c r="N128" s="787">
        <v>0</v>
      </c>
      <c r="O128" s="787">
        <v>0</v>
      </c>
      <c r="P128" s="787">
        <v>0</v>
      </c>
      <c r="Q128" s="787">
        <v>0</v>
      </c>
      <c r="R128" s="787">
        <v>0</v>
      </c>
      <c r="S128" s="787">
        <v>0</v>
      </c>
      <c r="T128" s="787">
        <v>0</v>
      </c>
      <c r="U128" s="787">
        <v>0</v>
      </c>
      <c r="V128" s="787">
        <v>0</v>
      </c>
      <c r="W128" s="787">
        <v>0</v>
      </c>
      <c r="X128" s="787">
        <v>0</v>
      </c>
      <c r="Y128" s="787">
        <v>0</v>
      </c>
      <c r="Z128" s="787">
        <v>0</v>
      </c>
      <c r="AA128" s="787">
        <v>0</v>
      </c>
      <c r="AB128" s="787">
        <v>0</v>
      </c>
      <c r="AC128" s="787">
        <v>0</v>
      </c>
      <c r="AD128" s="787">
        <v>0</v>
      </c>
      <c r="AE128" s="787">
        <v>0</v>
      </c>
      <c r="AF128" s="787">
        <v>0</v>
      </c>
      <c r="AG128" s="787">
        <v>0</v>
      </c>
      <c r="AH128" s="778">
        <f t="shared" si="28"/>
        <v>121.80916559272021</v>
      </c>
    </row>
    <row r="129" spans="1:34" x14ac:dyDescent="0.3">
      <c r="A129" s="10"/>
      <c r="B129" s="785" t="s">
        <v>84</v>
      </c>
      <c r="C129" s="786">
        <v>8.5787219951338187E-2</v>
      </c>
      <c r="D129" s="786">
        <v>8.5787219951338187E-2</v>
      </c>
      <c r="E129" s="786">
        <v>8.5787219951338187E-2</v>
      </c>
      <c r="F129" s="786">
        <v>8.5787219951338187E-2</v>
      </c>
      <c r="G129" s="786">
        <v>8.5787219951338187E-2</v>
      </c>
      <c r="H129" s="786">
        <v>8.5787219951338187E-2</v>
      </c>
      <c r="I129" s="786">
        <v>8.5787219951338187E-2</v>
      </c>
      <c r="J129" s="786">
        <v>8.5787219951338187E-2</v>
      </c>
      <c r="K129" s="786">
        <v>8.5787219951338187E-2</v>
      </c>
      <c r="L129" s="786">
        <v>8.5787219951338187E-2</v>
      </c>
      <c r="M129" s="786">
        <v>8.5787219951338187E-2</v>
      </c>
      <c r="N129" s="786">
        <v>8.5787219951338187E-2</v>
      </c>
      <c r="O129" s="786">
        <v>8.5787219951338187E-2</v>
      </c>
      <c r="P129" s="786">
        <v>8.5787219951338187E-2</v>
      </c>
      <c r="Q129" s="786">
        <v>8.5787219951338187E-2</v>
      </c>
      <c r="R129" s="786">
        <v>8.5787219951338187E-2</v>
      </c>
      <c r="S129" s="786">
        <v>8.5787219951338187E-2</v>
      </c>
      <c r="T129" s="786">
        <v>8.5787219951338187E-2</v>
      </c>
      <c r="U129" s="786">
        <v>8.5787219951338187E-2</v>
      </c>
      <c r="V129" s="786">
        <v>8.5787219951338187E-2</v>
      </c>
      <c r="W129" s="786">
        <v>8.5787219951338187E-2</v>
      </c>
      <c r="X129" s="786">
        <v>8.5787219951338187E-2</v>
      </c>
      <c r="Y129" s="786">
        <v>8.5787219951338187E-2</v>
      </c>
      <c r="Z129" s="786">
        <v>8.5787219951338187E-2</v>
      </c>
      <c r="AA129" s="786">
        <v>8.5787219951338187E-2</v>
      </c>
      <c r="AB129" s="786">
        <v>8.5787219951338187E-2</v>
      </c>
      <c r="AC129" s="786">
        <v>8.5787219951338187E-2</v>
      </c>
      <c r="AD129" s="786">
        <v>8.5787219951338187E-2</v>
      </c>
      <c r="AE129" s="786">
        <v>8.5787219951338187E-2</v>
      </c>
      <c r="AF129" s="786">
        <v>8.5787219951338187E-2</v>
      </c>
      <c r="AG129" s="787">
        <v>4.9756587577615576</v>
      </c>
      <c r="AH129" s="771">
        <f t="shared" si="28"/>
        <v>7.5492753563017025</v>
      </c>
    </row>
    <row r="130" spans="1:34" x14ac:dyDescent="0.3">
      <c r="A130" s="10"/>
      <c r="B130" s="807" t="s">
        <v>69</v>
      </c>
      <c r="C130" s="828">
        <f t="shared" ref="C130:AG130" si="34">+C131+C132</f>
        <v>13.128387920000002</v>
      </c>
      <c r="D130" s="828">
        <f t="shared" si="34"/>
        <v>0</v>
      </c>
      <c r="E130" s="828">
        <f t="shared" si="34"/>
        <v>0</v>
      </c>
      <c r="F130" s="828">
        <f t="shared" si="34"/>
        <v>0</v>
      </c>
      <c r="G130" s="828">
        <f t="shared" si="34"/>
        <v>0</v>
      </c>
      <c r="H130" s="828">
        <f t="shared" si="34"/>
        <v>0.53600000999999997</v>
      </c>
      <c r="I130" s="828">
        <f t="shared" si="34"/>
        <v>0</v>
      </c>
      <c r="J130" s="828">
        <f t="shared" si="34"/>
        <v>0</v>
      </c>
      <c r="K130" s="828">
        <f t="shared" si="34"/>
        <v>0</v>
      </c>
      <c r="L130" s="828">
        <f t="shared" si="34"/>
        <v>0</v>
      </c>
      <c r="M130" s="828">
        <f t="shared" si="34"/>
        <v>0</v>
      </c>
      <c r="N130" s="828">
        <f t="shared" si="34"/>
        <v>0</v>
      </c>
      <c r="O130" s="828">
        <f t="shared" si="34"/>
        <v>0</v>
      </c>
      <c r="P130" s="828">
        <f t="shared" si="34"/>
        <v>0</v>
      </c>
      <c r="Q130" s="828">
        <f t="shared" si="34"/>
        <v>0</v>
      </c>
      <c r="R130" s="828">
        <f t="shared" si="34"/>
        <v>0</v>
      </c>
      <c r="S130" s="828">
        <f t="shared" si="34"/>
        <v>0</v>
      </c>
      <c r="T130" s="828">
        <f t="shared" si="34"/>
        <v>0</v>
      </c>
      <c r="U130" s="828">
        <f t="shared" si="34"/>
        <v>0</v>
      </c>
      <c r="V130" s="828">
        <f t="shared" si="34"/>
        <v>0</v>
      </c>
      <c r="W130" s="828">
        <f t="shared" si="34"/>
        <v>0</v>
      </c>
      <c r="X130" s="828">
        <f t="shared" si="34"/>
        <v>0</v>
      </c>
      <c r="Y130" s="828">
        <f t="shared" si="34"/>
        <v>0</v>
      </c>
      <c r="Z130" s="828">
        <f t="shared" si="34"/>
        <v>0</v>
      </c>
      <c r="AA130" s="828">
        <f t="shared" si="34"/>
        <v>0</v>
      </c>
      <c r="AB130" s="828">
        <f t="shared" si="34"/>
        <v>0</v>
      </c>
      <c r="AC130" s="828">
        <f t="shared" si="34"/>
        <v>0</v>
      </c>
      <c r="AD130" s="828">
        <f t="shared" si="34"/>
        <v>0</v>
      </c>
      <c r="AE130" s="828">
        <f t="shared" si="34"/>
        <v>0</v>
      </c>
      <c r="AF130" s="828">
        <f t="shared" si="34"/>
        <v>0</v>
      </c>
      <c r="AG130" s="828">
        <f t="shared" si="34"/>
        <v>0</v>
      </c>
      <c r="AH130" s="761">
        <f t="shared" si="28"/>
        <v>13.664387930000002</v>
      </c>
    </row>
    <row r="131" spans="1:34" x14ac:dyDescent="0.3">
      <c r="A131" s="10"/>
      <c r="B131" s="777" t="s">
        <v>667</v>
      </c>
      <c r="C131" s="787">
        <v>2.9442001600000003</v>
      </c>
      <c r="D131" s="787">
        <v>0</v>
      </c>
      <c r="E131" s="787">
        <v>0</v>
      </c>
      <c r="F131" s="787">
        <v>0</v>
      </c>
      <c r="G131" s="787">
        <v>0</v>
      </c>
      <c r="H131" s="787">
        <v>0</v>
      </c>
      <c r="I131" s="778">
        <v>0</v>
      </c>
      <c r="J131" s="787">
        <v>0</v>
      </c>
      <c r="K131" s="787">
        <v>0</v>
      </c>
      <c r="L131" s="787">
        <v>0</v>
      </c>
      <c r="M131" s="787">
        <v>0</v>
      </c>
      <c r="N131" s="787">
        <v>0</v>
      </c>
      <c r="O131" s="787">
        <v>0</v>
      </c>
      <c r="P131" s="787">
        <v>0</v>
      </c>
      <c r="Q131" s="787">
        <v>0</v>
      </c>
      <c r="R131" s="787">
        <v>0</v>
      </c>
      <c r="S131" s="787">
        <v>0</v>
      </c>
      <c r="T131" s="787">
        <v>0</v>
      </c>
      <c r="U131" s="787">
        <v>0</v>
      </c>
      <c r="V131" s="787">
        <v>0</v>
      </c>
      <c r="W131" s="787">
        <v>0</v>
      </c>
      <c r="X131" s="787">
        <v>0</v>
      </c>
      <c r="Y131" s="787">
        <v>0</v>
      </c>
      <c r="Z131" s="787">
        <v>0</v>
      </c>
      <c r="AA131" s="787">
        <v>0</v>
      </c>
      <c r="AB131" s="787">
        <v>0</v>
      </c>
      <c r="AC131" s="787">
        <v>0</v>
      </c>
      <c r="AD131" s="787">
        <v>0</v>
      </c>
      <c r="AE131" s="787">
        <v>0</v>
      </c>
      <c r="AF131" s="787">
        <v>0</v>
      </c>
      <c r="AG131" s="787">
        <v>0</v>
      </c>
      <c r="AH131" s="778">
        <f t="shared" si="28"/>
        <v>2.9442001600000003</v>
      </c>
    </row>
    <row r="132" spans="1:34" x14ac:dyDescent="0.3">
      <c r="A132" s="10"/>
      <c r="B132" s="777" t="s">
        <v>84</v>
      </c>
      <c r="C132" s="787">
        <v>10.18418776</v>
      </c>
      <c r="D132" s="787">
        <v>0</v>
      </c>
      <c r="E132" s="787">
        <v>0</v>
      </c>
      <c r="F132" s="787">
        <v>0</v>
      </c>
      <c r="G132" s="787">
        <v>0</v>
      </c>
      <c r="H132" s="787">
        <v>0.53600000999999997</v>
      </c>
      <c r="I132" s="778">
        <v>0</v>
      </c>
      <c r="J132" s="787">
        <v>0</v>
      </c>
      <c r="K132" s="787">
        <v>0</v>
      </c>
      <c r="L132" s="787">
        <v>0</v>
      </c>
      <c r="M132" s="787">
        <v>0</v>
      </c>
      <c r="N132" s="787">
        <v>0</v>
      </c>
      <c r="O132" s="787">
        <v>0</v>
      </c>
      <c r="P132" s="787">
        <v>0</v>
      </c>
      <c r="Q132" s="787">
        <v>0</v>
      </c>
      <c r="R132" s="787">
        <v>0</v>
      </c>
      <c r="S132" s="787">
        <v>0</v>
      </c>
      <c r="T132" s="787">
        <v>0</v>
      </c>
      <c r="U132" s="787">
        <v>0</v>
      </c>
      <c r="V132" s="787">
        <v>0</v>
      </c>
      <c r="W132" s="787">
        <v>0</v>
      </c>
      <c r="X132" s="787">
        <v>0</v>
      </c>
      <c r="Y132" s="787">
        <v>0</v>
      </c>
      <c r="Z132" s="787">
        <v>0</v>
      </c>
      <c r="AA132" s="787">
        <v>0</v>
      </c>
      <c r="AB132" s="787">
        <v>0</v>
      </c>
      <c r="AC132" s="787">
        <v>0</v>
      </c>
      <c r="AD132" s="787">
        <v>0</v>
      </c>
      <c r="AE132" s="787">
        <v>0</v>
      </c>
      <c r="AF132" s="787">
        <v>0</v>
      </c>
      <c r="AG132" s="787">
        <v>0</v>
      </c>
      <c r="AH132" s="778">
        <f t="shared" si="28"/>
        <v>10.720187770000001</v>
      </c>
    </row>
    <row r="133" spans="1:34" x14ac:dyDescent="0.3">
      <c r="A133" s="841"/>
      <c r="B133" s="794"/>
      <c r="C133" s="795"/>
      <c r="D133" s="795"/>
      <c r="E133" s="795"/>
      <c r="F133" s="795"/>
      <c r="G133" s="795"/>
      <c r="H133" s="795"/>
      <c r="I133" s="795"/>
      <c r="J133" s="795"/>
      <c r="K133" s="795"/>
      <c r="L133" s="795"/>
      <c r="M133" s="795"/>
      <c r="N133" s="795"/>
      <c r="O133" s="795"/>
      <c r="P133" s="795"/>
      <c r="Q133" s="795"/>
      <c r="R133" s="795"/>
      <c r="S133" s="795"/>
      <c r="T133" s="795"/>
      <c r="U133" s="795"/>
      <c r="V133" s="795"/>
      <c r="W133" s="795"/>
      <c r="X133" s="795"/>
      <c r="Y133" s="795"/>
      <c r="Z133" s="795"/>
      <c r="AA133" s="795"/>
      <c r="AB133" s="795"/>
      <c r="AC133" s="795"/>
      <c r="AD133" s="795"/>
      <c r="AE133" s="795"/>
      <c r="AF133" s="795"/>
      <c r="AG133" s="795"/>
      <c r="AH133" s="795"/>
    </row>
    <row r="134" spans="1:34" x14ac:dyDescent="0.3">
      <c r="A134" s="10"/>
      <c r="B134" s="796" t="s">
        <v>104</v>
      </c>
      <c r="C134" s="798">
        <f t="shared" ref="C134:AF134" si="35">+C135+C136</f>
        <v>61752.517470599618</v>
      </c>
      <c r="D134" s="798">
        <f t="shared" si="35"/>
        <v>20192.009888048593</v>
      </c>
      <c r="E134" s="798">
        <f t="shared" si="35"/>
        <v>8590.4375380727888</v>
      </c>
      <c r="F134" s="798">
        <f t="shared" si="35"/>
        <v>2108.3524626714884</v>
      </c>
      <c r="G134" s="798">
        <f t="shared" si="35"/>
        <v>1877.4533728668316</v>
      </c>
      <c r="H134" s="798">
        <f t="shared" si="35"/>
        <v>623.6293564185537</v>
      </c>
      <c r="I134" s="798">
        <f t="shared" si="35"/>
        <v>478.08612013322352</v>
      </c>
      <c r="J134" s="798">
        <f t="shared" si="35"/>
        <v>447.4051323180928</v>
      </c>
      <c r="K134" s="798">
        <f t="shared" si="35"/>
        <v>547.76006267974299</v>
      </c>
      <c r="L134" s="798">
        <f t="shared" si="35"/>
        <v>1256.5251046133196</v>
      </c>
      <c r="M134" s="798">
        <f t="shared" si="35"/>
        <v>457.64614861681753</v>
      </c>
      <c r="N134" s="798">
        <f t="shared" si="35"/>
        <v>457.64614861681753</v>
      </c>
      <c r="O134" s="798">
        <f t="shared" si="35"/>
        <v>111.23206400426206</v>
      </c>
      <c r="P134" s="798">
        <f t="shared" si="35"/>
        <v>111.23206400426206</v>
      </c>
      <c r="Q134" s="798">
        <f t="shared" si="35"/>
        <v>951.26714285608762</v>
      </c>
      <c r="R134" s="798">
        <f t="shared" si="35"/>
        <v>951.26714285608762</v>
      </c>
      <c r="S134" s="798">
        <f t="shared" si="35"/>
        <v>1006.840281263286</v>
      </c>
      <c r="T134" s="798">
        <f t="shared" si="35"/>
        <v>840.12086607177685</v>
      </c>
      <c r="U134" s="798">
        <f t="shared" si="35"/>
        <v>840.12086607177685</v>
      </c>
      <c r="V134" s="798">
        <f t="shared" si="35"/>
        <v>840.12086607177685</v>
      </c>
      <c r="W134" s="798">
        <f t="shared" si="35"/>
        <v>840.12086607177685</v>
      </c>
      <c r="X134" s="798">
        <f t="shared" si="35"/>
        <v>840.12086607177685</v>
      </c>
      <c r="Y134" s="798">
        <f t="shared" si="35"/>
        <v>840.12086607177685</v>
      </c>
      <c r="Z134" s="798">
        <f t="shared" si="35"/>
        <v>840.12086607177685</v>
      </c>
      <c r="AA134" s="798">
        <f t="shared" si="35"/>
        <v>8.5787219951338187E-2</v>
      </c>
      <c r="AB134" s="798">
        <f t="shared" si="35"/>
        <v>8.5787219951338187E-2</v>
      </c>
      <c r="AC134" s="798">
        <f>+AC135+AC136</f>
        <v>8.5787219951338187E-2</v>
      </c>
      <c r="AD134" s="798">
        <f t="shared" si="35"/>
        <v>8.5787219951338187E-2</v>
      </c>
      <c r="AE134" s="798">
        <f t="shared" si="35"/>
        <v>8.5787219951338187E-2</v>
      </c>
      <c r="AF134" s="798">
        <f t="shared" si="35"/>
        <v>8.5787219951338187E-2</v>
      </c>
      <c r="AG134" s="798">
        <f>+AG135+AG136</f>
        <v>4.9756587577615576</v>
      </c>
      <c r="AH134" s="798">
        <f>SUM(C134:AG134)</f>
        <v>107807.64394521982</v>
      </c>
    </row>
    <row r="135" spans="1:34" x14ac:dyDescent="0.3">
      <c r="A135" s="10"/>
      <c r="B135" s="966" t="s">
        <v>105</v>
      </c>
      <c r="C135" s="822">
        <v>26097.557556740448</v>
      </c>
      <c r="D135" s="822">
        <v>12008.225163758472</v>
      </c>
      <c r="E135" s="822">
        <v>8514.5105716653925</v>
      </c>
      <c r="F135" s="822">
        <v>2014.3622074900773</v>
      </c>
      <c r="G135" s="822">
        <v>819.57033123257372</v>
      </c>
      <c r="H135" s="822">
        <v>529.10444513767777</v>
      </c>
      <c r="I135" s="822">
        <v>377.00379185254224</v>
      </c>
      <c r="J135" s="822">
        <v>401.98722300471081</v>
      </c>
      <c r="K135" s="822">
        <v>498.81256959020533</v>
      </c>
      <c r="L135" s="822">
        <v>1015.2228686457283</v>
      </c>
      <c r="M135" s="822">
        <v>457.5603613968662</v>
      </c>
      <c r="N135" s="822">
        <v>457.5603613968662</v>
      </c>
      <c r="O135" s="822">
        <v>111.14627678431071</v>
      </c>
      <c r="P135" s="822">
        <v>111.14627678431071</v>
      </c>
      <c r="Q135" s="822">
        <v>951.18135563613623</v>
      </c>
      <c r="R135" s="822">
        <v>951.18135563613623</v>
      </c>
      <c r="S135" s="822">
        <v>1006.7544940433346</v>
      </c>
      <c r="T135" s="822">
        <v>840.03507885182546</v>
      </c>
      <c r="U135" s="822">
        <v>840.03507885182546</v>
      </c>
      <c r="V135" s="822">
        <v>840.03507885182546</v>
      </c>
      <c r="W135" s="822">
        <v>840.03507885182546</v>
      </c>
      <c r="X135" s="822">
        <v>840.03507885182546</v>
      </c>
      <c r="Y135" s="822">
        <v>840.03507885182546</v>
      </c>
      <c r="Z135" s="822">
        <v>840.03507885182546</v>
      </c>
      <c r="AA135" s="822">
        <v>0</v>
      </c>
      <c r="AB135" s="822">
        <v>0</v>
      </c>
      <c r="AC135" s="822">
        <v>0</v>
      </c>
      <c r="AD135" s="822">
        <v>0</v>
      </c>
      <c r="AE135" s="822">
        <v>0</v>
      </c>
      <c r="AF135" s="822">
        <v>0</v>
      </c>
      <c r="AG135" s="822">
        <v>0</v>
      </c>
      <c r="AH135" s="822">
        <f>SUM(C135:AG135)</f>
        <v>62203.132762758578</v>
      </c>
    </row>
    <row r="136" spans="1:34" x14ac:dyDescent="0.3">
      <c r="A136" s="10"/>
      <c r="B136" s="792" t="s">
        <v>499</v>
      </c>
      <c r="C136" s="867">
        <v>35654.959913859166</v>
      </c>
      <c r="D136" s="867">
        <v>8183.7847242901207</v>
      </c>
      <c r="E136" s="867">
        <v>75.926966407396577</v>
      </c>
      <c r="F136" s="867">
        <v>93.990255181411186</v>
      </c>
      <c r="G136" s="867">
        <v>1057.8830416342578</v>
      </c>
      <c r="H136" s="867">
        <v>94.524911280875926</v>
      </c>
      <c r="I136" s="867">
        <v>101.08232828068125</v>
      </c>
      <c r="J136" s="867">
        <v>45.417909313382005</v>
      </c>
      <c r="K136" s="867">
        <v>48.947493089537716</v>
      </c>
      <c r="L136" s="867">
        <v>241.30223596759126</v>
      </c>
      <c r="M136" s="867">
        <v>8.5787219951338187E-2</v>
      </c>
      <c r="N136" s="867">
        <v>8.5787219951338187E-2</v>
      </c>
      <c r="O136" s="867">
        <v>8.5787219951338187E-2</v>
      </c>
      <c r="P136" s="867">
        <v>8.5787219951338187E-2</v>
      </c>
      <c r="Q136" s="867">
        <v>8.5787219951338187E-2</v>
      </c>
      <c r="R136" s="867">
        <v>8.5787219951338187E-2</v>
      </c>
      <c r="S136" s="867">
        <v>8.5787219951338187E-2</v>
      </c>
      <c r="T136" s="867">
        <v>8.5787219951338187E-2</v>
      </c>
      <c r="U136" s="867">
        <v>8.5787219951338187E-2</v>
      </c>
      <c r="V136" s="867">
        <v>8.5787219951338187E-2</v>
      </c>
      <c r="W136" s="867">
        <v>8.5787219951338187E-2</v>
      </c>
      <c r="X136" s="867">
        <v>8.5787219951338187E-2</v>
      </c>
      <c r="Y136" s="867">
        <v>8.5787219951338187E-2</v>
      </c>
      <c r="Z136" s="867">
        <v>8.5787219951338187E-2</v>
      </c>
      <c r="AA136" s="867">
        <v>8.5787219951338187E-2</v>
      </c>
      <c r="AB136" s="867">
        <v>8.5787219951338187E-2</v>
      </c>
      <c r="AC136" s="867">
        <v>8.5787219951338187E-2</v>
      </c>
      <c r="AD136" s="867">
        <v>8.5787219951338187E-2</v>
      </c>
      <c r="AE136" s="867">
        <v>8.5787219951338187E-2</v>
      </c>
      <c r="AF136" s="867">
        <v>8.5787219951338187E-2</v>
      </c>
      <c r="AG136" s="867">
        <v>4.9756587577615576</v>
      </c>
      <c r="AH136" s="867">
        <f>SUM(C136:AG136)</f>
        <v>45604.511182461145</v>
      </c>
    </row>
    <row r="137" spans="1:34" x14ac:dyDescent="0.3">
      <c r="A137" s="10"/>
      <c r="B137" s="796" t="s">
        <v>106</v>
      </c>
      <c r="C137" s="798">
        <v>31229.971741381181</v>
      </c>
      <c r="D137" s="798">
        <v>31097.145186590576</v>
      </c>
      <c r="E137" s="798">
        <v>19642.751092100578</v>
      </c>
      <c r="F137" s="798">
        <v>19190.420025891744</v>
      </c>
      <c r="G137" s="798">
        <v>8867.3780717081936</v>
      </c>
      <c r="H137" s="798">
        <v>10159.296665550197</v>
      </c>
      <c r="I137" s="798">
        <v>11178.267179612289</v>
      </c>
      <c r="J137" s="798">
        <v>15690.192074564977</v>
      </c>
      <c r="K137" s="798">
        <v>10146.64279131241</v>
      </c>
      <c r="L137" s="798">
        <v>26576.973839033355</v>
      </c>
      <c r="M137" s="798">
        <v>12642.230787445149</v>
      </c>
      <c r="N137" s="798">
        <v>12489.841540194764</v>
      </c>
      <c r="O137" s="798">
        <v>12429.200254819307</v>
      </c>
      <c r="P137" s="798">
        <v>12445.296826747528</v>
      </c>
      <c r="Q137" s="798">
        <v>4327.2273756974118</v>
      </c>
      <c r="R137" s="798">
        <v>4210.407710992411</v>
      </c>
      <c r="S137" s="798">
        <v>3189.6284784189234</v>
      </c>
      <c r="T137" s="798">
        <v>1941.3861776215795</v>
      </c>
      <c r="U137" s="798">
        <v>1644.7789915357628</v>
      </c>
      <c r="V137" s="798">
        <v>1488.0631024796355</v>
      </c>
      <c r="W137" s="798">
        <v>470.90278897798021</v>
      </c>
      <c r="X137" s="798">
        <v>429.1763591067795</v>
      </c>
      <c r="Y137" s="798">
        <v>336.9073479142973</v>
      </c>
      <c r="Z137" s="798">
        <v>314.93717308029727</v>
      </c>
      <c r="AA137" s="798">
        <v>285.80323847929731</v>
      </c>
      <c r="AB137" s="798">
        <v>145.68935337057147</v>
      </c>
      <c r="AC137" s="798">
        <v>119.65893808657141</v>
      </c>
      <c r="AD137" s="798">
        <v>89.73262241757142</v>
      </c>
      <c r="AE137" s="798">
        <v>70.623398954571428</v>
      </c>
      <c r="AF137" s="798">
        <v>25.59292096557143</v>
      </c>
      <c r="AG137" s="798">
        <v>4.9761541000000005</v>
      </c>
      <c r="AH137" s="798">
        <f>SUM(C137:AG137)</f>
        <v>252881.10020915151</v>
      </c>
    </row>
    <row r="138" spans="1:34" x14ac:dyDescent="0.3">
      <c r="A138" s="288"/>
      <c r="B138" s="967"/>
      <c r="C138" s="778"/>
      <c r="D138" s="778"/>
      <c r="E138" s="778"/>
      <c r="F138" s="778"/>
      <c r="G138" s="778"/>
      <c r="H138" s="778"/>
      <c r="I138" s="778"/>
      <c r="J138" s="778"/>
      <c r="K138" s="778"/>
      <c r="L138" s="778"/>
      <c r="M138" s="778"/>
      <c r="N138" s="778"/>
      <c r="O138" s="778"/>
      <c r="P138" s="778"/>
      <c r="Q138" s="778"/>
      <c r="R138" s="778"/>
      <c r="S138" s="778"/>
      <c r="T138" s="778"/>
      <c r="U138" s="778"/>
      <c r="V138" s="778"/>
      <c r="W138" s="778"/>
      <c r="X138" s="778"/>
      <c r="Y138" s="778"/>
      <c r="Z138" s="778"/>
      <c r="AA138" s="778"/>
      <c r="AB138" s="778"/>
      <c r="AC138" s="778"/>
      <c r="AD138" s="778"/>
      <c r="AE138" s="778"/>
      <c r="AF138" s="778"/>
      <c r="AG138" s="778"/>
      <c r="AH138" s="968"/>
    </row>
    <row r="139" spans="1:34" x14ac:dyDescent="0.3">
      <c r="A139" s="841"/>
      <c r="B139" s="969" t="s">
        <v>336</v>
      </c>
      <c r="C139" s="833"/>
      <c r="D139" s="833"/>
      <c r="E139" s="833"/>
      <c r="F139" s="833"/>
      <c r="G139" s="833"/>
      <c r="H139" s="833"/>
      <c r="I139" s="833"/>
      <c r="J139" s="833"/>
      <c r="K139" s="833"/>
      <c r="L139" s="833"/>
      <c r="M139" s="833"/>
      <c r="N139" s="833"/>
      <c r="O139" s="833"/>
      <c r="P139" s="833"/>
      <c r="Q139" s="833"/>
      <c r="R139" s="833"/>
      <c r="S139" s="833"/>
      <c r="T139" s="833"/>
    </row>
    <row r="140" spans="1:34" x14ac:dyDescent="0.3">
      <c r="A140" s="841"/>
      <c r="B140" s="799" t="s">
        <v>786</v>
      </c>
      <c r="C140" s="833"/>
      <c r="D140" s="833"/>
      <c r="E140" s="833"/>
      <c r="F140" s="833"/>
      <c r="G140" s="833"/>
      <c r="H140" s="833"/>
      <c r="I140" s="833"/>
      <c r="J140" s="833"/>
      <c r="K140" s="833"/>
      <c r="L140" s="833"/>
      <c r="M140" s="833"/>
      <c r="N140" s="833"/>
      <c r="O140" s="833"/>
      <c r="P140" s="833"/>
      <c r="Q140" s="833"/>
      <c r="R140" s="833"/>
      <c r="S140" s="833"/>
      <c r="T140" s="833"/>
    </row>
    <row r="142" spans="1:34" x14ac:dyDescent="0.3">
      <c r="C142" s="970"/>
      <c r="D142" s="970"/>
      <c r="E142" s="970"/>
      <c r="F142" s="970"/>
      <c r="G142" s="970"/>
      <c r="H142" s="970"/>
      <c r="I142" s="970"/>
      <c r="J142" s="970"/>
      <c r="K142" s="970"/>
      <c r="L142" s="970"/>
      <c r="M142" s="970"/>
      <c r="N142" s="970"/>
      <c r="O142" s="970"/>
      <c r="P142" s="970"/>
      <c r="Q142" s="970"/>
      <c r="R142" s="970"/>
      <c r="S142" s="970"/>
      <c r="T142" s="970"/>
      <c r="U142" s="881"/>
      <c r="V142" s="881"/>
      <c r="W142" s="881"/>
      <c r="X142" s="881"/>
      <c r="Y142" s="881"/>
      <c r="Z142" s="881"/>
      <c r="AA142" s="881"/>
      <c r="AB142" s="881"/>
      <c r="AC142" s="881"/>
      <c r="AD142" s="881"/>
      <c r="AE142" s="881"/>
      <c r="AF142" s="881"/>
      <c r="AG142" s="881"/>
      <c r="AH142" s="881"/>
    </row>
    <row r="143" spans="1:34" x14ac:dyDescent="0.3">
      <c r="C143" s="971"/>
      <c r="D143" s="971"/>
      <c r="E143" s="971"/>
      <c r="F143" s="971"/>
      <c r="G143" s="971"/>
      <c r="H143" s="971"/>
      <c r="I143" s="971"/>
      <c r="J143" s="971"/>
      <c r="K143" s="971"/>
      <c r="L143" s="971"/>
      <c r="M143" s="971"/>
      <c r="N143" s="971"/>
      <c r="O143" s="971"/>
      <c r="P143" s="971"/>
      <c r="Q143" s="971"/>
      <c r="R143" s="971"/>
      <c r="S143" s="971"/>
      <c r="T143" s="971"/>
      <c r="U143" s="971"/>
      <c r="V143" s="971"/>
      <c r="W143" s="971"/>
      <c r="X143" s="971"/>
      <c r="Y143" s="971"/>
      <c r="Z143" s="971"/>
      <c r="AA143" s="971"/>
      <c r="AB143" s="971"/>
      <c r="AC143" s="971"/>
      <c r="AD143" s="971"/>
      <c r="AE143" s="971"/>
      <c r="AF143" s="971"/>
      <c r="AG143" s="971"/>
      <c r="AH143" s="971"/>
    </row>
    <row r="144" spans="1:34" x14ac:dyDescent="0.3">
      <c r="C144" s="970"/>
      <c r="D144" s="970"/>
      <c r="E144" s="970"/>
      <c r="F144" s="970"/>
      <c r="G144" s="970"/>
      <c r="H144" s="970"/>
      <c r="I144" s="970"/>
      <c r="J144" s="970"/>
      <c r="K144" s="970"/>
      <c r="L144" s="970"/>
      <c r="M144" s="970"/>
      <c r="N144" s="970"/>
      <c r="O144" s="970"/>
      <c r="P144" s="970"/>
      <c r="Q144" s="970"/>
      <c r="R144" s="970"/>
      <c r="S144" s="970"/>
      <c r="T144" s="970"/>
      <c r="U144" s="970"/>
      <c r="V144" s="970"/>
      <c r="W144" s="970"/>
      <c r="X144" s="832"/>
      <c r="Y144" s="832"/>
      <c r="Z144" s="832"/>
      <c r="AA144" s="832"/>
      <c r="AB144" s="832"/>
      <c r="AC144" s="832"/>
      <c r="AD144" s="832"/>
      <c r="AE144" s="832"/>
      <c r="AF144" s="832"/>
      <c r="AG144" s="832"/>
    </row>
    <row r="145" spans="3:33" x14ac:dyDescent="0.3">
      <c r="C145" s="832"/>
      <c r="D145" s="832"/>
      <c r="E145" s="832"/>
      <c r="F145" s="832"/>
      <c r="G145" s="832"/>
      <c r="H145" s="832"/>
      <c r="I145" s="832"/>
      <c r="J145" s="832"/>
      <c r="K145" s="832"/>
      <c r="L145" s="832"/>
      <c r="M145" s="832"/>
      <c r="N145" s="832"/>
      <c r="O145" s="832"/>
      <c r="P145" s="832"/>
      <c r="Q145" s="832"/>
      <c r="R145" s="832"/>
      <c r="S145" s="832"/>
      <c r="T145" s="832"/>
      <c r="U145" s="832"/>
      <c r="V145" s="832"/>
      <c r="W145" s="832"/>
      <c r="X145" s="832"/>
      <c r="Y145" s="832"/>
      <c r="Z145" s="832"/>
      <c r="AA145" s="832"/>
      <c r="AB145" s="832"/>
      <c r="AC145" s="832"/>
      <c r="AD145" s="832"/>
      <c r="AE145" s="832"/>
      <c r="AF145" s="832"/>
      <c r="AG145" s="832"/>
    </row>
  </sheetData>
  <mergeCells count="2">
    <mergeCell ref="B6:AH6"/>
    <mergeCell ref="B11:AH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CB139"/>
  <sheetViews>
    <sheetView showGridLines="0" zoomScale="70" zoomScaleNormal="70" zoomScaleSheetLayoutView="80" workbookViewId="0"/>
  </sheetViews>
  <sheetFormatPr baseColWidth="10" defaultColWidth="11.44140625" defaultRowHeight="14.4" x14ac:dyDescent="0.3"/>
  <cols>
    <col min="1" max="1" width="7.77734375" style="9" bestFit="1" customWidth="1"/>
    <col min="2" max="2" width="38.21875" style="843" customWidth="1"/>
    <col min="3" max="34" width="12.44140625" style="843" customWidth="1"/>
    <col min="35" max="35" width="22.5546875" style="841" bestFit="1" customWidth="1"/>
    <col min="36" max="16384" width="11.44140625" style="841"/>
  </cols>
  <sheetData>
    <row r="1" spans="1:35" ht="15" x14ac:dyDescent="0.3">
      <c r="A1" s="1" t="s">
        <v>216</v>
      </c>
      <c r="B1" s="831"/>
      <c r="C1" s="972"/>
      <c r="D1" s="972"/>
      <c r="E1" s="972"/>
      <c r="F1" s="972"/>
      <c r="G1" s="972"/>
      <c r="H1" s="972"/>
      <c r="I1" s="972"/>
      <c r="J1" s="972"/>
      <c r="K1" s="972"/>
      <c r="L1" s="972"/>
      <c r="M1" s="832"/>
      <c r="N1" s="972"/>
      <c r="O1" s="972"/>
      <c r="P1" s="972"/>
      <c r="Q1" s="972"/>
      <c r="R1" s="972"/>
      <c r="S1" s="972"/>
      <c r="T1" s="972"/>
      <c r="U1" s="972"/>
      <c r="V1" s="972"/>
      <c r="W1" s="972"/>
      <c r="X1" s="972"/>
      <c r="Y1" s="972"/>
      <c r="Z1" s="972"/>
      <c r="AA1" s="972"/>
      <c r="AB1" s="972"/>
      <c r="AC1" s="972"/>
      <c r="AD1" s="972"/>
      <c r="AE1" s="972"/>
      <c r="AF1" s="972"/>
      <c r="AG1" s="972"/>
      <c r="AH1" s="972"/>
    </row>
    <row r="2" spans="1:35" ht="15" x14ac:dyDescent="0.3">
      <c r="A2" s="133"/>
      <c r="B2" s="4" t="s">
        <v>693</v>
      </c>
      <c r="C2" s="832"/>
      <c r="W2" s="947"/>
      <c r="X2" s="947"/>
      <c r="Y2" s="947"/>
      <c r="Z2" s="947"/>
      <c r="AA2" s="947"/>
      <c r="AB2" s="947"/>
      <c r="AC2" s="947"/>
    </row>
    <row r="3" spans="1:35" ht="15" x14ac:dyDescent="0.3">
      <c r="A3" s="133"/>
      <c r="B3" s="4" t="s">
        <v>299</v>
      </c>
      <c r="C3" s="1225"/>
      <c r="D3" s="1225"/>
      <c r="E3" s="1225"/>
      <c r="F3" s="1225"/>
      <c r="G3" s="1225"/>
      <c r="H3" s="1225"/>
      <c r="I3" s="1225"/>
      <c r="J3" s="1225"/>
      <c r="K3" s="1225"/>
      <c r="L3" s="1225"/>
      <c r="M3" s="1225"/>
      <c r="N3" s="1225"/>
      <c r="O3" s="1225"/>
      <c r="P3" s="1225"/>
      <c r="Q3" s="1225"/>
      <c r="R3" s="1225"/>
      <c r="S3" s="1225"/>
      <c r="T3" s="1225"/>
      <c r="U3" s="1225"/>
      <c r="V3" s="1225"/>
      <c r="W3" s="1225"/>
      <c r="X3" s="1225"/>
      <c r="Y3" s="1225"/>
      <c r="Z3" s="1225"/>
      <c r="AA3" s="1225"/>
      <c r="AB3" s="1225"/>
      <c r="AC3" s="1225"/>
      <c r="AD3" s="1225"/>
      <c r="AE3" s="1225"/>
      <c r="AF3" s="1225"/>
      <c r="AG3" s="1225"/>
      <c r="AH3" s="1225"/>
    </row>
    <row r="4" spans="1:35" s="405" customFormat="1" ht="15" x14ac:dyDescent="0.3">
      <c r="A4" s="9"/>
      <c r="B4" s="843"/>
      <c r="C4" s="948"/>
      <c r="D4" s="948"/>
      <c r="E4" s="973"/>
      <c r="F4" s="948"/>
      <c r="G4" s="948"/>
      <c r="H4" s="948"/>
      <c r="I4" s="948"/>
      <c r="J4" s="948"/>
      <c r="K4" s="948"/>
      <c r="L4" s="948"/>
      <c r="M4" s="948"/>
      <c r="N4" s="948"/>
      <c r="O4" s="948"/>
      <c r="P4" s="948"/>
      <c r="Q4" s="948"/>
      <c r="R4" s="948"/>
      <c r="S4" s="948"/>
      <c r="T4" s="948"/>
      <c r="U4" s="948"/>
      <c r="V4" s="948"/>
      <c r="W4" s="948"/>
      <c r="X4" s="948"/>
      <c r="Y4" s="948"/>
      <c r="Z4" s="948"/>
      <c r="AA4" s="948"/>
      <c r="AB4" s="948"/>
      <c r="AC4" s="948"/>
      <c r="AD4" s="948"/>
      <c r="AE4" s="948"/>
      <c r="AF4" s="948"/>
      <c r="AG4" s="948"/>
      <c r="AH4" s="843"/>
    </row>
    <row r="5" spans="1:35" s="405" customFormat="1" ht="15" thickBot="1" x14ac:dyDescent="0.35">
      <c r="A5" s="9"/>
      <c r="B5" s="843"/>
      <c r="C5" s="843"/>
      <c r="D5" s="843"/>
      <c r="E5" s="843"/>
      <c r="F5" s="843"/>
      <c r="G5" s="843"/>
      <c r="H5" s="843"/>
      <c r="I5" s="843"/>
      <c r="J5" s="843"/>
      <c r="K5" s="843"/>
      <c r="L5" s="843"/>
      <c r="M5" s="843"/>
      <c r="N5" s="843"/>
      <c r="O5" s="843"/>
      <c r="P5" s="843"/>
      <c r="Q5" s="843"/>
      <c r="R5" s="843"/>
      <c r="S5" s="843"/>
      <c r="T5" s="843"/>
      <c r="U5" s="843"/>
      <c r="V5" s="843"/>
      <c r="W5" s="843"/>
      <c r="X5" s="843"/>
      <c r="Y5" s="843"/>
      <c r="Z5" s="843"/>
      <c r="AA5" s="843"/>
      <c r="AB5" s="843"/>
      <c r="AC5" s="843"/>
      <c r="AD5" s="843"/>
      <c r="AE5" s="843"/>
      <c r="AF5" s="843"/>
      <c r="AG5" s="843"/>
      <c r="AH5" s="843"/>
    </row>
    <row r="6" spans="1:35" s="405" customFormat="1" ht="18.600000000000001" thickBot="1" x14ac:dyDescent="0.35">
      <c r="A6" s="9"/>
      <c r="B6" s="1432" t="s">
        <v>655</v>
      </c>
      <c r="C6" s="1433"/>
      <c r="D6" s="1433"/>
      <c r="E6" s="1433"/>
      <c r="F6" s="1433"/>
      <c r="G6" s="1433"/>
      <c r="H6" s="1433"/>
      <c r="I6" s="1433"/>
      <c r="J6" s="1433"/>
      <c r="K6" s="1433"/>
      <c r="L6" s="1433"/>
      <c r="M6" s="1433"/>
      <c r="N6" s="1433"/>
      <c r="O6" s="1433"/>
      <c r="P6" s="1433"/>
      <c r="Q6" s="1433"/>
      <c r="R6" s="1433"/>
      <c r="S6" s="1433"/>
      <c r="T6" s="1433"/>
      <c r="U6" s="1433"/>
      <c r="V6" s="1433"/>
      <c r="W6" s="1433"/>
      <c r="X6" s="1433"/>
      <c r="Y6" s="1433"/>
      <c r="Z6" s="1433"/>
      <c r="AA6" s="1433"/>
      <c r="AB6" s="1433"/>
      <c r="AC6" s="1433"/>
      <c r="AD6" s="1433"/>
      <c r="AE6" s="1433"/>
      <c r="AF6" s="1433"/>
      <c r="AG6" s="1433"/>
      <c r="AH6" s="1434"/>
    </row>
    <row r="7" spans="1:35" s="405" customFormat="1"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row>
    <row r="8" spans="1:35" s="405" customFormat="1" ht="15" thickBot="1" x14ac:dyDescent="0.35">
      <c r="A8" s="9"/>
      <c r="B8" s="59" t="s">
        <v>908</v>
      </c>
      <c r="C8" s="9"/>
      <c r="D8" s="9"/>
      <c r="E8" s="837"/>
      <c r="F8" s="837"/>
      <c r="G8" s="837"/>
      <c r="H8" s="837"/>
      <c r="I8" s="837"/>
      <c r="J8" s="837"/>
      <c r="K8" s="837"/>
      <c r="L8" s="837"/>
      <c r="M8" s="837"/>
      <c r="N8" s="837"/>
      <c r="O8" s="837"/>
      <c r="P8" s="837"/>
      <c r="Q8" s="837"/>
      <c r="R8" s="837"/>
      <c r="S8" s="837"/>
      <c r="T8" s="837"/>
      <c r="U8" s="837"/>
      <c r="V8" s="837"/>
      <c r="W8" s="837"/>
      <c r="X8" s="837"/>
      <c r="Y8" s="837"/>
      <c r="Z8" s="837"/>
      <c r="AA8" s="837"/>
      <c r="AB8" s="837"/>
      <c r="AC8" s="837"/>
      <c r="AD8" s="837"/>
      <c r="AE8" s="837"/>
      <c r="AF8" s="837"/>
      <c r="AG8" s="837"/>
      <c r="AH8" s="837"/>
    </row>
    <row r="9" spans="1:35" s="781" customFormat="1" ht="15.6" thickTop="1" thickBot="1" x14ac:dyDescent="0.3">
      <c r="A9" s="59"/>
      <c r="B9" s="744"/>
      <c r="C9" s="744">
        <v>2022</v>
      </c>
      <c r="D9" s="744">
        <f>+C9+1</f>
        <v>2023</v>
      </c>
      <c r="E9" s="744">
        <f t="shared" ref="E9:AF9" si="0">+D9+1</f>
        <v>2024</v>
      </c>
      <c r="F9" s="744">
        <f t="shared" si="0"/>
        <v>2025</v>
      </c>
      <c r="G9" s="744">
        <f t="shared" si="0"/>
        <v>2026</v>
      </c>
      <c r="H9" s="744">
        <f t="shared" si="0"/>
        <v>2027</v>
      </c>
      <c r="I9" s="744">
        <f t="shared" si="0"/>
        <v>2028</v>
      </c>
      <c r="J9" s="744">
        <f t="shared" si="0"/>
        <v>2029</v>
      </c>
      <c r="K9" s="744">
        <f t="shared" si="0"/>
        <v>2030</v>
      </c>
      <c r="L9" s="744">
        <f t="shared" si="0"/>
        <v>2031</v>
      </c>
      <c r="M9" s="744">
        <f t="shared" si="0"/>
        <v>2032</v>
      </c>
      <c r="N9" s="744">
        <f t="shared" si="0"/>
        <v>2033</v>
      </c>
      <c r="O9" s="744">
        <f t="shared" si="0"/>
        <v>2034</v>
      </c>
      <c r="P9" s="744">
        <f t="shared" si="0"/>
        <v>2035</v>
      </c>
      <c r="Q9" s="744">
        <f t="shared" si="0"/>
        <v>2036</v>
      </c>
      <c r="R9" s="744">
        <f t="shared" si="0"/>
        <v>2037</v>
      </c>
      <c r="S9" s="744">
        <f t="shared" si="0"/>
        <v>2038</v>
      </c>
      <c r="T9" s="744">
        <f t="shared" si="0"/>
        <v>2039</v>
      </c>
      <c r="U9" s="744">
        <f t="shared" si="0"/>
        <v>2040</v>
      </c>
      <c r="V9" s="744">
        <f t="shared" si="0"/>
        <v>2041</v>
      </c>
      <c r="W9" s="744">
        <f t="shared" si="0"/>
        <v>2042</v>
      </c>
      <c r="X9" s="744">
        <f t="shared" si="0"/>
        <v>2043</v>
      </c>
      <c r="Y9" s="744">
        <f t="shared" si="0"/>
        <v>2044</v>
      </c>
      <c r="Z9" s="744">
        <f t="shared" si="0"/>
        <v>2045</v>
      </c>
      <c r="AA9" s="744">
        <f t="shared" si="0"/>
        <v>2046</v>
      </c>
      <c r="AB9" s="744">
        <f t="shared" si="0"/>
        <v>2047</v>
      </c>
      <c r="AC9" s="744">
        <f t="shared" si="0"/>
        <v>2048</v>
      </c>
      <c r="AD9" s="744">
        <f t="shared" si="0"/>
        <v>2049</v>
      </c>
      <c r="AE9" s="744">
        <f t="shared" si="0"/>
        <v>2050</v>
      </c>
      <c r="AF9" s="744">
        <f t="shared" si="0"/>
        <v>2051</v>
      </c>
      <c r="AG9" s="974" t="s">
        <v>917</v>
      </c>
      <c r="AH9" s="744" t="s">
        <v>287</v>
      </c>
    </row>
    <row r="10" spans="1:35" s="405" customFormat="1" ht="15.6" thickTop="1" thickBot="1" x14ac:dyDescent="0.35">
      <c r="A10" s="9"/>
      <c r="B10" s="9"/>
      <c r="C10" s="975"/>
      <c r="D10" s="975"/>
      <c r="E10" s="975"/>
      <c r="F10" s="975"/>
      <c r="G10" s="975"/>
      <c r="H10" s="975"/>
      <c r="I10" s="975"/>
      <c r="J10" s="975"/>
      <c r="K10" s="975"/>
      <c r="L10" s="975"/>
      <c r="M10" s="975"/>
      <c r="N10" s="975"/>
      <c r="O10" s="975"/>
      <c r="P10" s="975"/>
      <c r="Q10" s="975"/>
      <c r="R10" s="975"/>
      <c r="S10" s="975"/>
      <c r="T10" s="975"/>
      <c r="U10" s="975"/>
      <c r="V10" s="975"/>
      <c r="W10" s="975"/>
      <c r="X10" s="975"/>
      <c r="Y10" s="975"/>
      <c r="Z10" s="975"/>
      <c r="AA10" s="975"/>
      <c r="AB10" s="975"/>
      <c r="AC10" s="975"/>
      <c r="AD10" s="975"/>
      <c r="AE10" s="975"/>
      <c r="AF10" s="975"/>
      <c r="AG10" s="975"/>
      <c r="AH10" s="975"/>
    </row>
    <row r="11" spans="1:35" s="405" customFormat="1" ht="15" thickBot="1" x14ac:dyDescent="0.35">
      <c r="A11" s="9"/>
      <c r="B11" s="1429" t="s">
        <v>621</v>
      </c>
      <c r="C11" s="1430"/>
      <c r="D11" s="1430"/>
      <c r="E11" s="1430"/>
      <c r="F11" s="1430"/>
      <c r="G11" s="1430"/>
      <c r="H11" s="1430"/>
      <c r="I11" s="1430"/>
      <c r="J11" s="1430"/>
      <c r="K11" s="1430"/>
      <c r="L11" s="1430"/>
      <c r="M11" s="1430"/>
      <c r="N11" s="1430"/>
      <c r="O11" s="1430"/>
      <c r="P11" s="1430"/>
      <c r="Q11" s="1430"/>
      <c r="R11" s="1430"/>
      <c r="S11" s="1430"/>
      <c r="T11" s="1430"/>
      <c r="U11" s="1430"/>
      <c r="V11" s="1430"/>
      <c r="W11" s="1430"/>
      <c r="X11" s="1430"/>
      <c r="Y11" s="1430"/>
      <c r="Z11" s="1430"/>
      <c r="AA11" s="1430"/>
      <c r="AB11" s="1430"/>
      <c r="AC11" s="1430"/>
      <c r="AD11" s="1430"/>
      <c r="AE11" s="1430"/>
      <c r="AF11" s="1430"/>
      <c r="AG11" s="1430"/>
      <c r="AH11" s="1431"/>
    </row>
    <row r="12" spans="1:35" ht="15" thickBot="1" x14ac:dyDescent="0.35"/>
    <row r="13" spans="1:35" s="738" customFormat="1" ht="15.6" thickBot="1" x14ac:dyDescent="0.3">
      <c r="A13" s="59"/>
      <c r="B13" s="748" t="s">
        <v>59</v>
      </c>
      <c r="C13" s="749">
        <f t="shared" ref="C13:AF13" si="1">+C14+C15</f>
        <v>6000.4375932869034</v>
      </c>
      <c r="D13" s="749">
        <f t="shared" si="1"/>
        <v>4374.631791325909</v>
      </c>
      <c r="E13" s="749">
        <f t="shared" si="1"/>
        <v>4611.1540648134987</v>
      </c>
      <c r="F13" s="749">
        <f t="shared" si="1"/>
        <v>4734.3361423640154</v>
      </c>
      <c r="G13" s="749">
        <f t="shared" si="1"/>
        <v>4557.9952591950241</v>
      </c>
      <c r="H13" s="749">
        <f t="shared" si="1"/>
        <v>4261.3638586492098</v>
      </c>
      <c r="I13" s="749">
        <f t="shared" si="1"/>
        <v>4428.005550971453</v>
      </c>
      <c r="J13" s="749">
        <f t="shared" si="1"/>
        <v>4242.4925246152479</v>
      </c>
      <c r="K13" s="749">
        <f t="shared" si="1"/>
        <v>4114.5647642294571</v>
      </c>
      <c r="L13" s="749">
        <f t="shared" si="1"/>
        <v>3723.4919383054207</v>
      </c>
      <c r="M13" s="749">
        <f t="shared" si="1"/>
        <v>3109.6418128499381</v>
      </c>
      <c r="N13" s="749">
        <f t="shared" si="1"/>
        <v>2518.5411571637092</v>
      </c>
      <c r="O13" s="749">
        <f t="shared" si="1"/>
        <v>1936.8551348020221</v>
      </c>
      <c r="P13" s="749">
        <f t="shared" si="1"/>
        <v>1372.0327812485873</v>
      </c>
      <c r="Q13" s="749">
        <f t="shared" si="1"/>
        <v>901.81600731286187</v>
      </c>
      <c r="R13" s="749">
        <f t="shared" si="1"/>
        <v>711.08448210245888</v>
      </c>
      <c r="S13" s="749">
        <f t="shared" si="1"/>
        <v>523.57402394955125</v>
      </c>
      <c r="T13" s="749">
        <f t="shared" si="1"/>
        <v>402.03439141137386</v>
      </c>
      <c r="U13" s="749">
        <f t="shared" si="1"/>
        <v>314.48835751318302</v>
      </c>
      <c r="V13" s="749">
        <f t="shared" si="1"/>
        <v>227.91560823805992</v>
      </c>
      <c r="W13" s="749">
        <f t="shared" si="1"/>
        <v>153.96654245327264</v>
      </c>
      <c r="X13" s="749">
        <f t="shared" si="1"/>
        <v>116.08073105683791</v>
      </c>
      <c r="Y13" s="749">
        <f t="shared" si="1"/>
        <v>78.815661156317717</v>
      </c>
      <c r="Z13" s="749">
        <f t="shared" si="1"/>
        <v>42.292461860937095</v>
      </c>
      <c r="AA13" s="749">
        <f t="shared" si="1"/>
        <v>13.156094493574095</v>
      </c>
      <c r="AB13" s="749">
        <f t="shared" si="1"/>
        <v>6.5679134361242886</v>
      </c>
      <c r="AC13" s="749">
        <f t="shared" si="1"/>
        <v>4.5303724072174045</v>
      </c>
      <c r="AD13" s="749">
        <f t="shared" si="1"/>
        <v>2.761198147779679</v>
      </c>
      <c r="AE13" s="749">
        <f t="shared" si="1"/>
        <v>1.4118395567215767</v>
      </c>
      <c r="AF13" s="749">
        <f t="shared" si="1"/>
        <v>0.38388737254927063</v>
      </c>
      <c r="AG13" s="749">
        <f t="shared" ref="AG13" si="2">+AG14+AG15</f>
        <v>7.5848600000000016E-2</v>
      </c>
      <c r="AH13" s="750">
        <f>SUM(C13:AG13)</f>
        <v>57486.499794889205</v>
      </c>
      <c r="AI13" s="976"/>
    </row>
    <row r="14" spans="1:35" s="738" customFormat="1" x14ac:dyDescent="0.25">
      <c r="A14" s="59"/>
      <c r="B14" s="854" t="s">
        <v>60</v>
      </c>
      <c r="C14" s="803">
        <v>69.322358677858858</v>
      </c>
      <c r="D14" s="803">
        <v>0</v>
      </c>
      <c r="E14" s="803">
        <v>0</v>
      </c>
      <c r="F14" s="803">
        <v>0</v>
      </c>
      <c r="G14" s="803">
        <v>0</v>
      </c>
      <c r="H14" s="803">
        <v>0</v>
      </c>
      <c r="I14" s="803">
        <v>0</v>
      </c>
      <c r="J14" s="803">
        <v>0</v>
      </c>
      <c r="K14" s="803">
        <v>0</v>
      </c>
      <c r="L14" s="803">
        <v>0</v>
      </c>
      <c r="M14" s="803">
        <v>0</v>
      </c>
      <c r="N14" s="803">
        <v>0</v>
      </c>
      <c r="O14" s="803">
        <v>0</v>
      </c>
      <c r="P14" s="803">
        <v>0</v>
      </c>
      <c r="Q14" s="803">
        <v>0</v>
      </c>
      <c r="R14" s="803">
        <v>0</v>
      </c>
      <c r="S14" s="803">
        <v>0</v>
      </c>
      <c r="T14" s="803">
        <v>0</v>
      </c>
      <c r="U14" s="803">
        <v>0</v>
      </c>
      <c r="V14" s="803">
        <v>0</v>
      </c>
      <c r="W14" s="803">
        <v>0</v>
      </c>
      <c r="X14" s="803">
        <v>0</v>
      </c>
      <c r="Y14" s="803">
        <v>0</v>
      </c>
      <c r="Z14" s="803">
        <v>0</v>
      </c>
      <c r="AA14" s="803">
        <v>0</v>
      </c>
      <c r="AB14" s="803">
        <v>0</v>
      </c>
      <c r="AC14" s="803">
        <v>0</v>
      </c>
      <c r="AD14" s="803">
        <v>0</v>
      </c>
      <c r="AE14" s="803">
        <v>0</v>
      </c>
      <c r="AF14" s="803">
        <v>0</v>
      </c>
      <c r="AG14" s="803">
        <v>0</v>
      </c>
      <c r="AH14" s="953">
        <f>+SUM(C14:AG14)</f>
        <v>69.322358677858858</v>
      </c>
      <c r="AI14" s="976"/>
    </row>
    <row r="15" spans="1:35" s="738" customFormat="1" x14ac:dyDescent="0.25">
      <c r="A15" s="59"/>
      <c r="B15" s="854" t="s">
        <v>61</v>
      </c>
      <c r="C15" s="803">
        <v>5931.1152346090448</v>
      </c>
      <c r="D15" s="803">
        <v>4374.631791325909</v>
      </c>
      <c r="E15" s="803">
        <v>4611.1540648134987</v>
      </c>
      <c r="F15" s="803">
        <v>4734.3361423640154</v>
      </c>
      <c r="G15" s="803">
        <v>4557.9952591950241</v>
      </c>
      <c r="H15" s="803">
        <v>4261.3638586492098</v>
      </c>
      <c r="I15" s="803">
        <v>4428.005550971453</v>
      </c>
      <c r="J15" s="803">
        <v>4242.4925246152479</v>
      </c>
      <c r="K15" s="803">
        <v>4114.5647642294571</v>
      </c>
      <c r="L15" s="803">
        <v>3723.4919383054207</v>
      </c>
      <c r="M15" s="803">
        <v>3109.6418128499381</v>
      </c>
      <c r="N15" s="803">
        <v>2518.5411571637092</v>
      </c>
      <c r="O15" s="803">
        <v>1936.8551348020221</v>
      </c>
      <c r="P15" s="803">
        <v>1372.0327812485873</v>
      </c>
      <c r="Q15" s="803">
        <v>901.81600731286187</v>
      </c>
      <c r="R15" s="803">
        <v>711.08448210245888</v>
      </c>
      <c r="S15" s="803">
        <v>523.57402394955125</v>
      </c>
      <c r="T15" s="803">
        <v>402.03439141137386</v>
      </c>
      <c r="U15" s="803">
        <v>314.48835751318302</v>
      </c>
      <c r="V15" s="803">
        <v>227.91560823805992</v>
      </c>
      <c r="W15" s="803">
        <v>153.96654245327264</v>
      </c>
      <c r="X15" s="803">
        <v>116.08073105683791</v>
      </c>
      <c r="Y15" s="803">
        <v>78.815661156317717</v>
      </c>
      <c r="Z15" s="803">
        <v>42.292461860937095</v>
      </c>
      <c r="AA15" s="803">
        <v>13.156094493574095</v>
      </c>
      <c r="AB15" s="803">
        <v>6.5679134361242886</v>
      </c>
      <c r="AC15" s="803">
        <v>4.5303724072174045</v>
      </c>
      <c r="AD15" s="803">
        <v>2.761198147779679</v>
      </c>
      <c r="AE15" s="803">
        <v>1.4118395567215767</v>
      </c>
      <c r="AF15" s="803">
        <v>0.38388737254927063</v>
      </c>
      <c r="AG15" s="803">
        <v>7.5848600000000016E-2</v>
      </c>
      <c r="AH15" s="953">
        <f>+SUM(C15:AG15)</f>
        <v>57417.177436211343</v>
      </c>
      <c r="AI15" s="976"/>
    </row>
    <row r="16" spans="1:35" s="738" customFormat="1" ht="15" thickBot="1" x14ac:dyDescent="0.3">
      <c r="A16" s="59"/>
      <c r="B16" s="59"/>
      <c r="C16" s="977"/>
      <c r="D16" s="977"/>
      <c r="E16" s="977"/>
      <c r="F16" s="977"/>
      <c r="G16" s="977"/>
      <c r="H16" s="977"/>
      <c r="I16" s="977"/>
      <c r="J16" s="977"/>
      <c r="K16" s="977"/>
      <c r="L16" s="977"/>
      <c r="M16" s="977"/>
      <c r="N16" s="977"/>
      <c r="O16" s="977"/>
      <c r="P16" s="977"/>
      <c r="Q16" s="977"/>
      <c r="R16" s="977"/>
      <c r="S16" s="977"/>
      <c r="T16" s="977"/>
      <c r="U16" s="977"/>
      <c r="V16" s="977"/>
      <c r="W16" s="977"/>
      <c r="X16" s="977"/>
      <c r="Y16" s="977"/>
      <c r="Z16" s="977"/>
      <c r="AA16" s="977"/>
      <c r="AB16" s="977"/>
      <c r="AC16" s="977"/>
      <c r="AD16" s="977"/>
      <c r="AE16" s="977"/>
      <c r="AF16" s="977"/>
      <c r="AG16" s="977"/>
      <c r="AH16" s="977"/>
      <c r="AI16" s="976"/>
    </row>
    <row r="17" spans="1:80" s="738" customFormat="1" ht="15" thickBot="1" x14ac:dyDescent="0.3">
      <c r="A17" s="59"/>
      <c r="B17" s="754" t="s">
        <v>52</v>
      </c>
      <c r="C17" s="755">
        <f t="shared" ref="C17:AG17" si="3">+C18+C23+C25+C27+C28+C33</f>
        <v>2271.9626382278757</v>
      </c>
      <c r="D17" s="755">
        <f t="shared" si="3"/>
        <v>1069.254762757696</v>
      </c>
      <c r="E17" s="755">
        <f t="shared" si="3"/>
        <v>615.97959469422551</v>
      </c>
      <c r="F17" s="755">
        <f t="shared" si="3"/>
        <v>535.63666117526577</v>
      </c>
      <c r="G17" s="755">
        <f t="shared" si="3"/>
        <v>479.87769675444548</v>
      </c>
      <c r="H17" s="755">
        <f t="shared" si="3"/>
        <v>424.9007766461657</v>
      </c>
      <c r="I17" s="755">
        <f t="shared" si="3"/>
        <v>367.65164619180774</v>
      </c>
      <c r="J17" s="755">
        <f t="shared" si="3"/>
        <v>316.82496086350307</v>
      </c>
      <c r="K17" s="755">
        <f t="shared" si="3"/>
        <v>271.69405997749362</v>
      </c>
      <c r="L17" s="755">
        <f t="shared" si="3"/>
        <v>216.25322361181139</v>
      </c>
      <c r="M17" s="755">
        <f t="shared" si="3"/>
        <v>169.48966469174613</v>
      </c>
      <c r="N17" s="755">
        <f t="shared" si="3"/>
        <v>143.83600638057464</v>
      </c>
      <c r="O17" s="755">
        <f t="shared" si="3"/>
        <v>122.42692710400519</v>
      </c>
      <c r="P17" s="755">
        <f t="shared" si="3"/>
        <v>102.42194652260608</v>
      </c>
      <c r="Q17" s="755">
        <f t="shared" si="3"/>
        <v>84.4137068063051</v>
      </c>
      <c r="R17" s="755">
        <f t="shared" si="3"/>
        <v>67.913954449216121</v>
      </c>
      <c r="S17" s="755">
        <f t="shared" si="3"/>
        <v>54.125392687259101</v>
      </c>
      <c r="T17" s="755">
        <f t="shared" si="3"/>
        <v>42.833212201668402</v>
      </c>
      <c r="U17" s="755">
        <f t="shared" si="3"/>
        <v>35.855741935744518</v>
      </c>
      <c r="V17" s="755">
        <f t="shared" si="3"/>
        <v>29.851556307759537</v>
      </c>
      <c r="W17" s="755">
        <f t="shared" si="3"/>
        <v>24.60105277131608</v>
      </c>
      <c r="X17" s="755">
        <f t="shared" si="3"/>
        <v>19.803799436926333</v>
      </c>
      <c r="Y17" s="755">
        <f t="shared" si="3"/>
        <v>15.627287606057845</v>
      </c>
      <c r="Z17" s="755">
        <f t="shared" si="3"/>
        <v>12.192646361354701</v>
      </c>
      <c r="AA17" s="755">
        <f t="shared" si="3"/>
        <v>9.1935467887394946</v>
      </c>
      <c r="AB17" s="755">
        <f t="shared" si="3"/>
        <v>6.5679134361242895</v>
      </c>
      <c r="AC17" s="755">
        <f t="shared" si="3"/>
        <v>4.5303724072174054</v>
      </c>
      <c r="AD17" s="755">
        <f t="shared" si="3"/>
        <v>2.761198147779679</v>
      </c>
      <c r="AE17" s="755">
        <f t="shared" si="3"/>
        <v>1.4118395567215762</v>
      </c>
      <c r="AF17" s="755">
        <f t="shared" si="3"/>
        <v>0.38388737254927063</v>
      </c>
      <c r="AG17" s="755">
        <f t="shared" si="3"/>
        <v>7.5848600000000016E-2</v>
      </c>
      <c r="AH17" s="780">
        <f t="shared" ref="AH17:AH35" si="4">+SUM(C17:AG17)</f>
        <v>7520.3535224719608</v>
      </c>
      <c r="AI17" s="976"/>
    </row>
    <row r="18" spans="1:80" s="738" customFormat="1" x14ac:dyDescent="0.25">
      <c r="B18" s="806" t="s">
        <v>62</v>
      </c>
      <c r="C18" s="757">
        <f t="shared" ref="C18:AF18" si="5">SUM(C19:C22)</f>
        <v>1754.3599055840541</v>
      </c>
      <c r="D18" s="757">
        <f t="shared" si="5"/>
        <v>902.17770476778037</v>
      </c>
      <c r="E18" s="757">
        <f t="shared" si="5"/>
        <v>467.34210047971567</v>
      </c>
      <c r="F18" s="757">
        <f t="shared" si="5"/>
        <v>403.08499084855936</v>
      </c>
      <c r="G18" s="757">
        <f t="shared" si="5"/>
        <v>362.8663046436431</v>
      </c>
      <c r="H18" s="757">
        <f t="shared" si="5"/>
        <v>325.51474321118889</v>
      </c>
      <c r="I18" s="757">
        <f t="shared" si="5"/>
        <v>289.80394010264189</v>
      </c>
      <c r="J18" s="757">
        <f t="shared" si="5"/>
        <v>253.99702770917807</v>
      </c>
      <c r="K18" s="757">
        <f t="shared" si="5"/>
        <v>221.77722021917808</v>
      </c>
      <c r="L18" s="757">
        <f t="shared" si="5"/>
        <v>189.84205224917807</v>
      </c>
      <c r="M18" s="757">
        <f t="shared" si="5"/>
        <v>160.73808210657535</v>
      </c>
      <c r="N18" s="757">
        <f t="shared" si="5"/>
        <v>137.10152429917807</v>
      </c>
      <c r="O18" s="757">
        <f t="shared" si="5"/>
        <v>116.88981967917807</v>
      </c>
      <c r="P18" s="757">
        <f t="shared" si="5"/>
        <v>97.923147619178067</v>
      </c>
      <c r="Q18" s="757">
        <f t="shared" si="5"/>
        <v>80.949818920958904</v>
      </c>
      <c r="R18" s="757">
        <f t="shared" si="5"/>
        <v>65.479896719178072</v>
      </c>
      <c r="S18" s="757">
        <f t="shared" si="5"/>
        <v>52.603552819178077</v>
      </c>
      <c r="T18" s="757">
        <f t="shared" si="5"/>
        <v>42.693053559178075</v>
      </c>
      <c r="U18" s="757">
        <f t="shared" si="5"/>
        <v>35.761119255342464</v>
      </c>
      <c r="V18" s="757">
        <f t="shared" si="5"/>
        <v>29.787675812550692</v>
      </c>
      <c r="W18" s="757">
        <f t="shared" si="5"/>
        <v>24.567042471492599</v>
      </c>
      <c r="X18" s="757">
        <f t="shared" si="5"/>
        <v>19.794130957320291</v>
      </c>
      <c r="Y18" s="757">
        <f t="shared" si="5"/>
        <v>15.627287606057845</v>
      </c>
      <c r="Z18" s="757">
        <f t="shared" si="5"/>
        <v>12.192646361354701</v>
      </c>
      <c r="AA18" s="757">
        <f t="shared" si="5"/>
        <v>9.1935467887394946</v>
      </c>
      <c r="AB18" s="757">
        <f t="shared" si="5"/>
        <v>6.5679134361242895</v>
      </c>
      <c r="AC18" s="757">
        <f t="shared" si="5"/>
        <v>4.5303724072174054</v>
      </c>
      <c r="AD18" s="757">
        <f t="shared" si="5"/>
        <v>2.761198147779679</v>
      </c>
      <c r="AE18" s="757">
        <f t="shared" si="5"/>
        <v>1.4118395567215762</v>
      </c>
      <c r="AF18" s="757">
        <f t="shared" si="5"/>
        <v>0.38388737254927063</v>
      </c>
      <c r="AG18" s="757">
        <f t="shared" ref="AG18" si="6">SUM(AG19:AG22)</f>
        <v>7.5848600000000016E-2</v>
      </c>
      <c r="AH18" s="757">
        <f t="shared" si="4"/>
        <v>6087.7993943109686</v>
      </c>
      <c r="AI18" s="978"/>
    </row>
    <row r="19" spans="1:80" s="738" customFormat="1" x14ac:dyDescent="0.25">
      <c r="B19" s="774" t="s">
        <v>63</v>
      </c>
      <c r="C19" s="759">
        <v>119.38807561000003</v>
      </c>
      <c r="D19" s="759">
        <v>117.81826468999999</v>
      </c>
      <c r="E19" s="759">
        <v>113.90907870000001</v>
      </c>
      <c r="F19" s="759">
        <v>109.23623511</v>
      </c>
      <c r="G19" s="759">
        <v>104.47799542999998</v>
      </c>
      <c r="H19" s="759">
        <v>98.75635235</v>
      </c>
      <c r="I19" s="759">
        <v>92.903524469999979</v>
      </c>
      <c r="J19" s="759">
        <v>86.579468639999988</v>
      </c>
      <c r="K19" s="759">
        <v>80.471010640000031</v>
      </c>
      <c r="L19" s="759">
        <v>74.362552640000018</v>
      </c>
      <c r="M19" s="759">
        <v>68.422172689999996</v>
      </c>
      <c r="N19" s="759">
        <v>62.145636640000006</v>
      </c>
      <c r="O19" s="759">
        <v>56.037178650000001</v>
      </c>
      <c r="P19" s="759">
        <v>49.928720629999987</v>
      </c>
      <c r="Q19" s="759">
        <v>43.934028600000019</v>
      </c>
      <c r="R19" s="759">
        <v>37.728100489999989</v>
      </c>
      <c r="S19" s="759">
        <v>32.182121680000002</v>
      </c>
      <c r="T19" s="759">
        <v>27.632032709999997</v>
      </c>
      <c r="U19" s="759">
        <v>24.456134319999997</v>
      </c>
      <c r="V19" s="759">
        <v>21.794254083372611</v>
      </c>
      <c r="W19" s="759">
        <v>19.220605522314514</v>
      </c>
      <c r="X19" s="759">
        <v>16.646956968142209</v>
      </c>
      <c r="Y19" s="759">
        <v>14.113185846057846</v>
      </c>
      <c r="Z19" s="759">
        <v>11.499659911354701</v>
      </c>
      <c r="AA19" s="759">
        <v>8.9481159087394939</v>
      </c>
      <c r="AB19" s="759">
        <v>6.5679134361242895</v>
      </c>
      <c r="AC19" s="759">
        <v>4.5303724072174054</v>
      </c>
      <c r="AD19" s="759">
        <v>2.761198147779679</v>
      </c>
      <c r="AE19" s="759">
        <v>1.4118395567215762</v>
      </c>
      <c r="AF19" s="759">
        <v>0.38388737254927063</v>
      </c>
      <c r="AG19" s="759">
        <v>7.5848600000000016E-2</v>
      </c>
      <c r="AH19" s="759">
        <f t="shared" si="4"/>
        <v>1508.3225224503735</v>
      </c>
      <c r="AI19" s="978"/>
    </row>
    <row r="20" spans="1:80" s="738" customFormat="1" x14ac:dyDescent="0.25">
      <c r="B20" s="807" t="s">
        <v>64</v>
      </c>
      <c r="C20" s="769">
        <v>301.59563039000022</v>
      </c>
      <c r="D20" s="769">
        <v>279.27785697000019</v>
      </c>
      <c r="E20" s="769">
        <v>255.91788655780817</v>
      </c>
      <c r="F20" s="769">
        <v>231.16922897917814</v>
      </c>
      <c r="G20" s="769">
        <v>207.64329674917815</v>
      </c>
      <c r="H20" s="761">
        <v>184.7587254691781</v>
      </c>
      <c r="I20" s="769">
        <v>162.75407159219176</v>
      </c>
      <c r="J20" s="769">
        <v>140.25973458917809</v>
      </c>
      <c r="K20" s="769">
        <v>119.43073038917805</v>
      </c>
      <c r="L20" s="769">
        <v>98.600763549178055</v>
      </c>
      <c r="M20" s="769">
        <v>79.358226606575343</v>
      </c>
      <c r="N20" s="769">
        <v>64.91482853917806</v>
      </c>
      <c r="O20" s="769">
        <v>53.098721149178068</v>
      </c>
      <c r="P20" s="769">
        <v>42.386208289178093</v>
      </c>
      <c r="Q20" s="769">
        <v>33.143195090958891</v>
      </c>
      <c r="R20" s="769">
        <v>25.09827898917808</v>
      </c>
      <c r="S20" s="769">
        <v>18.474999539178082</v>
      </c>
      <c r="T20" s="769">
        <v>13.821474139178079</v>
      </c>
      <c r="U20" s="769">
        <v>10.684447715342467</v>
      </c>
      <c r="V20" s="769">
        <v>7.862477529178082</v>
      </c>
      <c r="W20" s="769">
        <v>5.3464369491780825</v>
      </c>
      <c r="X20" s="769">
        <v>3.1471739891780821</v>
      </c>
      <c r="Y20" s="769">
        <v>1.51410176</v>
      </c>
      <c r="Z20" s="769">
        <v>0.69298645000000003</v>
      </c>
      <c r="AA20" s="769">
        <v>0.24543088000000002</v>
      </c>
      <c r="AB20" s="769">
        <v>0</v>
      </c>
      <c r="AC20" s="769">
        <v>0</v>
      </c>
      <c r="AD20" s="769">
        <v>0</v>
      </c>
      <c r="AE20" s="769">
        <v>0</v>
      </c>
      <c r="AF20" s="769">
        <v>0</v>
      </c>
      <c r="AG20" s="769">
        <v>0</v>
      </c>
      <c r="AH20" s="761">
        <f t="shared" si="4"/>
        <v>2341.1969128505484</v>
      </c>
    </row>
    <row r="21" spans="1:80" s="738" customFormat="1" x14ac:dyDescent="0.25">
      <c r="B21" s="763" t="s">
        <v>578</v>
      </c>
      <c r="C21" s="808">
        <v>1234.624985346396</v>
      </c>
      <c r="D21" s="808">
        <v>415.49191881035694</v>
      </c>
      <c r="E21" s="808">
        <v>20.697284828551435</v>
      </c>
      <c r="F21" s="808">
        <v>0</v>
      </c>
      <c r="G21" s="808">
        <v>0</v>
      </c>
      <c r="H21" s="762">
        <v>0</v>
      </c>
      <c r="I21" s="808">
        <v>0</v>
      </c>
      <c r="J21" s="808">
        <v>0</v>
      </c>
      <c r="K21" s="808">
        <v>0</v>
      </c>
      <c r="L21" s="808">
        <v>0</v>
      </c>
      <c r="M21" s="808">
        <v>0</v>
      </c>
      <c r="N21" s="808">
        <v>0</v>
      </c>
      <c r="O21" s="808">
        <v>0</v>
      </c>
      <c r="P21" s="808">
        <v>0</v>
      </c>
      <c r="Q21" s="808">
        <v>0</v>
      </c>
      <c r="R21" s="808">
        <v>0</v>
      </c>
      <c r="S21" s="808">
        <v>0</v>
      </c>
      <c r="T21" s="808">
        <v>0</v>
      </c>
      <c r="U21" s="808">
        <v>0</v>
      </c>
      <c r="V21" s="808">
        <v>0</v>
      </c>
      <c r="W21" s="808">
        <v>0</v>
      </c>
      <c r="X21" s="808">
        <v>0</v>
      </c>
      <c r="Y21" s="808">
        <v>0</v>
      </c>
      <c r="Z21" s="808">
        <v>0</v>
      </c>
      <c r="AA21" s="808">
        <v>0</v>
      </c>
      <c r="AB21" s="808">
        <v>0</v>
      </c>
      <c r="AC21" s="808">
        <v>0</v>
      </c>
      <c r="AD21" s="808">
        <v>0</v>
      </c>
      <c r="AE21" s="808">
        <v>0</v>
      </c>
      <c r="AF21" s="808">
        <v>0</v>
      </c>
      <c r="AG21" s="808">
        <v>0</v>
      </c>
      <c r="AH21" s="761">
        <f t="shared" si="4"/>
        <v>1670.8141889853043</v>
      </c>
    </row>
    <row r="22" spans="1:80" s="738" customFormat="1" x14ac:dyDescent="0.25">
      <c r="B22" s="763" t="s">
        <v>65</v>
      </c>
      <c r="C22" s="808">
        <v>98.751214237657877</v>
      </c>
      <c r="D22" s="808">
        <v>89.589664297423212</v>
      </c>
      <c r="E22" s="808">
        <v>76.817850393356053</v>
      </c>
      <c r="F22" s="808">
        <v>62.679526759381197</v>
      </c>
      <c r="G22" s="808">
        <v>50.745012464464992</v>
      </c>
      <c r="H22" s="762">
        <v>41.999665392010783</v>
      </c>
      <c r="I22" s="808">
        <v>34.146344040450145</v>
      </c>
      <c r="J22" s="808">
        <v>27.157824479999999</v>
      </c>
      <c r="K22" s="808">
        <v>21.87547919</v>
      </c>
      <c r="L22" s="808">
        <v>16.878736060000001</v>
      </c>
      <c r="M22" s="808">
        <v>12.957682809999998</v>
      </c>
      <c r="N22" s="808">
        <v>10.041059119999998</v>
      </c>
      <c r="O22" s="808">
        <v>7.7539198800000007</v>
      </c>
      <c r="P22" s="808">
        <v>5.608218700000001</v>
      </c>
      <c r="Q22" s="808">
        <v>3.8725952300000004</v>
      </c>
      <c r="R22" s="808">
        <v>2.6535172399999998</v>
      </c>
      <c r="S22" s="808">
        <v>1.9464315999999999</v>
      </c>
      <c r="T22" s="808">
        <v>1.2395467099999999</v>
      </c>
      <c r="U22" s="808">
        <v>0.62053721999999989</v>
      </c>
      <c r="V22" s="808">
        <v>0.13094420000000001</v>
      </c>
      <c r="W22" s="808">
        <v>0</v>
      </c>
      <c r="X22" s="808">
        <v>0</v>
      </c>
      <c r="Y22" s="808">
        <v>0</v>
      </c>
      <c r="Z22" s="808">
        <v>0</v>
      </c>
      <c r="AA22" s="808">
        <v>0</v>
      </c>
      <c r="AB22" s="808">
        <v>0</v>
      </c>
      <c r="AC22" s="808">
        <v>0</v>
      </c>
      <c r="AD22" s="808">
        <v>0</v>
      </c>
      <c r="AE22" s="808">
        <v>0</v>
      </c>
      <c r="AF22" s="808">
        <v>0</v>
      </c>
      <c r="AG22" s="808">
        <v>0</v>
      </c>
      <c r="AH22" s="762">
        <f t="shared" si="4"/>
        <v>567.46577002474442</v>
      </c>
    </row>
    <row r="23" spans="1:80" s="738" customFormat="1" x14ac:dyDescent="0.25">
      <c r="B23" s="784" t="s">
        <v>66</v>
      </c>
      <c r="C23" s="765">
        <f t="shared" ref="C23:AG23" si="7">+C24</f>
        <v>37.937154139955886</v>
      </c>
      <c r="D23" s="765">
        <f t="shared" si="7"/>
        <v>37.937154139955886</v>
      </c>
      <c r="E23" s="765">
        <f t="shared" si="7"/>
        <v>38.014452253032871</v>
      </c>
      <c r="F23" s="765">
        <f t="shared" si="7"/>
        <v>37.937154139955886</v>
      </c>
      <c r="G23" s="765">
        <f t="shared" si="7"/>
        <v>37.937154139955886</v>
      </c>
      <c r="H23" s="765">
        <f t="shared" si="7"/>
        <v>36.035895974408795</v>
      </c>
      <c r="I23" s="765">
        <f t="shared" si="7"/>
        <v>30.409419590844514</v>
      </c>
      <c r="J23" s="765">
        <f t="shared" si="7"/>
        <v>30.332121477767533</v>
      </c>
      <c r="K23" s="765">
        <f t="shared" si="7"/>
        <v>29.472700476638554</v>
      </c>
      <c r="L23" s="765">
        <f t="shared" si="7"/>
        <v>14.072898254932802</v>
      </c>
      <c r="M23" s="765">
        <f t="shared" si="7"/>
        <v>0</v>
      </c>
      <c r="N23" s="765">
        <f t="shared" si="7"/>
        <v>0</v>
      </c>
      <c r="O23" s="765">
        <f t="shared" si="7"/>
        <v>0</v>
      </c>
      <c r="P23" s="765">
        <f t="shared" si="7"/>
        <v>0</v>
      </c>
      <c r="Q23" s="765">
        <f t="shared" si="7"/>
        <v>0</v>
      </c>
      <c r="R23" s="765">
        <f t="shared" si="7"/>
        <v>0</v>
      </c>
      <c r="S23" s="765">
        <f t="shared" si="7"/>
        <v>0</v>
      </c>
      <c r="T23" s="765">
        <f t="shared" si="7"/>
        <v>0</v>
      </c>
      <c r="U23" s="765">
        <f t="shared" si="7"/>
        <v>0</v>
      </c>
      <c r="V23" s="765">
        <f t="shared" si="7"/>
        <v>0</v>
      </c>
      <c r="W23" s="765">
        <f t="shared" si="7"/>
        <v>0</v>
      </c>
      <c r="X23" s="765">
        <f t="shared" si="7"/>
        <v>0</v>
      </c>
      <c r="Y23" s="765">
        <f t="shared" si="7"/>
        <v>0</v>
      </c>
      <c r="Z23" s="765">
        <f t="shared" si="7"/>
        <v>0</v>
      </c>
      <c r="AA23" s="765">
        <f t="shared" si="7"/>
        <v>0</v>
      </c>
      <c r="AB23" s="765">
        <f t="shared" si="7"/>
        <v>0</v>
      </c>
      <c r="AC23" s="765">
        <f t="shared" si="7"/>
        <v>0</v>
      </c>
      <c r="AD23" s="765">
        <f t="shared" si="7"/>
        <v>0</v>
      </c>
      <c r="AE23" s="765">
        <f t="shared" si="7"/>
        <v>0</v>
      </c>
      <c r="AF23" s="765">
        <f t="shared" si="7"/>
        <v>0</v>
      </c>
      <c r="AG23" s="765">
        <f t="shared" si="7"/>
        <v>0</v>
      </c>
      <c r="AH23" s="773">
        <f t="shared" si="4"/>
        <v>330.08610458744863</v>
      </c>
    </row>
    <row r="24" spans="1:80" s="738" customFormat="1" x14ac:dyDescent="0.25">
      <c r="B24" s="774" t="s">
        <v>67</v>
      </c>
      <c r="C24" s="766">
        <v>37.937154139955886</v>
      </c>
      <c r="D24" s="766">
        <v>37.937154139955886</v>
      </c>
      <c r="E24" s="766">
        <v>38.014452253032871</v>
      </c>
      <c r="F24" s="766">
        <v>37.937154139955886</v>
      </c>
      <c r="G24" s="766">
        <v>37.937154139955886</v>
      </c>
      <c r="H24" s="759">
        <v>36.035895974408795</v>
      </c>
      <c r="I24" s="766">
        <v>30.409419590844514</v>
      </c>
      <c r="J24" s="766">
        <v>30.332121477767533</v>
      </c>
      <c r="K24" s="766">
        <v>29.472700476638554</v>
      </c>
      <c r="L24" s="766">
        <v>14.072898254932802</v>
      </c>
      <c r="M24" s="766">
        <v>0</v>
      </c>
      <c r="N24" s="766">
        <v>0</v>
      </c>
      <c r="O24" s="766">
        <v>0</v>
      </c>
      <c r="P24" s="766">
        <v>0</v>
      </c>
      <c r="Q24" s="766">
        <v>0</v>
      </c>
      <c r="R24" s="766">
        <v>0</v>
      </c>
      <c r="S24" s="766">
        <v>0</v>
      </c>
      <c r="T24" s="766">
        <v>0</v>
      </c>
      <c r="U24" s="766">
        <v>0</v>
      </c>
      <c r="V24" s="766">
        <v>0</v>
      </c>
      <c r="W24" s="766">
        <v>0</v>
      </c>
      <c r="X24" s="766">
        <v>0</v>
      </c>
      <c r="Y24" s="766">
        <v>0</v>
      </c>
      <c r="Z24" s="766">
        <v>0</v>
      </c>
      <c r="AA24" s="766">
        <v>0</v>
      </c>
      <c r="AB24" s="766">
        <v>0</v>
      </c>
      <c r="AC24" s="766">
        <v>0</v>
      </c>
      <c r="AD24" s="766">
        <v>0</v>
      </c>
      <c r="AE24" s="766">
        <v>0</v>
      </c>
      <c r="AF24" s="766">
        <v>0</v>
      </c>
      <c r="AG24" s="766">
        <v>0</v>
      </c>
      <c r="AH24" s="759">
        <f t="shared" si="4"/>
        <v>330.08610458744863</v>
      </c>
    </row>
    <row r="25" spans="1:80" s="738" customFormat="1" x14ac:dyDescent="0.25">
      <c r="B25" s="784" t="s">
        <v>68</v>
      </c>
      <c r="C25" s="765">
        <f>+C26</f>
        <v>5.8612891016669391</v>
      </c>
      <c r="D25" s="765">
        <f t="shared" ref="D25:AG25" si="8">+D26</f>
        <v>4.9361827966040472</v>
      </c>
      <c r="E25" s="765">
        <f t="shared" si="8"/>
        <v>3.9918096834070784</v>
      </c>
      <c r="F25" s="765">
        <f t="shared" si="8"/>
        <v>3.0471621639297459</v>
      </c>
      <c r="G25" s="765">
        <f t="shared" si="8"/>
        <v>2.1911761266545415</v>
      </c>
      <c r="H25" s="765">
        <f t="shared" si="8"/>
        <v>1.3938338979197451</v>
      </c>
      <c r="I25" s="765">
        <f t="shared" si="8"/>
        <v>0.77145076730703632</v>
      </c>
      <c r="J25" s="765">
        <f t="shared" si="8"/>
        <v>0.42710055700807092</v>
      </c>
      <c r="K25" s="765">
        <f t="shared" si="8"/>
        <v>0.18373335227918608</v>
      </c>
      <c r="L25" s="765">
        <f t="shared" si="8"/>
        <v>6.5257064908491522E-2</v>
      </c>
      <c r="M25" s="765">
        <f t="shared" si="8"/>
        <v>0</v>
      </c>
      <c r="N25" s="765">
        <f t="shared" si="8"/>
        <v>0</v>
      </c>
      <c r="O25" s="765">
        <f t="shared" si="8"/>
        <v>0</v>
      </c>
      <c r="P25" s="765">
        <f t="shared" si="8"/>
        <v>0</v>
      </c>
      <c r="Q25" s="765">
        <f t="shared" si="8"/>
        <v>0</v>
      </c>
      <c r="R25" s="765">
        <f t="shared" si="8"/>
        <v>0</v>
      </c>
      <c r="S25" s="765">
        <f t="shared" si="8"/>
        <v>0</v>
      </c>
      <c r="T25" s="765">
        <f t="shared" si="8"/>
        <v>0</v>
      </c>
      <c r="U25" s="765">
        <f t="shared" si="8"/>
        <v>0</v>
      </c>
      <c r="V25" s="765">
        <f t="shared" si="8"/>
        <v>0</v>
      </c>
      <c r="W25" s="765">
        <f t="shared" si="8"/>
        <v>0</v>
      </c>
      <c r="X25" s="765">
        <f t="shared" si="8"/>
        <v>0</v>
      </c>
      <c r="Y25" s="765">
        <f t="shared" si="8"/>
        <v>0</v>
      </c>
      <c r="Z25" s="765">
        <f t="shared" si="8"/>
        <v>0</v>
      </c>
      <c r="AA25" s="765">
        <f t="shared" si="8"/>
        <v>0</v>
      </c>
      <c r="AB25" s="765">
        <f t="shared" si="8"/>
        <v>0</v>
      </c>
      <c r="AC25" s="765">
        <f t="shared" si="8"/>
        <v>0</v>
      </c>
      <c r="AD25" s="765">
        <f t="shared" si="8"/>
        <v>0</v>
      </c>
      <c r="AE25" s="765">
        <f t="shared" si="8"/>
        <v>0</v>
      </c>
      <c r="AF25" s="765">
        <f t="shared" si="8"/>
        <v>0</v>
      </c>
      <c r="AG25" s="765">
        <f t="shared" si="8"/>
        <v>0</v>
      </c>
      <c r="AH25" s="773">
        <f t="shared" si="4"/>
        <v>22.868995511684879</v>
      </c>
    </row>
    <row r="26" spans="1:80" s="738" customFormat="1" x14ac:dyDescent="0.25">
      <c r="B26" s="807" t="s">
        <v>69</v>
      </c>
      <c r="C26" s="769">
        <v>5.8612891016669391</v>
      </c>
      <c r="D26" s="769">
        <v>4.9361827966040472</v>
      </c>
      <c r="E26" s="769">
        <v>3.9918096834070784</v>
      </c>
      <c r="F26" s="769">
        <v>3.0471621639297459</v>
      </c>
      <c r="G26" s="769">
        <v>2.1911761266545415</v>
      </c>
      <c r="H26" s="769">
        <v>1.3938338979197451</v>
      </c>
      <c r="I26" s="769">
        <v>0.77145076730703632</v>
      </c>
      <c r="J26" s="769">
        <v>0.42710055700807092</v>
      </c>
      <c r="K26" s="769">
        <v>0.18373335227918608</v>
      </c>
      <c r="L26" s="769">
        <v>6.5257064908491522E-2</v>
      </c>
      <c r="M26" s="769">
        <v>0</v>
      </c>
      <c r="N26" s="769">
        <v>0</v>
      </c>
      <c r="O26" s="769">
        <v>0</v>
      </c>
      <c r="P26" s="769">
        <v>0</v>
      </c>
      <c r="Q26" s="769">
        <v>0</v>
      </c>
      <c r="R26" s="769">
        <v>0</v>
      </c>
      <c r="S26" s="769">
        <v>0</v>
      </c>
      <c r="T26" s="769">
        <v>0</v>
      </c>
      <c r="U26" s="769">
        <v>0</v>
      </c>
      <c r="V26" s="769">
        <v>0</v>
      </c>
      <c r="W26" s="769">
        <v>0</v>
      </c>
      <c r="X26" s="769">
        <v>0</v>
      </c>
      <c r="Y26" s="769">
        <v>0</v>
      </c>
      <c r="Z26" s="769">
        <v>0</v>
      </c>
      <c r="AA26" s="769">
        <v>0</v>
      </c>
      <c r="AB26" s="769">
        <v>0</v>
      </c>
      <c r="AC26" s="769">
        <v>0</v>
      </c>
      <c r="AD26" s="769">
        <v>0</v>
      </c>
      <c r="AE26" s="769">
        <v>0</v>
      </c>
      <c r="AF26" s="769">
        <v>0</v>
      </c>
      <c r="AG26" s="769">
        <v>0</v>
      </c>
      <c r="AH26" s="761">
        <f t="shared" si="4"/>
        <v>22.868995511684879</v>
      </c>
    </row>
    <row r="27" spans="1:80" s="738" customFormat="1" x14ac:dyDescent="0.25">
      <c r="B27" s="784" t="s">
        <v>70</v>
      </c>
      <c r="C27" s="765">
        <v>429.44351536824985</v>
      </c>
      <c r="D27" s="765">
        <v>90.348228780574914</v>
      </c>
      <c r="E27" s="765">
        <v>77.658285769936214</v>
      </c>
      <c r="F27" s="765">
        <v>64.800922946025381</v>
      </c>
      <c r="G27" s="765">
        <v>52.179213511922022</v>
      </c>
      <c r="H27" s="773">
        <v>39.621557089259149</v>
      </c>
      <c r="I27" s="765">
        <v>27.131130444973131</v>
      </c>
      <c r="J27" s="765">
        <v>14.50713978514281</v>
      </c>
      <c r="K27" s="765">
        <v>5.9593426279378301</v>
      </c>
      <c r="L27" s="765">
        <v>3.2688692934557158</v>
      </c>
      <c r="M27" s="765">
        <v>1.9443625680066727</v>
      </c>
      <c r="N27" s="765">
        <v>0.86618896561559766</v>
      </c>
      <c r="O27" s="765">
        <v>0.60774120666852705</v>
      </c>
      <c r="P27" s="765">
        <v>0.50835958289178207</v>
      </c>
      <c r="Q27" s="765">
        <v>0.41237546619309184</v>
      </c>
      <c r="R27" s="765">
        <v>0.32147220850733138</v>
      </c>
      <c r="S27" s="765">
        <v>0.23081538102969637</v>
      </c>
      <c r="T27" s="765">
        <v>0.14015864249032869</v>
      </c>
      <c r="U27" s="765">
        <v>9.4622680402052434E-2</v>
      </c>
      <c r="V27" s="765">
        <v>6.3880495208844063E-2</v>
      </c>
      <c r="W27" s="765">
        <v>3.4010299823481846E-2</v>
      </c>
      <c r="X27" s="765">
        <v>9.6684796060406541E-3</v>
      </c>
      <c r="Y27" s="765">
        <v>0</v>
      </c>
      <c r="Z27" s="765">
        <v>0</v>
      </c>
      <c r="AA27" s="765">
        <v>0</v>
      </c>
      <c r="AB27" s="765">
        <v>0</v>
      </c>
      <c r="AC27" s="765">
        <v>0</v>
      </c>
      <c r="AD27" s="765">
        <v>0</v>
      </c>
      <c r="AE27" s="765">
        <v>0</v>
      </c>
      <c r="AF27" s="765">
        <v>0</v>
      </c>
      <c r="AG27" s="765">
        <v>0</v>
      </c>
      <c r="AH27" s="773">
        <f t="shared" si="4"/>
        <v>810.15186159392067</v>
      </c>
    </row>
    <row r="28" spans="1:80" s="738" customFormat="1" x14ac:dyDescent="0.25">
      <c r="B28" s="784" t="s">
        <v>360</v>
      </c>
      <c r="C28" s="765">
        <f>+C29+C31</f>
        <v>6.7012121376227034</v>
      </c>
      <c r="D28" s="765">
        <f t="shared" ref="D28:AG28" si="9">+D29+D31</f>
        <v>6.7012121376227034</v>
      </c>
      <c r="E28" s="765">
        <f t="shared" si="9"/>
        <v>6.7012121376227034</v>
      </c>
      <c r="F28" s="765">
        <f t="shared" si="9"/>
        <v>6.7012121376227034</v>
      </c>
      <c r="G28" s="765">
        <f t="shared" si="9"/>
        <v>6.7012121376227034</v>
      </c>
      <c r="H28" s="765">
        <f t="shared" si="9"/>
        <v>6.7012121376227034</v>
      </c>
      <c r="I28" s="765">
        <f t="shared" si="9"/>
        <v>6.7012121376227034</v>
      </c>
      <c r="J28" s="765">
        <f t="shared" si="9"/>
        <v>8.0452405606839772</v>
      </c>
      <c r="K28" s="765">
        <f t="shared" si="9"/>
        <v>8.6850738124088505</v>
      </c>
      <c r="L28" s="765">
        <f t="shared" si="9"/>
        <v>7.7461469147864763</v>
      </c>
      <c r="M28" s="765">
        <f t="shared" si="9"/>
        <v>6.8072200171641031</v>
      </c>
      <c r="N28" s="765">
        <f t="shared" si="9"/>
        <v>5.868293115780971</v>
      </c>
      <c r="O28" s="765">
        <f t="shared" si="9"/>
        <v>4.9293662181585969</v>
      </c>
      <c r="P28" s="765">
        <f t="shared" si="9"/>
        <v>3.9904393205362241</v>
      </c>
      <c r="Q28" s="765">
        <f t="shared" si="9"/>
        <v>3.0515124191530925</v>
      </c>
      <c r="R28" s="765">
        <f t="shared" si="9"/>
        <v>2.1125855215307192</v>
      </c>
      <c r="S28" s="765">
        <f t="shared" si="9"/>
        <v>1.2910244870513321</v>
      </c>
      <c r="T28" s="765">
        <f t="shared" si="9"/>
        <v>0</v>
      </c>
      <c r="U28" s="765">
        <f t="shared" si="9"/>
        <v>0</v>
      </c>
      <c r="V28" s="765">
        <f t="shared" si="9"/>
        <v>0</v>
      </c>
      <c r="W28" s="765">
        <f t="shared" si="9"/>
        <v>0</v>
      </c>
      <c r="X28" s="765">
        <f t="shared" si="9"/>
        <v>0</v>
      </c>
      <c r="Y28" s="765">
        <f t="shared" si="9"/>
        <v>0</v>
      </c>
      <c r="Z28" s="765">
        <f t="shared" si="9"/>
        <v>0</v>
      </c>
      <c r="AA28" s="765">
        <f t="shared" si="9"/>
        <v>0</v>
      </c>
      <c r="AB28" s="765">
        <f t="shared" si="9"/>
        <v>0</v>
      </c>
      <c r="AC28" s="765">
        <f t="shared" si="9"/>
        <v>0</v>
      </c>
      <c r="AD28" s="765">
        <f t="shared" si="9"/>
        <v>0</v>
      </c>
      <c r="AE28" s="765">
        <f t="shared" si="9"/>
        <v>0</v>
      </c>
      <c r="AF28" s="765">
        <f t="shared" si="9"/>
        <v>0</v>
      </c>
      <c r="AG28" s="765">
        <f t="shared" si="9"/>
        <v>0</v>
      </c>
      <c r="AH28" s="773">
        <f t="shared" si="4"/>
        <v>99.435387350613269</v>
      </c>
    </row>
    <row r="29" spans="1:80" s="738" customFormat="1" x14ac:dyDescent="0.25">
      <c r="B29" s="774" t="s">
        <v>67</v>
      </c>
      <c r="C29" s="766">
        <f t="shared" ref="C29:AG29" si="10">+C30</f>
        <v>6.7012121376227034</v>
      </c>
      <c r="D29" s="766">
        <f t="shared" si="10"/>
        <v>6.7012121376227034</v>
      </c>
      <c r="E29" s="766">
        <f t="shared" si="10"/>
        <v>6.7012121376227034</v>
      </c>
      <c r="F29" s="766">
        <f t="shared" si="10"/>
        <v>6.7012121376227034</v>
      </c>
      <c r="G29" s="766">
        <f t="shared" si="10"/>
        <v>6.7012121376227034</v>
      </c>
      <c r="H29" s="766">
        <f t="shared" si="10"/>
        <v>6.7012121376227034</v>
      </c>
      <c r="I29" s="766">
        <f t="shared" si="10"/>
        <v>6.7012121376227034</v>
      </c>
      <c r="J29" s="766">
        <f t="shared" si="10"/>
        <v>8.0452405606839772</v>
      </c>
      <c r="K29" s="766">
        <f t="shared" si="10"/>
        <v>8.6850738124088505</v>
      </c>
      <c r="L29" s="766">
        <f t="shared" si="10"/>
        <v>7.7461469147864763</v>
      </c>
      <c r="M29" s="766">
        <f t="shared" si="10"/>
        <v>6.8072200171641031</v>
      </c>
      <c r="N29" s="766">
        <f t="shared" si="10"/>
        <v>5.868293115780971</v>
      </c>
      <c r="O29" s="766">
        <f t="shared" si="10"/>
        <v>4.9293662181585969</v>
      </c>
      <c r="P29" s="766">
        <f t="shared" si="10"/>
        <v>3.9904393205362241</v>
      </c>
      <c r="Q29" s="766">
        <f t="shared" si="10"/>
        <v>3.0515124191530925</v>
      </c>
      <c r="R29" s="766">
        <f t="shared" si="10"/>
        <v>2.1125855215307192</v>
      </c>
      <c r="S29" s="766">
        <f t="shared" si="10"/>
        <v>1.2910244870513321</v>
      </c>
      <c r="T29" s="766">
        <f t="shared" si="10"/>
        <v>0</v>
      </c>
      <c r="U29" s="766">
        <f t="shared" si="10"/>
        <v>0</v>
      </c>
      <c r="V29" s="766">
        <f t="shared" si="10"/>
        <v>0</v>
      </c>
      <c r="W29" s="766">
        <f t="shared" si="10"/>
        <v>0</v>
      </c>
      <c r="X29" s="766">
        <f t="shared" si="10"/>
        <v>0</v>
      </c>
      <c r="Y29" s="766">
        <f t="shared" si="10"/>
        <v>0</v>
      </c>
      <c r="Z29" s="766">
        <f t="shared" si="10"/>
        <v>0</v>
      </c>
      <c r="AA29" s="766">
        <f t="shared" si="10"/>
        <v>0</v>
      </c>
      <c r="AB29" s="766">
        <f>+AB30</f>
        <v>0</v>
      </c>
      <c r="AC29" s="766">
        <f>+AC30</f>
        <v>0</v>
      </c>
      <c r="AD29" s="766">
        <f t="shared" si="10"/>
        <v>0</v>
      </c>
      <c r="AE29" s="766">
        <f t="shared" si="10"/>
        <v>0</v>
      </c>
      <c r="AF29" s="766">
        <f t="shared" si="10"/>
        <v>0</v>
      </c>
      <c r="AG29" s="766">
        <f t="shared" si="10"/>
        <v>0</v>
      </c>
      <c r="AH29" s="773">
        <f t="shared" si="4"/>
        <v>99.435387350613269</v>
      </c>
    </row>
    <row r="30" spans="1:80" s="753" customFormat="1" x14ac:dyDescent="0.25">
      <c r="A30" s="59"/>
      <c r="B30" s="807" t="s">
        <v>363</v>
      </c>
      <c r="C30" s="769">
        <v>6.7012121376227034</v>
      </c>
      <c r="D30" s="769">
        <v>6.7012121376227034</v>
      </c>
      <c r="E30" s="769">
        <v>6.7012121376227034</v>
      </c>
      <c r="F30" s="769">
        <v>6.7012121376227034</v>
      </c>
      <c r="G30" s="769">
        <v>6.7012121376227034</v>
      </c>
      <c r="H30" s="761">
        <v>6.7012121376227034</v>
      </c>
      <c r="I30" s="769">
        <v>6.7012121376227034</v>
      </c>
      <c r="J30" s="769">
        <v>8.0452405606839772</v>
      </c>
      <c r="K30" s="769">
        <v>8.6850738124088505</v>
      </c>
      <c r="L30" s="769">
        <v>7.7461469147864763</v>
      </c>
      <c r="M30" s="769">
        <v>6.8072200171641031</v>
      </c>
      <c r="N30" s="769">
        <v>5.868293115780971</v>
      </c>
      <c r="O30" s="769">
        <v>4.9293662181585969</v>
      </c>
      <c r="P30" s="769">
        <v>3.9904393205362241</v>
      </c>
      <c r="Q30" s="769">
        <v>3.0515124191530925</v>
      </c>
      <c r="R30" s="769">
        <v>2.1125855215307192</v>
      </c>
      <c r="S30" s="769">
        <v>1.2910244870513321</v>
      </c>
      <c r="T30" s="769">
        <v>0</v>
      </c>
      <c r="U30" s="769">
        <v>0</v>
      </c>
      <c r="V30" s="769">
        <v>0</v>
      </c>
      <c r="W30" s="769">
        <v>0</v>
      </c>
      <c r="X30" s="769">
        <v>0</v>
      </c>
      <c r="Y30" s="769">
        <v>0</v>
      </c>
      <c r="Z30" s="769">
        <v>0</v>
      </c>
      <c r="AA30" s="769">
        <v>0</v>
      </c>
      <c r="AB30" s="769">
        <v>0</v>
      </c>
      <c r="AC30" s="769">
        <v>0</v>
      </c>
      <c r="AD30" s="769">
        <v>0</v>
      </c>
      <c r="AE30" s="769">
        <v>0</v>
      </c>
      <c r="AF30" s="769">
        <v>0</v>
      </c>
      <c r="AG30" s="769">
        <v>0</v>
      </c>
      <c r="AH30" s="773">
        <f t="shared" si="4"/>
        <v>99.435387350613269</v>
      </c>
      <c r="AI30" s="738"/>
      <c r="AJ30" s="738"/>
      <c r="AK30" s="738"/>
      <c r="AL30" s="738"/>
      <c r="AM30" s="738"/>
      <c r="AN30" s="738"/>
      <c r="AO30" s="738"/>
      <c r="AP30" s="738"/>
      <c r="AQ30" s="738"/>
      <c r="AR30" s="738"/>
      <c r="AS30" s="738"/>
      <c r="AT30" s="738"/>
      <c r="AU30" s="738"/>
      <c r="AV30" s="738"/>
      <c r="AW30" s="738"/>
      <c r="AX30" s="738"/>
      <c r="AY30" s="738"/>
      <c r="AZ30" s="738"/>
      <c r="BA30" s="738"/>
      <c r="BB30" s="738"/>
      <c r="BC30" s="738"/>
      <c r="BD30" s="738"/>
      <c r="BE30" s="738"/>
      <c r="BF30" s="738"/>
      <c r="BG30" s="738"/>
      <c r="BH30" s="738"/>
      <c r="BI30" s="738"/>
      <c r="BJ30" s="738"/>
      <c r="BK30" s="738"/>
      <c r="BL30" s="738"/>
      <c r="BM30" s="738"/>
      <c r="BN30" s="738"/>
      <c r="BO30" s="738"/>
      <c r="BP30" s="738"/>
      <c r="BQ30" s="738"/>
      <c r="BR30" s="738"/>
      <c r="BS30" s="738"/>
      <c r="BT30" s="738"/>
      <c r="BU30" s="738"/>
      <c r="BV30" s="738"/>
      <c r="BW30" s="738"/>
      <c r="BX30" s="738"/>
      <c r="BY30" s="738"/>
      <c r="BZ30" s="738"/>
      <c r="CA30" s="738"/>
      <c r="CB30" s="738"/>
    </row>
    <row r="31" spans="1:80" s="753" customFormat="1" x14ac:dyDescent="0.25">
      <c r="A31" s="59"/>
      <c r="B31" s="774" t="s">
        <v>915</v>
      </c>
      <c r="C31" s="766">
        <f>+C32</f>
        <v>0</v>
      </c>
      <c r="D31" s="766">
        <f t="shared" ref="D31:AG31" si="11">+D32</f>
        <v>0</v>
      </c>
      <c r="E31" s="766">
        <f t="shared" si="11"/>
        <v>0</v>
      </c>
      <c r="F31" s="766">
        <f t="shared" si="11"/>
        <v>0</v>
      </c>
      <c r="G31" s="766">
        <f t="shared" si="11"/>
        <v>0</v>
      </c>
      <c r="H31" s="766">
        <f t="shared" si="11"/>
        <v>0</v>
      </c>
      <c r="I31" s="766">
        <f t="shared" si="11"/>
        <v>0</v>
      </c>
      <c r="J31" s="766">
        <f t="shared" si="11"/>
        <v>0</v>
      </c>
      <c r="K31" s="766">
        <f t="shared" si="11"/>
        <v>0</v>
      </c>
      <c r="L31" s="766">
        <f t="shared" si="11"/>
        <v>0</v>
      </c>
      <c r="M31" s="766">
        <f t="shared" si="11"/>
        <v>0</v>
      </c>
      <c r="N31" s="766">
        <f t="shared" si="11"/>
        <v>0</v>
      </c>
      <c r="O31" s="766">
        <f t="shared" si="11"/>
        <v>0</v>
      </c>
      <c r="P31" s="766">
        <f t="shared" si="11"/>
        <v>0</v>
      </c>
      <c r="Q31" s="766">
        <f t="shared" si="11"/>
        <v>0</v>
      </c>
      <c r="R31" s="766">
        <f t="shared" si="11"/>
        <v>0</v>
      </c>
      <c r="S31" s="766">
        <f t="shared" si="11"/>
        <v>0</v>
      </c>
      <c r="T31" s="766">
        <f t="shared" si="11"/>
        <v>0</v>
      </c>
      <c r="U31" s="766">
        <f t="shared" si="11"/>
        <v>0</v>
      </c>
      <c r="V31" s="766">
        <f t="shared" si="11"/>
        <v>0</v>
      </c>
      <c r="W31" s="766">
        <f t="shared" si="11"/>
        <v>0</v>
      </c>
      <c r="X31" s="766">
        <f t="shared" si="11"/>
        <v>0</v>
      </c>
      <c r="Y31" s="766">
        <f t="shared" si="11"/>
        <v>0</v>
      </c>
      <c r="Z31" s="766">
        <f t="shared" si="11"/>
        <v>0</v>
      </c>
      <c r="AA31" s="766">
        <f t="shared" si="11"/>
        <v>0</v>
      </c>
      <c r="AB31" s="766">
        <f t="shared" si="11"/>
        <v>0</v>
      </c>
      <c r="AC31" s="766">
        <f t="shared" si="11"/>
        <v>0</v>
      </c>
      <c r="AD31" s="766">
        <f t="shared" si="11"/>
        <v>0</v>
      </c>
      <c r="AE31" s="766">
        <f t="shared" si="11"/>
        <v>0</v>
      </c>
      <c r="AF31" s="766">
        <f t="shared" si="11"/>
        <v>0</v>
      </c>
      <c r="AG31" s="766">
        <f t="shared" si="11"/>
        <v>0</v>
      </c>
      <c r="AH31" s="773">
        <f t="shared" si="4"/>
        <v>0</v>
      </c>
      <c r="AI31" s="738"/>
      <c r="AJ31" s="738"/>
      <c r="AK31" s="738"/>
      <c r="AL31" s="738"/>
      <c r="AM31" s="738"/>
      <c r="AN31" s="738"/>
      <c r="AO31" s="738"/>
      <c r="AP31" s="738"/>
      <c r="AQ31" s="738"/>
      <c r="AR31" s="738"/>
      <c r="AS31" s="738"/>
      <c r="AT31" s="738"/>
      <c r="AU31" s="738"/>
      <c r="AV31" s="738"/>
      <c r="AW31" s="738"/>
      <c r="AX31" s="738"/>
      <c r="AY31" s="738"/>
      <c r="AZ31" s="738"/>
      <c r="BA31" s="738"/>
      <c r="BB31" s="738"/>
      <c r="BC31" s="738"/>
      <c r="BD31" s="738"/>
      <c r="BE31" s="738"/>
      <c r="BF31" s="738"/>
      <c r="BG31" s="738"/>
      <c r="BH31" s="738"/>
      <c r="BI31" s="738"/>
      <c r="BJ31" s="738"/>
      <c r="BK31" s="738"/>
      <c r="BL31" s="738"/>
      <c r="BM31" s="738"/>
      <c r="BN31" s="738"/>
      <c r="BO31" s="738"/>
      <c r="BP31" s="738"/>
      <c r="BQ31" s="738"/>
      <c r="BR31" s="738"/>
      <c r="BS31" s="738"/>
      <c r="BT31" s="738"/>
      <c r="BU31" s="738"/>
      <c r="BV31" s="738"/>
      <c r="BW31" s="738"/>
      <c r="BX31" s="738"/>
      <c r="BY31" s="738"/>
      <c r="BZ31" s="738"/>
      <c r="CA31" s="738"/>
      <c r="CB31" s="738"/>
    </row>
    <row r="32" spans="1:80" s="753" customFormat="1" x14ac:dyDescent="0.25">
      <c r="A32" s="59"/>
      <c r="B32" s="807" t="s">
        <v>916</v>
      </c>
      <c r="C32" s="769">
        <v>0</v>
      </c>
      <c r="D32" s="769">
        <v>0</v>
      </c>
      <c r="E32" s="769">
        <v>0</v>
      </c>
      <c r="F32" s="769">
        <v>0</v>
      </c>
      <c r="G32" s="769">
        <v>0</v>
      </c>
      <c r="H32" s="761">
        <v>0</v>
      </c>
      <c r="I32" s="769">
        <v>0</v>
      </c>
      <c r="J32" s="769">
        <v>0</v>
      </c>
      <c r="K32" s="769">
        <v>0</v>
      </c>
      <c r="L32" s="769">
        <v>0</v>
      </c>
      <c r="M32" s="769">
        <v>0</v>
      </c>
      <c r="N32" s="769">
        <v>0</v>
      </c>
      <c r="O32" s="769">
        <v>0</v>
      </c>
      <c r="P32" s="769">
        <v>0</v>
      </c>
      <c r="Q32" s="769">
        <v>0</v>
      </c>
      <c r="R32" s="769">
        <v>0</v>
      </c>
      <c r="S32" s="769">
        <v>0</v>
      </c>
      <c r="T32" s="769">
        <v>0</v>
      </c>
      <c r="U32" s="769">
        <v>0</v>
      </c>
      <c r="V32" s="769">
        <v>0</v>
      </c>
      <c r="W32" s="769">
        <v>0</v>
      </c>
      <c r="X32" s="769">
        <v>0</v>
      </c>
      <c r="Y32" s="769">
        <v>0</v>
      </c>
      <c r="Z32" s="769">
        <v>0</v>
      </c>
      <c r="AA32" s="769">
        <v>0</v>
      </c>
      <c r="AB32" s="769">
        <v>0</v>
      </c>
      <c r="AC32" s="769">
        <v>0</v>
      </c>
      <c r="AD32" s="769">
        <v>0</v>
      </c>
      <c r="AE32" s="769">
        <v>0</v>
      </c>
      <c r="AF32" s="769">
        <v>0</v>
      </c>
      <c r="AG32" s="769">
        <v>0</v>
      </c>
      <c r="AH32" s="773">
        <f t="shared" si="4"/>
        <v>0</v>
      </c>
      <c r="AI32" s="738"/>
      <c r="AJ32" s="738"/>
      <c r="AK32" s="738"/>
      <c r="AL32" s="738"/>
      <c r="AM32" s="738"/>
      <c r="AN32" s="738"/>
      <c r="AO32" s="738"/>
      <c r="AP32" s="738"/>
      <c r="AQ32" s="738"/>
      <c r="AR32" s="738"/>
      <c r="AS32" s="738"/>
      <c r="AT32" s="738"/>
      <c r="AU32" s="738"/>
      <c r="AV32" s="738"/>
      <c r="AW32" s="738"/>
      <c r="AX32" s="738"/>
      <c r="AY32" s="738"/>
      <c r="AZ32" s="738"/>
      <c r="BA32" s="738"/>
      <c r="BB32" s="738"/>
      <c r="BC32" s="738"/>
      <c r="BD32" s="738"/>
      <c r="BE32" s="738"/>
      <c r="BF32" s="738"/>
      <c r="BG32" s="738"/>
      <c r="BH32" s="738"/>
      <c r="BI32" s="738"/>
      <c r="BJ32" s="738"/>
      <c r="BK32" s="738"/>
      <c r="BL32" s="738"/>
      <c r="BM32" s="738"/>
      <c r="BN32" s="738"/>
      <c r="BO32" s="738"/>
      <c r="BP32" s="738"/>
      <c r="BQ32" s="738"/>
      <c r="BR32" s="738"/>
      <c r="BS32" s="738"/>
      <c r="BT32" s="738"/>
      <c r="BU32" s="738"/>
      <c r="BV32" s="738"/>
      <c r="BW32" s="738"/>
      <c r="BX32" s="738"/>
      <c r="BY32" s="738"/>
      <c r="BZ32" s="738"/>
      <c r="CA32" s="738"/>
      <c r="CB32" s="738"/>
    </row>
    <row r="33" spans="1:80" s="753" customFormat="1" x14ac:dyDescent="0.25">
      <c r="A33" s="59"/>
      <c r="B33" s="774" t="s">
        <v>677</v>
      </c>
      <c r="C33" s="766">
        <f t="shared" ref="C33:AF33" si="12">+C34+C35</f>
        <v>37.659561896326032</v>
      </c>
      <c r="D33" s="766">
        <f t="shared" si="12"/>
        <v>27.154280135158157</v>
      </c>
      <c r="E33" s="766">
        <f t="shared" si="12"/>
        <v>22.271734370510952</v>
      </c>
      <c r="F33" s="766">
        <f t="shared" si="12"/>
        <v>20.065218939172752</v>
      </c>
      <c r="G33" s="766">
        <f t="shared" si="12"/>
        <v>18.002636194647199</v>
      </c>
      <c r="H33" s="766">
        <f t="shared" si="12"/>
        <v>15.633534335766425</v>
      </c>
      <c r="I33" s="766">
        <f t="shared" si="12"/>
        <v>12.834493148418492</v>
      </c>
      <c r="J33" s="766">
        <f t="shared" si="12"/>
        <v>9.5163307737226273</v>
      </c>
      <c r="K33" s="766">
        <f t="shared" si="12"/>
        <v>5.6159894890510946</v>
      </c>
      <c r="L33" s="766">
        <f t="shared" si="12"/>
        <v>1.2579998345498782</v>
      </c>
      <c r="M33" s="766">
        <f t="shared" si="12"/>
        <v>0</v>
      </c>
      <c r="N33" s="766">
        <f t="shared" si="12"/>
        <v>0</v>
      </c>
      <c r="O33" s="766">
        <f t="shared" si="12"/>
        <v>0</v>
      </c>
      <c r="P33" s="766">
        <f t="shared" si="12"/>
        <v>0</v>
      </c>
      <c r="Q33" s="766">
        <f t="shared" si="12"/>
        <v>0</v>
      </c>
      <c r="R33" s="766">
        <f t="shared" si="12"/>
        <v>0</v>
      </c>
      <c r="S33" s="766">
        <f t="shared" si="12"/>
        <v>0</v>
      </c>
      <c r="T33" s="766">
        <f t="shared" si="12"/>
        <v>0</v>
      </c>
      <c r="U33" s="766">
        <f t="shared" si="12"/>
        <v>0</v>
      </c>
      <c r="V33" s="766">
        <f t="shared" si="12"/>
        <v>0</v>
      </c>
      <c r="W33" s="766">
        <f t="shared" si="12"/>
        <v>0</v>
      </c>
      <c r="X33" s="766">
        <f t="shared" si="12"/>
        <v>0</v>
      </c>
      <c r="Y33" s="766">
        <f t="shared" si="12"/>
        <v>0</v>
      </c>
      <c r="Z33" s="766">
        <f t="shared" si="12"/>
        <v>0</v>
      </c>
      <c r="AA33" s="766">
        <f t="shared" si="12"/>
        <v>0</v>
      </c>
      <c r="AB33" s="766">
        <f t="shared" si="12"/>
        <v>0</v>
      </c>
      <c r="AC33" s="766">
        <f t="shared" si="12"/>
        <v>0</v>
      </c>
      <c r="AD33" s="766">
        <f t="shared" si="12"/>
        <v>0</v>
      </c>
      <c r="AE33" s="766">
        <f t="shared" si="12"/>
        <v>0</v>
      </c>
      <c r="AF33" s="766">
        <f t="shared" si="12"/>
        <v>0</v>
      </c>
      <c r="AG33" s="766">
        <f t="shared" ref="AG33" si="13">+AG34+AG35</f>
        <v>0</v>
      </c>
      <c r="AH33" s="759">
        <f t="shared" si="4"/>
        <v>170.01177911732358</v>
      </c>
      <c r="AI33" s="738"/>
      <c r="AJ33" s="738"/>
      <c r="AK33" s="738"/>
      <c r="AL33" s="738"/>
      <c r="AM33" s="738"/>
      <c r="AN33" s="738"/>
      <c r="AO33" s="738"/>
      <c r="AP33" s="738"/>
      <c r="AQ33" s="738"/>
      <c r="AR33" s="738"/>
      <c r="AS33" s="738"/>
      <c r="AT33" s="738"/>
      <c r="AU33" s="738"/>
      <c r="AV33" s="738"/>
      <c r="AW33" s="738"/>
      <c r="AX33" s="738"/>
      <c r="AY33" s="738"/>
      <c r="AZ33" s="738"/>
      <c r="BA33" s="738"/>
      <c r="BB33" s="738"/>
      <c r="BC33" s="738"/>
      <c r="BD33" s="738"/>
      <c r="BE33" s="738"/>
      <c r="BF33" s="738"/>
      <c r="BG33" s="738"/>
      <c r="BH33" s="738"/>
      <c r="BI33" s="738"/>
      <c r="BJ33" s="738"/>
      <c r="BK33" s="738"/>
      <c r="BL33" s="738"/>
      <c r="BM33" s="738"/>
      <c r="BN33" s="738"/>
      <c r="BO33" s="738"/>
      <c r="BP33" s="738"/>
      <c r="BQ33" s="738"/>
      <c r="BR33" s="738"/>
      <c r="BS33" s="738"/>
      <c r="BT33" s="738"/>
      <c r="BU33" s="738"/>
      <c r="BV33" s="738"/>
      <c r="BW33" s="738"/>
      <c r="BX33" s="738"/>
      <c r="BY33" s="738"/>
      <c r="BZ33" s="738"/>
      <c r="CA33" s="738"/>
      <c r="CB33" s="738"/>
    </row>
    <row r="34" spans="1:80" s="753" customFormat="1" x14ac:dyDescent="0.25">
      <c r="A34" s="59"/>
      <c r="B34" s="774" t="s">
        <v>71</v>
      </c>
      <c r="C34" s="766">
        <v>24.849739406326034</v>
      </c>
      <c r="D34" s="766">
        <v>23.467039085158156</v>
      </c>
      <c r="E34" s="766">
        <v>21.894650890510952</v>
      </c>
      <c r="F34" s="766">
        <v>20.065218939172752</v>
      </c>
      <c r="G34" s="766">
        <v>18.002636194647199</v>
      </c>
      <c r="H34" s="759">
        <v>15.633534335766425</v>
      </c>
      <c r="I34" s="766">
        <v>12.834493148418492</v>
      </c>
      <c r="J34" s="766">
        <v>9.5163307737226273</v>
      </c>
      <c r="K34" s="766">
        <v>5.6159894890510946</v>
      </c>
      <c r="L34" s="766">
        <v>1.2579998345498782</v>
      </c>
      <c r="M34" s="766">
        <v>0</v>
      </c>
      <c r="N34" s="766">
        <v>0</v>
      </c>
      <c r="O34" s="766">
        <v>0</v>
      </c>
      <c r="P34" s="766">
        <v>0</v>
      </c>
      <c r="Q34" s="766">
        <v>0</v>
      </c>
      <c r="R34" s="766">
        <v>0</v>
      </c>
      <c r="S34" s="766">
        <v>0</v>
      </c>
      <c r="T34" s="766">
        <v>0</v>
      </c>
      <c r="U34" s="766">
        <v>0</v>
      </c>
      <c r="V34" s="766">
        <v>0</v>
      </c>
      <c r="W34" s="766">
        <v>0</v>
      </c>
      <c r="X34" s="766">
        <v>0</v>
      </c>
      <c r="Y34" s="766">
        <v>0</v>
      </c>
      <c r="Z34" s="766">
        <v>0</v>
      </c>
      <c r="AA34" s="766">
        <v>0</v>
      </c>
      <c r="AB34" s="766">
        <v>0</v>
      </c>
      <c r="AC34" s="766">
        <v>0</v>
      </c>
      <c r="AD34" s="766">
        <v>0</v>
      </c>
      <c r="AE34" s="766">
        <v>0</v>
      </c>
      <c r="AF34" s="766">
        <v>0</v>
      </c>
      <c r="AG34" s="766">
        <v>0</v>
      </c>
      <c r="AH34" s="759">
        <f t="shared" si="4"/>
        <v>153.1376320973236</v>
      </c>
      <c r="AI34" s="738"/>
      <c r="AJ34" s="738"/>
      <c r="AK34" s="738"/>
      <c r="AL34" s="738"/>
      <c r="AM34" s="738"/>
      <c r="AN34" s="738"/>
      <c r="AO34" s="738"/>
      <c r="AP34" s="738"/>
      <c r="AQ34" s="738"/>
      <c r="AR34" s="738"/>
      <c r="AS34" s="738"/>
      <c r="AT34" s="738"/>
      <c r="AU34" s="738"/>
      <c r="AV34" s="738"/>
      <c r="AW34" s="738"/>
      <c r="AX34" s="738"/>
      <c r="AY34" s="738"/>
      <c r="AZ34" s="738"/>
      <c r="BA34" s="738"/>
      <c r="BB34" s="738"/>
      <c r="BC34" s="738"/>
      <c r="BD34" s="738"/>
      <c r="BE34" s="738"/>
      <c r="BF34" s="738"/>
      <c r="BG34" s="738"/>
      <c r="BH34" s="738"/>
      <c r="BI34" s="738"/>
      <c r="BJ34" s="738"/>
      <c r="BK34" s="738"/>
      <c r="BL34" s="738"/>
      <c r="BM34" s="738"/>
      <c r="BN34" s="738"/>
      <c r="BO34" s="738"/>
      <c r="BP34" s="738"/>
      <c r="BQ34" s="738"/>
      <c r="BR34" s="738"/>
      <c r="BS34" s="738"/>
      <c r="BT34" s="738"/>
      <c r="BU34" s="738"/>
      <c r="BV34" s="738"/>
      <c r="BW34" s="738"/>
      <c r="BX34" s="738"/>
      <c r="BY34" s="738"/>
      <c r="BZ34" s="738"/>
      <c r="CA34" s="738"/>
      <c r="CB34" s="738"/>
    </row>
    <row r="35" spans="1:80" s="753" customFormat="1" x14ac:dyDescent="0.25">
      <c r="A35" s="59"/>
      <c r="B35" s="775" t="s">
        <v>69</v>
      </c>
      <c r="C35" s="811">
        <v>12.80982249</v>
      </c>
      <c r="D35" s="811">
        <v>3.6872410499999999</v>
      </c>
      <c r="E35" s="811">
        <v>0.37708348000000003</v>
      </c>
      <c r="F35" s="811">
        <v>0</v>
      </c>
      <c r="G35" s="811">
        <v>0</v>
      </c>
      <c r="H35" s="776">
        <v>0</v>
      </c>
      <c r="I35" s="811">
        <v>0</v>
      </c>
      <c r="J35" s="811">
        <v>0</v>
      </c>
      <c r="K35" s="811">
        <v>0</v>
      </c>
      <c r="L35" s="811">
        <v>0</v>
      </c>
      <c r="M35" s="811">
        <v>0</v>
      </c>
      <c r="N35" s="811">
        <v>0</v>
      </c>
      <c r="O35" s="811">
        <v>0</v>
      </c>
      <c r="P35" s="811">
        <v>0</v>
      </c>
      <c r="Q35" s="811">
        <v>0</v>
      </c>
      <c r="R35" s="811">
        <v>0</v>
      </c>
      <c r="S35" s="811">
        <v>0</v>
      </c>
      <c r="T35" s="811">
        <v>0</v>
      </c>
      <c r="U35" s="811">
        <v>0</v>
      </c>
      <c r="V35" s="811">
        <v>0</v>
      </c>
      <c r="W35" s="811">
        <v>0</v>
      </c>
      <c r="X35" s="811">
        <v>0</v>
      </c>
      <c r="Y35" s="811">
        <v>0</v>
      </c>
      <c r="Z35" s="811">
        <v>0</v>
      </c>
      <c r="AA35" s="811">
        <v>0</v>
      </c>
      <c r="AB35" s="811">
        <v>0</v>
      </c>
      <c r="AC35" s="811">
        <v>0</v>
      </c>
      <c r="AD35" s="811">
        <v>0</v>
      </c>
      <c r="AE35" s="811">
        <v>0</v>
      </c>
      <c r="AF35" s="811">
        <v>0</v>
      </c>
      <c r="AG35" s="811">
        <v>0</v>
      </c>
      <c r="AH35" s="776">
        <f t="shared" si="4"/>
        <v>16.874147019999999</v>
      </c>
      <c r="AI35" s="738"/>
      <c r="AJ35" s="738"/>
      <c r="AK35" s="738"/>
      <c r="AL35" s="738"/>
      <c r="AM35" s="738"/>
      <c r="AN35" s="738"/>
      <c r="AO35" s="738"/>
      <c r="AP35" s="738"/>
      <c r="AQ35" s="738"/>
      <c r="AR35" s="738"/>
      <c r="AS35" s="738"/>
      <c r="AT35" s="738"/>
      <c r="AU35" s="738"/>
      <c r="AV35" s="738"/>
      <c r="AW35" s="738"/>
      <c r="AX35" s="738"/>
      <c r="AY35" s="738"/>
      <c r="AZ35" s="738"/>
      <c r="BA35" s="738"/>
      <c r="BB35" s="738"/>
      <c r="BC35" s="738"/>
      <c r="BD35" s="738"/>
      <c r="BE35" s="738"/>
      <c r="BF35" s="738"/>
      <c r="BG35" s="738"/>
      <c r="BH35" s="738"/>
      <c r="BI35" s="738"/>
      <c r="BJ35" s="738"/>
      <c r="BK35" s="738"/>
      <c r="BL35" s="738"/>
      <c r="BM35" s="738"/>
      <c r="BN35" s="738"/>
      <c r="BO35" s="738"/>
      <c r="BP35" s="738"/>
      <c r="BQ35" s="738"/>
      <c r="BR35" s="738"/>
      <c r="BS35" s="738"/>
      <c r="BT35" s="738"/>
      <c r="BU35" s="738"/>
      <c r="BV35" s="738"/>
      <c r="BW35" s="738"/>
      <c r="BX35" s="738"/>
      <c r="BY35" s="738"/>
      <c r="BZ35" s="738"/>
      <c r="CA35" s="738"/>
      <c r="CB35" s="738"/>
    </row>
    <row r="36" spans="1:80" s="738" customFormat="1" ht="15" thickBot="1" x14ac:dyDescent="0.3">
      <c r="A36" s="59"/>
      <c r="B36" s="777"/>
      <c r="C36" s="809"/>
      <c r="D36" s="809"/>
      <c r="E36" s="809"/>
      <c r="F36" s="809"/>
      <c r="G36" s="809"/>
      <c r="H36" s="809"/>
      <c r="I36" s="809"/>
      <c r="J36" s="809"/>
      <c r="K36" s="809"/>
      <c r="L36" s="809"/>
      <c r="M36" s="809"/>
      <c r="N36" s="809"/>
      <c r="O36" s="809"/>
      <c r="P36" s="809"/>
      <c r="Q36" s="809"/>
      <c r="R36" s="809"/>
      <c r="S36" s="809"/>
      <c r="T36" s="809"/>
      <c r="U36" s="809"/>
      <c r="V36" s="809"/>
      <c r="W36" s="809"/>
      <c r="X36" s="809"/>
      <c r="Y36" s="809"/>
      <c r="Z36" s="809"/>
      <c r="AA36" s="809"/>
      <c r="AB36" s="809"/>
      <c r="AC36" s="809"/>
      <c r="AD36" s="809"/>
      <c r="AE36" s="809"/>
      <c r="AF36" s="809"/>
      <c r="AG36" s="809"/>
      <c r="AH36" s="809"/>
    </row>
    <row r="37" spans="1:80" s="738" customFormat="1" ht="15" thickBot="1" x14ac:dyDescent="0.3">
      <c r="A37" s="59"/>
      <c r="B37" s="754" t="s">
        <v>302</v>
      </c>
      <c r="C37" s="755">
        <f t="shared" ref="C37:AG37" si="14">+C38+C53+SUM(C65:C112)+C115</f>
        <v>3728.4749550590277</v>
      </c>
      <c r="D37" s="755">
        <f t="shared" si="14"/>
        <v>3305.3770283962017</v>
      </c>
      <c r="E37" s="755">
        <f t="shared" si="14"/>
        <v>3995.1744699782676</v>
      </c>
      <c r="F37" s="755">
        <f t="shared" si="14"/>
        <v>4198.6994810787419</v>
      </c>
      <c r="G37" s="755">
        <f t="shared" si="14"/>
        <v>4078.117562350576</v>
      </c>
      <c r="H37" s="755">
        <f t="shared" si="14"/>
        <v>3836.463081923042</v>
      </c>
      <c r="I37" s="755">
        <f t="shared" si="14"/>
        <v>4060.353904699647</v>
      </c>
      <c r="J37" s="755">
        <f t="shared" si="14"/>
        <v>3925.667563671745</v>
      </c>
      <c r="K37" s="755">
        <f t="shared" si="14"/>
        <v>3842.8707042119645</v>
      </c>
      <c r="L37" s="755">
        <f t="shared" si="14"/>
        <v>3507.2387146636102</v>
      </c>
      <c r="M37" s="755">
        <f t="shared" si="14"/>
        <v>2940.1521481581931</v>
      </c>
      <c r="N37" s="755">
        <f t="shared" si="14"/>
        <v>2374.7051507831334</v>
      </c>
      <c r="O37" s="755">
        <f t="shared" si="14"/>
        <v>1814.4282076980166</v>
      </c>
      <c r="P37" s="755">
        <f t="shared" si="14"/>
        <v>1269.6108347259828</v>
      </c>
      <c r="Q37" s="755">
        <f t="shared" si="14"/>
        <v>817.40230050655646</v>
      </c>
      <c r="R37" s="755">
        <f t="shared" si="14"/>
        <v>643.17052765324286</v>
      </c>
      <c r="S37" s="755">
        <f t="shared" si="14"/>
        <v>469.44863126229222</v>
      </c>
      <c r="T37" s="755">
        <f t="shared" si="14"/>
        <v>359.20117920970534</v>
      </c>
      <c r="U37" s="755">
        <f t="shared" si="14"/>
        <v>278.6326155774388</v>
      </c>
      <c r="V37" s="755">
        <f t="shared" si="14"/>
        <v>198.06405193030031</v>
      </c>
      <c r="W37" s="755">
        <f t="shared" si="14"/>
        <v>129.3654896819566</v>
      </c>
      <c r="X37" s="755">
        <f t="shared" si="14"/>
        <v>96.276931619911622</v>
      </c>
      <c r="Y37" s="755">
        <f t="shared" si="14"/>
        <v>63.188373550259875</v>
      </c>
      <c r="Z37" s="755">
        <f t="shared" si="14"/>
        <v>30.099815499582409</v>
      </c>
      <c r="AA37" s="755">
        <f t="shared" si="14"/>
        <v>3.9625477048346025</v>
      </c>
      <c r="AB37" s="755">
        <f t="shared" si="14"/>
        <v>0</v>
      </c>
      <c r="AC37" s="755">
        <f t="shared" si="14"/>
        <v>0</v>
      </c>
      <c r="AD37" s="755">
        <f t="shared" si="14"/>
        <v>0</v>
      </c>
      <c r="AE37" s="755">
        <f t="shared" si="14"/>
        <v>0</v>
      </c>
      <c r="AF37" s="755">
        <f t="shared" si="14"/>
        <v>0</v>
      </c>
      <c r="AG37" s="755">
        <f t="shared" si="14"/>
        <v>0</v>
      </c>
      <c r="AH37" s="780">
        <f t="shared" ref="AH37:AH100" si="15">+SUM(C37:AG37)</f>
        <v>49966.146271594225</v>
      </c>
    </row>
    <row r="38" spans="1:80" s="738" customFormat="1" x14ac:dyDescent="0.25">
      <c r="A38" s="59"/>
      <c r="B38" s="866" t="s">
        <v>73</v>
      </c>
      <c r="C38" s="823">
        <f>+C39+C42+C48+C50</f>
        <v>40.439609902889742</v>
      </c>
      <c r="D38" s="823">
        <f t="shared" ref="D38:AG38" si="16">+D39+D42+D48+D50</f>
        <v>38.496240382889738</v>
      </c>
      <c r="E38" s="823">
        <f t="shared" si="16"/>
        <v>38.496240382889738</v>
      </c>
      <c r="F38" s="823">
        <f t="shared" si="16"/>
        <v>38.496240382889738</v>
      </c>
      <c r="G38" s="823">
        <f t="shared" si="16"/>
        <v>38.496240382889738</v>
      </c>
      <c r="H38" s="823">
        <f t="shared" si="16"/>
        <v>38.496240382889738</v>
      </c>
      <c r="I38" s="823">
        <f t="shared" si="16"/>
        <v>38.496240382889738</v>
      </c>
      <c r="J38" s="823">
        <f t="shared" si="16"/>
        <v>46.230226883439663</v>
      </c>
      <c r="K38" s="823">
        <f t="shared" si="16"/>
        <v>49.916897330405348</v>
      </c>
      <c r="L38" s="823">
        <f t="shared" si="16"/>
        <v>44.520476015852545</v>
      </c>
      <c r="M38" s="823">
        <f t="shared" si="16"/>
        <v>39.124054668564725</v>
      </c>
      <c r="N38" s="823">
        <f t="shared" si="16"/>
        <v>33.727633329140204</v>
      </c>
      <c r="O38" s="823">
        <f t="shared" si="16"/>
        <v>28.331211989459131</v>
      </c>
      <c r="P38" s="823">
        <f t="shared" si="16"/>
        <v>22.934790643538825</v>
      </c>
      <c r="Q38" s="823">
        <f t="shared" si="16"/>
        <v>17.538369287618512</v>
      </c>
      <c r="R38" s="823">
        <f t="shared" si="16"/>
        <v>12.141947961698204</v>
      </c>
      <c r="S38" s="823">
        <f t="shared" si="16"/>
        <v>7.4213407240385676</v>
      </c>
      <c r="T38" s="823">
        <f t="shared" si="16"/>
        <v>0</v>
      </c>
      <c r="U38" s="823">
        <f t="shared" si="16"/>
        <v>0</v>
      </c>
      <c r="V38" s="823">
        <f t="shared" si="16"/>
        <v>0</v>
      </c>
      <c r="W38" s="823">
        <f t="shared" si="16"/>
        <v>0</v>
      </c>
      <c r="X38" s="823">
        <f t="shared" si="16"/>
        <v>0</v>
      </c>
      <c r="Y38" s="823">
        <f t="shared" si="16"/>
        <v>0</v>
      </c>
      <c r="Z38" s="823">
        <f t="shared" si="16"/>
        <v>0</v>
      </c>
      <c r="AA38" s="823">
        <f t="shared" si="16"/>
        <v>0</v>
      </c>
      <c r="AB38" s="823">
        <f t="shared" si="16"/>
        <v>0</v>
      </c>
      <c r="AC38" s="823">
        <f t="shared" si="16"/>
        <v>0</v>
      </c>
      <c r="AD38" s="823">
        <f t="shared" si="16"/>
        <v>0</v>
      </c>
      <c r="AE38" s="823">
        <f t="shared" si="16"/>
        <v>0</v>
      </c>
      <c r="AF38" s="823">
        <f t="shared" si="16"/>
        <v>0</v>
      </c>
      <c r="AG38" s="823">
        <f t="shared" si="16"/>
        <v>0</v>
      </c>
      <c r="AH38" s="867">
        <f t="shared" si="15"/>
        <v>573.30400103398381</v>
      </c>
    </row>
    <row r="39" spans="1:80" s="738" customFormat="1" x14ac:dyDescent="0.25">
      <c r="A39" s="59"/>
      <c r="B39" s="59" t="s">
        <v>19</v>
      </c>
      <c r="C39" s="788">
        <f>+C40+C41</f>
        <v>12.971678847763743</v>
      </c>
      <c r="D39" s="788">
        <f t="shared" ref="D39:AG39" si="17">+D40+D41</f>
        <v>12.971678847763743</v>
      </c>
      <c r="E39" s="788">
        <f t="shared" si="17"/>
        <v>12.971678847763743</v>
      </c>
      <c r="F39" s="788">
        <f t="shared" si="17"/>
        <v>12.971678847763743</v>
      </c>
      <c r="G39" s="788">
        <f t="shared" si="17"/>
        <v>12.971678847763743</v>
      </c>
      <c r="H39" s="788">
        <f t="shared" si="17"/>
        <v>12.971678847763743</v>
      </c>
      <c r="I39" s="788">
        <f t="shared" si="17"/>
        <v>12.971678847763743</v>
      </c>
      <c r="J39" s="788">
        <f t="shared" si="17"/>
        <v>15.573343254214496</v>
      </c>
      <c r="K39" s="788">
        <f t="shared" si="17"/>
        <v>16.81188207915795</v>
      </c>
      <c r="L39" s="788">
        <f t="shared" si="17"/>
        <v>14.994381313843578</v>
      </c>
      <c r="M39" s="788">
        <f t="shared" si="17"/>
        <v>13.176880548529203</v>
      </c>
      <c r="N39" s="788">
        <f t="shared" si="17"/>
        <v>11.359379786975591</v>
      </c>
      <c r="O39" s="788">
        <f t="shared" si="17"/>
        <v>9.5418790179004596</v>
      </c>
      <c r="P39" s="788">
        <f t="shared" si="17"/>
        <v>7.7243782525860869</v>
      </c>
      <c r="Q39" s="788">
        <f t="shared" si="17"/>
        <v>5.9068774872717116</v>
      </c>
      <c r="R39" s="788">
        <f t="shared" si="17"/>
        <v>4.0893767219573398</v>
      </c>
      <c r="S39" s="788">
        <f t="shared" si="17"/>
        <v>2.4990635523072631</v>
      </c>
      <c r="T39" s="788">
        <f t="shared" si="17"/>
        <v>0</v>
      </c>
      <c r="U39" s="788">
        <f t="shared" si="17"/>
        <v>0</v>
      </c>
      <c r="V39" s="788">
        <f t="shared" si="17"/>
        <v>0</v>
      </c>
      <c r="W39" s="788">
        <f t="shared" si="17"/>
        <v>0</v>
      </c>
      <c r="X39" s="788">
        <f t="shared" si="17"/>
        <v>0</v>
      </c>
      <c r="Y39" s="788">
        <f t="shared" si="17"/>
        <v>0</v>
      </c>
      <c r="Z39" s="788">
        <f t="shared" si="17"/>
        <v>0</v>
      </c>
      <c r="AA39" s="788">
        <f t="shared" si="17"/>
        <v>0</v>
      </c>
      <c r="AB39" s="788">
        <f t="shared" si="17"/>
        <v>0</v>
      </c>
      <c r="AC39" s="788">
        <f t="shared" si="17"/>
        <v>0</v>
      </c>
      <c r="AD39" s="788">
        <f t="shared" si="17"/>
        <v>0</v>
      </c>
      <c r="AE39" s="788">
        <f t="shared" si="17"/>
        <v>0</v>
      </c>
      <c r="AF39" s="788">
        <f t="shared" si="17"/>
        <v>0</v>
      </c>
      <c r="AG39" s="788">
        <f t="shared" si="17"/>
        <v>0</v>
      </c>
      <c r="AH39" s="822">
        <f t="shared" si="15"/>
        <v>192.47919394908988</v>
      </c>
    </row>
    <row r="40" spans="1:80" s="738" customFormat="1" x14ac:dyDescent="0.25">
      <c r="A40" s="59"/>
      <c r="B40" s="862" t="s">
        <v>236</v>
      </c>
      <c r="C40" s="788">
        <v>12.920294805865883</v>
      </c>
      <c r="D40" s="788">
        <v>12.920294805865883</v>
      </c>
      <c r="E40" s="788">
        <v>12.920294805865883</v>
      </c>
      <c r="F40" s="788">
        <v>12.920294805865883</v>
      </c>
      <c r="G40" s="788">
        <v>12.920294805865883</v>
      </c>
      <c r="H40" s="778">
        <v>12.920294805865883</v>
      </c>
      <c r="I40" s="788">
        <v>12.920294805865883</v>
      </c>
      <c r="J40" s="788">
        <v>15.511653372385052</v>
      </c>
      <c r="K40" s="788">
        <v>16.745286039537607</v>
      </c>
      <c r="L40" s="788">
        <v>14.934984847903641</v>
      </c>
      <c r="M40" s="788">
        <v>13.124683652508914</v>
      </c>
      <c r="N40" s="788">
        <v>11.314382460874949</v>
      </c>
      <c r="O40" s="788">
        <v>9.5040812654802238</v>
      </c>
      <c r="P40" s="788">
        <v>7.6937800738462565</v>
      </c>
      <c r="Q40" s="788">
        <v>5.8834788784515295</v>
      </c>
      <c r="R40" s="788">
        <v>4.0731776830568052</v>
      </c>
      <c r="S40" s="788">
        <v>2.4891641413172736</v>
      </c>
      <c r="T40" s="788">
        <v>0</v>
      </c>
      <c r="U40" s="788">
        <v>0</v>
      </c>
      <c r="V40" s="788">
        <v>0</v>
      </c>
      <c r="W40" s="788">
        <v>0</v>
      </c>
      <c r="X40" s="788">
        <v>0</v>
      </c>
      <c r="Y40" s="788">
        <v>0</v>
      </c>
      <c r="Z40" s="788">
        <v>0</v>
      </c>
      <c r="AA40" s="788">
        <v>0</v>
      </c>
      <c r="AB40" s="788">
        <v>0</v>
      </c>
      <c r="AC40" s="788">
        <v>0</v>
      </c>
      <c r="AD40" s="788">
        <v>0</v>
      </c>
      <c r="AE40" s="788">
        <v>0</v>
      </c>
      <c r="AF40" s="788">
        <v>0</v>
      </c>
      <c r="AG40" s="788">
        <v>0</v>
      </c>
      <c r="AH40" s="778">
        <f t="shared" si="15"/>
        <v>191.7167360564234</v>
      </c>
    </row>
    <row r="41" spans="1:80" s="738" customFormat="1" x14ac:dyDescent="0.25">
      <c r="B41" s="862" t="s">
        <v>237</v>
      </c>
      <c r="C41" s="788">
        <v>5.1384041897859299E-2</v>
      </c>
      <c r="D41" s="788">
        <v>5.1384041897859299E-2</v>
      </c>
      <c r="E41" s="788">
        <v>5.1384041897859299E-2</v>
      </c>
      <c r="F41" s="788">
        <v>5.1384041897859299E-2</v>
      </c>
      <c r="G41" s="788">
        <v>5.1384041897859299E-2</v>
      </c>
      <c r="H41" s="778">
        <v>5.1384041897859299E-2</v>
      </c>
      <c r="I41" s="788">
        <v>5.1384041897859299E-2</v>
      </c>
      <c r="J41" s="788">
        <v>6.1689881829443578E-2</v>
      </c>
      <c r="K41" s="788">
        <v>6.6596039620343897E-2</v>
      </c>
      <c r="L41" s="788">
        <v>5.9396465939937686E-2</v>
      </c>
      <c r="M41" s="788">
        <v>5.2196896020290047E-2</v>
      </c>
      <c r="N41" s="788">
        <v>4.4997326100642415E-2</v>
      </c>
      <c r="O41" s="788">
        <v>3.7797752420236197E-2</v>
      </c>
      <c r="P41" s="788">
        <v>3.0598178739829972E-2</v>
      </c>
      <c r="Q41" s="788">
        <v>2.339860882018234E-2</v>
      </c>
      <c r="R41" s="788">
        <v>1.6199038900534705E-2</v>
      </c>
      <c r="S41" s="788">
        <v>9.8994109899896137E-3</v>
      </c>
      <c r="T41" s="788">
        <v>0</v>
      </c>
      <c r="U41" s="788">
        <v>0</v>
      </c>
      <c r="V41" s="788">
        <v>0</v>
      </c>
      <c r="W41" s="788">
        <v>0</v>
      </c>
      <c r="X41" s="788">
        <v>0</v>
      </c>
      <c r="Y41" s="788">
        <v>0</v>
      </c>
      <c r="Z41" s="788">
        <v>0</v>
      </c>
      <c r="AA41" s="788">
        <v>0</v>
      </c>
      <c r="AB41" s="788">
        <v>0</v>
      </c>
      <c r="AC41" s="788">
        <v>0</v>
      </c>
      <c r="AD41" s="788">
        <v>0</v>
      </c>
      <c r="AE41" s="788">
        <v>0</v>
      </c>
      <c r="AF41" s="788">
        <v>0</v>
      </c>
      <c r="AG41" s="788">
        <v>0</v>
      </c>
      <c r="AH41" s="778">
        <f t="shared" si="15"/>
        <v>0.76245789266644548</v>
      </c>
    </row>
    <row r="42" spans="1:80" s="738" customFormat="1" x14ac:dyDescent="0.25">
      <c r="B42" s="59" t="s">
        <v>20</v>
      </c>
      <c r="C42" s="788">
        <f>+C43+C45</f>
        <v>4.5821826999999997</v>
      </c>
      <c r="D42" s="788">
        <f t="shared" ref="D42:AG42" si="18">+D43+D45</f>
        <v>2.6388131799999996</v>
      </c>
      <c r="E42" s="788">
        <f t="shared" si="18"/>
        <v>2.6388131799999996</v>
      </c>
      <c r="F42" s="788">
        <f t="shared" si="18"/>
        <v>2.6388131799999996</v>
      </c>
      <c r="G42" s="788">
        <f t="shared" si="18"/>
        <v>2.6388131799999996</v>
      </c>
      <c r="H42" s="788">
        <f t="shared" si="18"/>
        <v>2.6388131799999996</v>
      </c>
      <c r="I42" s="788">
        <f t="shared" si="18"/>
        <v>2.6388131799999996</v>
      </c>
      <c r="J42" s="788">
        <f t="shared" si="18"/>
        <v>3.1665758099999999</v>
      </c>
      <c r="K42" s="788">
        <f t="shared" si="18"/>
        <v>3.4172630299999995</v>
      </c>
      <c r="L42" s="788">
        <f t="shared" si="18"/>
        <v>3.0478291999999998</v>
      </c>
      <c r="M42" s="788">
        <f t="shared" si="18"/>
        <v>2.6783953599999997</v>
      </c>
      <c r="N42" s="788">
        <f t="shared" si="18"/>
        <v>2.3089614899999997</v>
      </c>
      <c r="O42" s="788">
        <f t="shared" si="18"/>
        <v>1.93952765</v>
      </c>
      <c r="P42" s="788">
        <f t="shared" si="18"/>
        <v>1.5700938</v>
      </c>
      <c r="Q42" s="788">
        <f t="shared" si="18"/>
        <v>1.20065994</v>
      </c>
      <c r="R42" s="788">
        <f t="shared" si="18"/>
        <v>0.83122611000000002</v>
      </c>
      <c r="S42" s="788">
        <f t="shared" si="18"/>
        <v>0.50923290999999993</v>
      </c>
      <c r="T42" s="788">
        <f t="shared" si="18"/>
        <v>0</v>
      </c>
      <c r="U42" s="788">
        <f t="shared" si="18"/>
        <v>0</v>
      </c>
      <c r="V42" s="788">
        <f t="shared" si="18"/>
        <v>0</v>
      </c>
      <c r="W42" s="788">
        <f t="shared" si="18"/>
        <v>0</v>
      </c>
      <c r="X42" s="788">
        <f t="shared" si="18"/>
        <v>0</v>
      </c>
      <c r="Y42" s="788">
        <f t="shared" si="18"/>
        <v>0</v>
      </c>
      <c r="Z42" s="788">
        <f t="shared" si="18"/>
        <v>0</v>
      </c>
      <c r="AA42" s="788">
        <f t="shared" si="18"/>
        <v>0</v>
      </c>
      <c r="AB42" s="788">
        <f t="shared" si="18"/>
        <v>0</v>
      </c>
      <c r="AC42" s="788">
        <f t="shared" si="18"/>
        <v>0</v>
      </c>
      <c r="AD42" s="788">
        <f t="shared" si="18"/>
        <v>0</v>
      </c>
      <c r="AE42" s="788">
        <f t="shared" si="18"/>
        <v>0</v>
      </c>
      <c r="AF42" s="788">
        <f t="shared" si="18"/>
        <v>0</v>
      </c>
      <c r="AG42" s="788">
        <f t="shared" si="18"/>
        <v>0</v>
      </c>
      <c r="AH42" s="778">
        <f t="shared" si="15"/>
        <v>41.084827080000011</v>
      </c>
    </row>
    <row r="43" spans="1:80" s="738" customFormat="1" x14ac:dyDescent="0.25">
      <c r="B43" s="862" t="s">
        <v>236</v>
      </c>
      <c r="C43" s="788">
        <f>+C44</f>
        <v>2.7174011499999997</v>
      </c>
      <c r="D43" s="788">
        <f t="shared" ref="D43:AG43" si="19">+D44</f>
        <v>1.08696046</v>
      </c>
      <c r="E43" s="788">
        <f t="shared" si="19"/>
        <v>1.08696046</v>
      </c>
      <c r="F43" s="788">
        <f t="shared" si="19"/>
        <v>1.08696046</v>
      </c>
      <c r="G43" s="788">
        <f t="shared" si="19"/>
        <v>1.08696046</v>
      </c>
      <c r="H43" s="788">
        <f t="shared" si="19"/>
        <v>1.08696046</v>
      </c>
      <c r="I43" s="788">
        <f t="shared" si="19"/>
        <v>1.08696046</v>
      </c>
      <c r="J43" s="788">
        <f t="shared" si="19"/>
        <v>1.3043525499999997</v>
      </c>
      <c r="K43" s="788">
        <f t="shared" si="19"/>
        <v>1.4076137799999997</v>
      </c>
      <c r="L43" s="788">
        <f t="shared" si="19"/>
        <v>1.2554393199999998</v>
      </c>
      <c r="M43" s="788">
        <f t="shared" si="19"/>
        <v>1.1032648599999999</v>
      </c>
      <c r="N43" s="788">
        <f t="shared" si="19"/>
        <v>0.95109039000000006</v>
      </c>
      <c r="O43" s="788">
        <f t="shared" si="19"/>
        <v>0.79891592999999994</v>
      </c>
      <c r="P43" s="788">
        <f t="shared" si="19"/>
        <v>0.64674146999999993</v>
      </c>
      <c r="Q43" s="788">
        <f t="shared" si="19"/>
        <v>0.49456699999999998</v>
      </c>
      <c r="R43" s="788">
        <f t="shared" si="19"/>
        <v>0.34239253999999997</v>
      </c>
      <c r="S43" s="788">
        <f t="shared" si="19"/>
        <v>0.21050131000000002</v>
      </c>
      <c r="T43" s="788">
        <f t="shared" si="19"/>
        <v>0</v>
      </c>
      <c r="U43" s="788">
        <f t="shared" si="19"/>
        <v>0</v>
      </c>
      <c r="V43" s="788">
        <f t="shared" si="19"/>
        <v>0</v>
      </c>
      <c r="W43" s="788">
        <f t="shared" si="19"/>
        <v>0</v>
      </c>
      <c r="X43" s="788">
        <f t="shared" si="19"/>
        <v>0</v>
      </c>
      <c r="Y43" s="788">
        <f t="shared" si="19"/>
        <v>0</v>
      </c>
      <c r="Z43" s="788">
        <f t="shared" si="19"/>
        <v>0</v>
      </c>
      <c r="AA43" s="788">
        <f t="shared" si="19"/>
        <v>0</v>
      </c>
      <c r="AB43" s="788">
        <f t="shared" si="19"/>
        <v>0</v>
      </c>
      <c r="AC43" s="788">
        <f t="shared" si="19"/>
        <v>0</v>
      </c>
      <c r="AD43" s="788">
        <f t="shared" si="19"/>
        <v>0</v>
      </c>
      <c r="AE43" s="788">
        <f t="shared" si="19"/>
        <v>0</v>
      </c>
      <c r="AF43" s="788">
        <f t="shared" si="19"/>
        <v>0</v>
      </c>
      <c r="AG43" s="788">
        <f t="shared" si="19"/>
        <v>0</v>
      </c>
      <c r="AH43" s="778">
        <f t="shared" si="15"/>
        <v>17.754043059999997</v>
      </c>
    </row>
    <row r="44" spans="1:80" s="738" customFormat="1" x14ac:dyDescent="0.25">
      <c r="B44" s="961" t="s">
        <v>239</v>
      </c>
      <c r="C44" s="788">
        <v>2.7174011499999997</v>
      </c>
      <c r="D44" s="788">
        <v>1.08696046</v>
      </c>
      <c r="E44" s="788">
        <v>1.08696046</v>
      </c>
      <c r="F44" s="788">
        <v>1.08696046</v>
      </c>
      <c r="G44" s="788">
        <v>1.08696046</v>
      </c>
      <c r="H44" s="778">
        <v>1.08696046</v>
      </c>
      <c r="I44" s="788">
        <v>1.08696046</v>
      </c>
      <c r="J44" s="788">
        <v>1.3043525499999997</v>
      </c>
      <c r="K44" s="788">
        <v>1.4076137799999997</v>
      </c>
      <c r="L44" s="788">
        <v>1.2554393199999998</v>
      </c>
      <c r="M44" s="788">
        <v>1.1032648599999999</v>
      </c>
      <c r="N44" s="788">
        <v>0.95109039000000006</v>
      </c>
      <c r="O44" s="788">
        <v>0.79891592999999994</v>
      </c>
      <c r="P44" s="788">
        <v>0.64674146999999993</v>
      </c>
      <c r="Q44" s="788">
        <v>0.49456699999999998</v>
      </c>
      <c r="R44" s="788">
        <v>0.34239253999999997</v>
      </c>
      <c r="S44" s="788">
        <v>0.21050131000000002</v>
      </c>
      <c r="T44" s="788">
        <v>0</v>
      </c>
      <c r="U44" s="788">
        <v>0</v>
      </c>
      <c r="V44" s="788">
        <v>0</v>
      </c>
      <c r="W44" s="788">
        <v>0</v>
      </c>
      <c r="X44" s="788">
        <v>0</v>
      </c>
      <c r="Y44" s="788">
        <v>0</v>
      </c>
      <c r="Z44" s="788">
        <v>0</v>
      </c>
      <c r="AA44" s="788">
        <v>0</v>
      </c>
      <c r="AB44" s="788">
        <v>0</v>
      </c>
      <c r="AC44" s="788">
        <v>0</v>
      </c>
      <c r="AD44" s="788">
        <v>0</v>
      </c>
      <c r="AE44" s="788">
        <v>0</v>
      </c>
      <c r="AF44" s="788">
        <v>0</v>
      </c>
      <c r="AG44" s="788">
        <v>0</v>
      </c>
      <c r="AH44" s="778">
        <f t="shared" si="15"/>
        <v>17.754043059999997</v>
      </c>
    </row>
    <row r="45" spans="1:80" s="738" customFormat="1" x14ac:dyDescent="0.25">
      <c r="B45" s="862" t="s">
        <v>483</v>
      </c>
      <c r="C45" s="788">
        <f>+C46+C47</f>
        <v>1.86478155</v>
      </c>
      <c r="D45" s="788">
        <f t="shared" ref="D45:AG45" si="20">+D46+D47</f>
        <v>1.5518527199999999</v>
      </c>
      <c r="E45" s="788">
        <f t="shared" si="20"/>
        <v>1.5518527199999999</v>
      </c>
      <c r="F45" s="788">
        <f t="shared" si="20"/>
        <v>1.5518527199999999</v>
      </c>
      <c r="G45" s="788">
        <f t="shared" si="20"/>
        <v>1.5518527199999999</v>
      </c>
      <c r="H45" s="788">
        <f t="shared" si="20"/>
        <v>1.5518527199999999</v>
      </c>
      <c r="I45" s="788">
        <f t="shared" si="20"/>
        <v>1.5518527199999999</v>
      </c>
      <c r="J45" s="788">
        <f t="shared" si="20"/>
        <v>1.8622232600000002</v>
      </c>
      <c r="K45" s="788">
        <f t="shared" si="20"/>
        <v>2.0096492499999998</v>
      </c>
      <c r="L45" s="788">
        <f t="shared" si="20"/>
        <v>1.79238988</v>
      </c>
      <c r="M45" s="788">
        <f t="shared" si="20"/>
        <v>1.5751305</v>
      </c>
      <c r="N45" s="788">
        <f t="shared" si="20"/>
        <v>1.3578710999999997</v>
      </c>
      <c r="O45" s="788">
        <f t="shared" si="20"/>
        <v>1.1406117200000001</v>
      </c>
      <c r="P45" s="788">
        <f t="shared" si="20"/>
        <v>0.92335233000000005</v>
      </c>
      <c r="Q45" s="788">
        <f t="shared" si="20"/>
        <v>0.70609294</v>
      </c>
      <c r="R45" s="788">
        <f t="shared" si="20"/>
        <v>0.48883357000000005</v>
      </c>
      <c r="S45" s="788">
        <f t="shared" si="20"/>
        <v>0.29873159999999993</v>
      </c>
      <c r="T45" s="788">
        <f t="shared" si="20"/>
        <v>0</v>
      </c>
      <c r="U45" s="788">
        <f t="shared" si="20"/>
        <v>0</v>
      </c>
      <c r="V45" s="788">
        <f t="shared" si="20"/>
        <v>0</v>
      </c>
      <c r="W45" s="788">
        <f t="shared" si="20"/>
        <v>0</v>
      </c>
      <c r="X45" s="788">
        <f t="shared" si="20"/>
        <v>0</v>
      </c>
      <c r="Y45" s="788">
        <f t="shared" si="20"/>
        <v>0</v>
      </c>
      <c r="Z45" s="788">
        <f t="shared" si="20"/>
        <v>0</v>
      </c>
      <c r="AA45" s="788">
        <f t="shared" si="20"/>
        <v>0</v>
      </c>
      <c r="AB45" s="788">
        <f t="shared" si="20"/>
        <v>0</v>
      </c>
      <c r="AC45" s="788">
        <f t="shared" si="20"/>
        <v>0</v>
      </c>
      <c r="AD45" s="788">
        <f t="shared" si="20"/>
        <v>0</v>
      </c>
      <c r="AE45" s="788">
        <f t="shared" si="20"/>
        <v>0</v>
      </c>
      <c r="AF45" s="788">
        <f t="shared" si="20"/>
        <v>0</v>
      </c>
      <c r="AG45" s="788">
        <f t="shared" si="20"/>
        <v>0</v>
      </c>
      <c r="AH45" s="778">
        <f t="shared" si="15"/>
        <v>23.330784019999999</v>
      </c>
    </row>
    <row r="46" spans="1:80" s="738" customFormat="1" x14ac:dyDescent="0.25">
      <c r="B46" s="979" t="s">
        <v>238</v>
      </c>
      <c r="C46" s="788">
        <v>1.3432335</v>
      </c>
      <c r="D46" s="788">
        <v>1.3432335</v>
      </c>
      <c r="E46" s="788">
        <v>1.3432335</v>
      </c>
      <c r="F46" s="788">
        <v>1.3432335</v>
      </c>
      <c r="G46" s="788">
        <v>1.3432335</v>
      </c>
      <c r="H46" s="778">
        <v>1.3432335</v>
      </c>
      <c r="I46" s="788">
        <v>1.3432335</v>
      </c>
      <c r="J46" s="788">
        <v>1.6118802000000001</v>
      </c>
      <c r="K46" s="788">
        <v>1.73948737</v>
      </c>
      <c r="L46" s="788">
        <v>1.5514346999999999</v>
      </c>
      <c r="M46" s="788">
        <v>1.36338201</v>
      </c>
      <c r="N46" s="788">
        <v>1.1753293099999997</v>
      </c>
      <c r="O46" s="788">
        <v>0.98727662000000005</v>
      </c>
      <c r="P46" s="788">
        <v>0.79922393000000003</v>
      </c>
      <c r="Q46" s="788">
        <v>0.61117122999999995</v>
      </c>
      <c r="R46" s="788">
        <v>0.42311856000000003</v>
      </c>
      <c r="S46" s="788">
        <v>0.25857245999999995</v>
      </c>
      <c r="T46" s="788">
        <v>0</v>
      </c>
      <c r="U46" s="788">
        <v>0</v>
      </c>
      <c r="V46" s="788">
        <v>0</v>
      </c>
      <c r="W46" s="788">
        <v>0</v>
      </c>
      <c r="X46" s="788">
        <v>0</v>
      </c>
      <c r="Y46" s="788">
        <v>0</v>
      </c>
      <c r="Z46" s="788">
        <v>0</v>
      </c>
      <c r="AA46" s="788">
        <v>0</v>
      </c>
      <c r="AB46" s="788">
        <v>0</v>
      </c>
      <c r="AC46" s="788">
        <v>0</v>
      </c>
      <c r="AD46" s="788">
        <v>0</v>
      </c>
      <c r="AE46" s="788">
        <v>0</v>
      </c>
      <c r="AF46" s="788">
        <v>0</v>
      </c>
      <c r="AG46" s="788">
        <v>0</v>
      </c>
      <c r="AH46" s="778">
        <f t="shared" si="15"/>
        <v>19.923510889999996</v>
      </c>
    </row>
    <row r="47" spans="1:80" s="738" customFormat="1" x14ac:dyDescent="0.25">
      <c r="B47" s="961" t="s">
        <v>239</v>
      </c>
      <c r="C47" s="788">
        <v>0.52154805000000004</v>
      </c>
      <c r="D47" s="788">
        <v>0.20861921999999999</v>
      </c>
      <c r="E47" s="788">
        <v>0.20861921999999999</v>
      </c>
      <c r="F47" s="788">
        <v>0.20861921999999999</v>
      </c>
      <c r="G47" s="788">
        <v>0.20861921999999999</v>
      </c>
      <c r="H47" s="778">
        <v>0.20861921999999999</v>
      </c>
      <c r="I47" s="788">
        <v>0.20861921999999999</v>
      </c>
      <c r="J47" s="788">
        <v>0.25034306000000001</v>
      </c>
      <c r="K47" s="788">
        <v>0.27016188000000002</v>
      </c>
      <c r="L47" s="788">
        <v>0.24095517999999999</v>
      </c>
      <c r="M47" s="788">
        <v>0.21174848999999998</v>
      </c>
      <c r="N47" s="788">
        <v>0.18254178999999998</v>
      </c>
      <c r="O47" s="788">
        <v>0.1533351</v>
      </c>
      <c r="P47" s="788">
        <v>0.1241284</v>
      </c>
      <c r="Q47" s="788">
        <v>9.4921709999999992E-2</v>
      </c>
      <c r="R47" s="788">
        <v>6.571500999999999E-2</v>
      </c>
      <c r="S47" s="788">
        <v>4.0159139999999996E-2</v>
      </c>
      <c r="T47" s="788">
        <v>0</v>
      </c>
      <c r="U47" s="788">
        <v>0</v>
      </c>
      <c r="V47" s="788">
        <v>0</v>
      </c>
      <c r="W47" s="788">
        <v>0</v>
      </c>
      <c r="X47" s="788">
        <v>0</v>
      </c>
      <c r="Y47" s="788">
        <v>0</v>
      </c>
      <c r="Z47" s="788">
        <v>0</v>
      </c>
      <c r="AA47" s="788">
        <v>0</v>
      </c>
      <c r="AB47" s="788">
        <v>0</v>
      </c>
      <c r="AC47" s="788">
        <v>0</v>
      </c>
      <c r="AD47" s="788">
        <v>0</v>
      </c>
      <c r="AE47" s="788">
        <v>0</v>
      </c>
      <c r="AF47" s="788">
        <v>0</v>
      </c>
      <c r="AG47" s="788">
        <v>0</v>
      </c>
      <c r="AH47" s="778">
        <f t="shared" si="15"/>
        <v>3.4072731300000005</v>
      </c>
    </row>
    <row r="48" spans="1:80" s="738" customFormat="1" x14ac:dyDescent="0.25">
      <c r="B48" s="59" t="s">
        <v>21</v>
      </c>
      <c r="C48" s="788">
        <f>+C49</f>
        <v>21.830881095828119</v>
      </c>
      <c r="D48" s="788">
        <f t="shared" ref="D48:AG48" si="21">+D49</f>
        <v>21.830881095828119</v>
      </c>
      <c r="E48" s="788">
        <f t="shared" si="21"/>
        <v>21.830881095828119</v>
      </c>
      <c r="F48" s="788">
        <f t="shared" si="21"/>
        <v>21.830881095828119</v>
      </c>
      <c r="G48" s="788">
        <f t="shared" si="21"/>
        <v>21.830881095828119</v>
      </c>
      <c r="H48" s="788">
        <f t="shared" si="21"/>
        <v>21.830881095828119</v>
      </c>
      <c r="I48" s="788">
        <f t="shared" si="21"/>
        <v>21.830881095828119</v>
      </c>
      <c r="J48" s="788">
        <f t="shared" si="21"/>
        <v>26.222892679322491</v>
      </c>
      <c r="K48" s="788">
        <f t="shared" si="21"/>
        <v>28.318786427191085</v>
      </c>
      <c r="L48" s="788">
        <f t="shared" si="21"/>
        <v>25.257296010003412</v>
      </c>
      <c r="M48" s="788">
        <f t="shared" si="21"/>
        <v>22.195805570080708</v>
      </c>
      <c r="N48" s="788">
        <f t="shared" si="21"/>
        <v>19.134315164260546</v>
      </c>
      <c r="O48" s="788">
        <f t="shared" si="21"/>
        <v>16.072824735705353</v>
      </c>
      <c r="P48" s="788">
        <f t="shared" si="21"/>
        <v>13.011334307150165</v>
      </c>
      <c r="Q48" s="788">
        <f t="shared" si="21"/>
        <v>9.9498438785949759</v>
      </c>
      <c r="R48" s="788">
        <f t="shared" si="21"/>
        <v>6.8883534500397863</v>
      </c>
      <c r="S48" s="788">
        <f t="shared" si="21"/>
        <v>4.2095493463680791</v>
      </c>
      <c r="T48" s="788">
        <f t="shared" si="21"/>
        <v>0</v>
      </c>
      <c r="U48" s="788">
        <f t="shared" si="21"/>
        <v>0</v>
      </c>
      <c r="V48" s="788">
        <f t="shared" si="21"/>
        <v>0</v>
      </c>
      <c r="W48" s="788">
        <f t="shared" si="21"/>
        <v>0</v>
      </c>
      <c r="X48" s="788">
        <f t="shared" si="21"/>
        <v>0</v>
      </c>
      <c r="Y48" s="788">
        <f t="shared" si="21"/>
        <v>0</v>
      </c>
      <c r="Z48" s="788">
        <f t="shared" si="21"/>
        <v>0</v>
      </c>
      <c r="AA48" s="788">
        <f t="shared" si="21"/>
        <v>0</v>
      </c>
      <c r="AB48" s="788">
        <f t="shared" si="21"/>
        <v>0</v>
      </c>
      <c r="AC48" s="788">
        <f t="shared" si="21"/>
        <v>0</v>
      </c>
      <c r="AD48" s="788">
        <f t="shared" si="21"/>
        <v>0</v>
      </c>
      <c r="AE48" s="788">
        <f t="shared" si="21"/>
        <v>0</v>
      </c>
      <c r="AF48" s="788">
        <f t="shared" si="21"/>
        <v>0</v>
      </c>
      <c r="AG48" s="788">
        <f t="shared" si="21"/>
        <v>0</v>
      </c>
      <c r="AH48" s="778">
        <f t="shared" si="15"/>
        <v>324.07716923951341</v>
      </c>
    </row>
    <row r="49" spans="2:34" s="738" customFormat="1" x14ac:dyDescent="0.25">
      <c r="B49" s="862" t="s">
        <v>237</v>
      </c>
      <c r="C49" s="788">
        <v>21.830881095828119</v>
      </c>
      <c r="D49" s="788">
        <v>21.830881095828119</v>
      </c>
      <c r="E49" s="788">
        <v>21.830881095828119</v>
      </c>
      <c r="F49" s="788">
        <v>21.830881095828119</v>
      </c>
      <c r="G49" s="788">
        <v>21.830881095828119</v>
      </c>
      <c r="H49" s="778">
        <v>21.830881095828119</v>
      </c>
      <c r="I49" s="788">
        <v>21.830881095828119</v>
      </c>
      <c r="J49" s="788">
        <v>26.222892679322491</v>
      </c>
      <c r="K49" s="788">
        <v>28.318786427191085</v>
      </c>
      <c r="L49" s="788">
        <v>25.257296010003412</v>
      </c>
      <c r="M49" s="788">
        <v>22.195805570080708</v>
      </c>
      <c r="N49" s="788">
        <v>19.134315164260546</v>
      </c>
      <c r="O49" s="788">
        <v>16.072824735705353</v>
      </c>
      <c r="P49" s="788">
        <v>13.011334307150165</v>
      </c>
      <c r="Q49" s="788">
        <v>9.9498438785949759</v>
      </c>
      <c r="R49" s="788">
        <v>6.8883534500397863</v>
      </c>
      <c r="S49" s="788">
        <v>4.2095493463680791</v>
      </c>
      <c r="T49" s="788">
        <v>0</v>
      </c>
      <c r="U49" s="788">
        <v>0</v>
      </c>
      <c r="V49" s="788">
        <v>0</v>
      </c>
      <c r="W49" s="788">
        <v>0</v>
      </c>
      <c r="X49" s="788">
        <v>0</v>
      </c>
      <c r="Y49" s="788">
        <v>0</v>
      </c>
      <c r="Z49" s="788">
        <v>0</v>
      </c>
      <c r="AA49" s="788">
        <v>0</v>
      </c>
      <c r="AB49" s="788">
        <v>0</v>
      </c>
      <c r="AC49" s="788">
        <v>0</v>
      </c>
      <c r="AD49" s="788">
        <v>0</v>
      </c>
      <c r="AE49" s="788">
        <v>0</v>
      </c>
      <c r="AF49" s="788">
        <v>0</v>
      </c>
      <c r="AG49" s="788">
        <v>0</v>
      </c>
      <c r="AH49" s="778">
        <f t="shared" si="15"/>
        <v>324.07716923951341</v>
      </c>
    </row>
    <row r="50" spans="2:34" s="738" customFormat="1" x14ac:dyDescent="0.25">
      <c r="B50" s="59" t="s">
        <v>22</v>
      </c>
      <c r="C50" s="788">
        <f>+C51+C52</f>
        <v>1.0548672592978798</v>
      </c>
      <c r="D50" s="788">
        <f t="shared" ref="D50:AG50" si="22">+D51+D52</f>
        <v>1.0548672592978798</v>
      </c>
      <c r="E50" s="788">
        <f t="shared" si="22"/>
        <v>1.0548672592978798</v>
      </c>
      <c r="F50" s="788">
        <f t="shared" si="22"/>
        <v>1.0548672592978798</v>
      </c>
      <c r="G50" s="788">
        <f t="shared" si="22"/>
        <v>1.0548672592978798</v>
      </c>
      <c r="H50" s="788">
        <f t="shared" si="22"/>
        <v>1.0548672592978798</v>
      </c>
      <c r="I50" s="788">
        <f t="shared" si="22"/>
        <v>1.0548672592978798</v>
      </c>
      <c r="J50" s="788">
        <f t="shared" si="22"/>
        <v>1.2674151399026763</v>
      </c>
      <c r="K50" s="788">
        <f t="shared" si="22"/>
        <v>1.3689657940563085</v>
      </c>
      <c r="L50" s="788">
        <f t="shared" si="22"/>
        <v>1.2209694920055614</v>
      </c>
      <c r="M50" s="788">
        <f t="shared" si="22"/>
        <v>1.0729731899548141</v>
      </c>
      <c r="N50" s="788">
        <f t="shared" si="22"/>
        <v>0.92497688790406674</v>
      </c>
      <c r="O50" s="788">
        <f t="shared" si="22"/>
        <v>0.77698058585331931</v>
      </c>
      <c r="P50" s="788">
        <f t="shared" si="22"/>
        <v>0.62898428380257221</v>
      </c>
      <c r="Q50" s="788">
        <f t="shared" si="22"/>
        <v>0.48098798175182483</v>
      </c>
      <c r="R50" s="788">
        <f t="shared" si="22"/>
        <v>0.33299167970107751</v>
      </c>
      <c r="S50" s="788">
        <f t="shared" si="22"/>
        <v>0.20349491536322559</v>
      </c>
      <c r="T50" s="788">
        <f t="shared" si="22"/>
        <v>0</v>
      </c>
      <c r="U50" s="788">
        <f t="shared" si="22"/>
        <v>0</v>
      </c>
      <c r="V50" s="788">
        <f t="shared" si="22"/>
        <v>0</v>
      </c>
      <c r="W50" s="788">
        <f t="shared" si="22"/>
        <v>0</v>
      </c>
      <c r="X50" s="788">
        <f t="shared" si="22"/>
        <v>0</v>
      </c>
      <c r="Y50" s="788">
        <f t="shared" si="22"/>
        <v>0</v>
      </c>
      <c r="Z50" s="788">
        <f t="shared" si="22"/>
        <v>0</v>
      </c>
      <c r="AA50" s="788">
        <f t="shared" si="22"/>
        <v>0</v>
      </c>
      <c r="AB50" s="788">
        <f t="shared" si="22"/>
        <v>0</v>
      </c>
      <c r="AC50" s="788">
        <f t="shared" si="22"/>
        <v>0</v>
      </c>
      <c r="AD50" s="788">
        <f t="shared" si="22"/>
        <v>0</v>
      </c>
      <c r="AE50" s="788">
        <f t="shared" si="22"/>
        <v>0</v>
      </c>
      <c r="AF50" s="788">
        <f t="shared" si="22"/>
        <v>0</v>
      </c>
      <c r="AG50" s="788">
        <f t="shared" si="22"/>
        <v>0</v>
      </c>
      <c r="AH50" s="778">
        <f t="shared" si="15"/>
        <v>15.662810765380605</v>
      </c>
    </row>
    <row r="51" spans="2:34" s="738" customFormat="1" x14ac:dyDescent="0.25">
      <c r="B51" s="862" t="s">
        <v>236</v>
      </c>
      <c r="C51" s="788">
        <v>1.0051538764337853</v>
      </c>
      <c r="D51" s="788">
        <v>1.0051538764337853</v>
      </c>
      <c r="E51" s="788">
        <v>1.0051538764337853</v>
      </c>
      <c r="F51" s="788">
        <v>1.0051538764337853</v>
      </c>
      <c r="G51" s="788">
        <v>1.0051538764337853</v>
      </c>
      <c r="H51" s="778">
        <v>1.0051538764337853</v>
      </c>
      <c r="I51" s="788">
        <v>1.0051538764337853</v>
      </c>
      <c r="J51" s="788">
        <v>1.2076848813868613</v>
      </c>
      <c r="K51" s="788">
        <v>1.3044496949078901</v>
      </c>
      <c r="L51" s="788">
        <v>1.1634281062738965</v>
      </c>
      <c r="M51" s="788">
        <v>1.0224065176399026</v>
      </c>
      <c r="N51" s="788">
        <v>0.88138492900590892</v>
      </c>
      <c r="O51" s="788">
        <v>0.74036334037191509</v>
      </c>
      <c r="P51" s="788">
        <v>0.59934175173792148</v>
      </c>
      <c r="Q51" s="788">
        <v>0.4583201631039277</v>
      </c>
      <c r="R51" s="788">
        <v>0.31729857446993398</v>
      </c>
      <c r="S51" s="788">
        <v>0.19390468439346542</v>
      </c>
      <c r="T51" s="788">
        <v>0</v>
      </c>
      <c r="U51" s="788">
        <v>0</v>
      </c>
      <c r="V51" s="788">
        <v>0</v>
      </c>
      <c r="W51" s="788">
        <v>0</v>
      </c>
      <c r="X51" s="788">
        <v>0</v>
      </c>
      <c r="Y51" s="788">
        <v>0</v>
      </c>
      <c r="Z51" s="788">
        <v>0</v>
      </c>
      <c r="AA51" s="788">
        <v>0</v>
      </c>
      <c r="AB51" s="788">
        <v>0</v>
      </c>
      <c r="AC51" s="788">
        <v>0</v>
      </c>
      <c r="AD51" s="788">
        <v>0</v>
      </c>
      <c r="AE51" s="788">
        <v>0</v>
      </c>
      <c r="AF51" s="788">
        <v>0</v>
      </c>
      <c r="AG51" s="788">
        <v>0</v>
      </c>
      <c r="AH51" s="778">
        <f t="shared" si="15"/>
        <v>14.924659778328119</v>
      </c>
    </row>
    <row r="52" spans="2:34" s="738" customFormat="1" x14ac:dyDescent="0.25">
      <c r="B52" s="862" t="s">
        <v>237</v>
      </c>
      <c r="C52" s="788">
        <v>4.9713382864094553E-2</v>
      </c>
      <c r="D52" s="788">
        <v>4.9713382864094553E-2</v>
      </c>
      <c r="E52" s="788">
        <v>4.9713382864094553E-2</v>
      </c>
      <c r="F52" s="788">
        <v>4.9713382864094553E-2</v>
      </c>
      <c r="G52" s="788">
        <v>4.9713382864094553E-2</v>
      </c>
      <c r="H52" s="867">
        <v>4.9713382864094553E-2</v>
      </c>
      <c r="I52" s="788">
        <v>4.9713382864094553E-2</v>
      </c>
      <c r="J52" s="788">
        <v>5.9730258515815093E-2</v>
      </c>
      <c r="K52" s="788">
        <v>6.4516099148418479E-2</v>
      </c>
      <c r="L52" s="788">
        <v>5.7541385731664924E-2</v>
      </c>
      <c r="M52" s="788">
        <v>5.0566672314911375E-2</v>
      </c>
      <c r="N52" s="788">
        <v>4.3591958898157812E-2</v>
      </c>
      <c r="O52" s="788">
        <v>3.6617245481404249E-2</v>
      </c>
      <c r="P52" s="788">
        <v>2.9642532064650676E-2</v>
      </c>
      <c r="Q52" s="788">
        <v>2.2667818647897117E-2</v>
      </c>
      <c r="R52" s="788">
        <v>1.5693105231143555E-2</v>
      </c>
      <c r="S52" s="788">
        <v>9.5902309697601679E-3</v>
      </c>
      <c r="T52" s="788">
        <v>0</v>
      </c>
      <c r="U52" s="788">
        <v>0</v>
      </c>
      <c r="V52" s="788">
        <v>0</v>
      </c>
      <c r="W52" s="788">
        <v>0</v>
      </c>
      <c r="X52" s="788">
        <v>0</v>
      </c>
      <c r="Y52" s="788">
        <v>0</v>
      </c>
      <c r="Z52" s="788">
        <v>0</v>
      </c>
      <c r="AA52" s="788">
        <v>0</v>
      </c>
      <c r="AB52" s="788">
        <v>0</v>
      </c>
      <c r="AC52" s="788">
        <v>0</v>
      </c>
      <c r="AD52" s="788">
        <v>0</v>
      </c>
      <c r="AE52" s="788">
        <v>0</v>
      </c>
      <c r="AF52" s="788">
        <v>0</v>
      </c>
      <c r="AG52" s="788">
        <v>0</v>
      </c>
      <c r="AH52" s="867">
        <f t="shared" si="15"/>
        <v>0.73815098705248539</v>
      </c>
    </row>
    <row r="53" spans="2:34" s="738" customFormat="1" x14ac:dyDescent="0.25">
      <c r="B53" s="764" t="s">
        <v>74</v>
      </c>
      <c r="C53" s="765">
        <f>+C54+C57+C62</f>
        <v>209.09445619536166</v>
      </c>
      <c r="D53" s="765">
        <f t="shared" ref="D53:AG53" si="23">+D54+D57+D62</f>
        <v>206.8021710899319</v>
      </c>
      <c r="E53" s="765">
        <f t="shared" si="23"/>
        <v>201.63211681349122</v>
      </c>
      <c r="F53" s="765">
        <f t="shared" si="23"/>
        <v>180.95189968764163</v>
      </c>
      <c r="G53" s="765">
        <f t="shared" si="23"/>
        <v>160.27168258572655</v>
      </c>
      <c r="H53" s="765">
        <f t="shared" si="23"/>
        <v>139.59146548389836</v>
      </c>
      <c r="I53" s="765">
        <f t="shared" si="23"/>
        <v>118.91124837796184</v>
      </c>
      <c r="J53" s="765">
        <f t="shared" si="23"/>
        <v>98.231031264764511</v>
      </c>
      <c r="K53" s="765">
        <f t="shared" si="23"/>
        <v>77.550814159001789</v>
      </c>
      <c r="L53" s="765">
        <f t="shared" si="23"/>
        <v>56.870597033239065</v>
      </c>
      <c r="M53" s="765">
        <f t="shared" si="23"/>
        <v>36.19037992747635</v>
      </c>
      <c r="N53" s="765">
        <f t="shared" si="23"/>
        <v>15.510162829322038</v>
      </c>
      <c r="O53" s="765">
        <f t="shared" si="23"/>
        <v>0</v>
      </c>
      <c r="P53" s="765">
        <f t="shared" si="23"/>
        <v>0</v>
      </c>
      <c r="Q53" s="765">
        <f t="shared" si="23"/>
        <v>0</v>
      </c>
      <c r="R53" s="765">
        <f t="shared" si="23"/>
        <v>0</v>
      </c>
      <c r="S53" s="765">
        <f t="shared" si="23"/>
        <v>0</v>
      </c>
      <c r="T53" s="765">
        <f t="shared" si="23"/>
        <v>0</v>
      </c>
      <c r="U53" s="765">
        <f t="shared" si="23"/>
        <v>0</v>
      </c>
      <c r="V53" s="765">
        <f t="shared" si="23"/>
        <v>0</v>
      </c>
      <c r="W53" s="765">
        <f t="shared" si="23"/>
        <v>0</v>
      </c>
      <c r="X53" s="765">
        <f t="shared" si="23"/>
        <v>0</v>
      </c>
      <c r="Y53" s="765">
        <f t="shared" si="23"/>
        <v>0</v>
      </c>
      <c r="Z53" s="765">
        <f t="shared" si="23"/>
        <v>0</v>
      </c>
      <c r="AA53" s="765">
        <f t="shared" si="23"/>
        <v>0</v>
      </c>
      <c r="AB53" s="765">
        <f t="shared" si="23"/>
        <v>0</v>
      </c>
      <c r="AC53" s="765">
        <f t="shared" si="23"/>
        <v>0</v>
      </c>
      <c r="AD53" s="765">
        <f t="shared" si="23"/>
        <v>0</v>
      </c>
      <c r="AE53" s="765">
        <f t="shared" si="23"/>
        <v>0</v>
      </c>
      <c r="AF53" s="765">
        <f t="shared" si="23"/>
        <v>0</v>
      </c>
      <c r="AG53" s="765">
        <f t="shared" si="23"/>
        <v>0</v>
      </c>
      <c r="AH53" s="773">
        <f t="shared" si="15"/>
        <v>1501.608025447817</v>
      </c>
    </row>
    <row r="54" spans="2:34" s="738" customFormat="1" x14ac:dyDescent="0.25">
      <c r="B54" s="59" t="s">
        <v>23</v>
      </c>
      <c r="C54" s="788">
        <f>+C55+C56</f>
        <v>201.95941132845792</v>
      </c>
      <c r="D54" s="788">
        <f t="shared" ref="D54:AG54" si="24">+D55+D56</f>
        <v>201.95941132845792</v>
      </c>
      <c r="E54" s="788">
        <f t="shared" si="24"/>
        <v>196.91042604505841</v>
      </c>
      <c r="F54" s="788">
        <f t="shared" si="24"/>
        <v>176.71448491146049</v>
      </c>
      <c r="G54" s="788">
        <f t="shared" si="24"/>
        <v>156.51854378162329</v>
      </c>
      <c r="H54" s="788">
        <f t="shared" si="24"/>
        <v>136.32260265178613</v>
      </c>
      <c r="I54" s="788">
        <f t="shared" si="24"/>
        <v>116.12666151818816</v>
      </c>
      <c r="J54" s="788">
        <f t="shared" si="24"/>
        <v>95.93072037706871</v>
      </c>
      <c r="K54" s="788">
        <f t="shared" si="24"/>
        <v>75.734779243470769</v>
      </c>
      <c r="L54" s="788">
        <f t="shared" si="24"/>
        <v>55.53883810987282</v>
      </c>
      <c r="M54" s="788">
        <f t="shared" si="24"/>
        <v>35.342896976274879</v>
      </c>
      <c r="N54" s="788">
        <f t="shared" si="24"/>
        <v>15.146955850198454</v>
      </c>
      <c r="O54" s="788">
        <f t="shared" si="24"/>
        <v>0</v>
      </c>
      <c r="P54" s="788">
        <f t="shared" si="24"/>
        <v>0</v>
      </c>
      <c r="Q54" s="788">
        <f t="shared" si="24"/>
        <v>0</v>
      </c>
      <c r="R54" s="788">
        <f t="shared" si="24"/>
        <v>0</v>
      </c>
      <c r="S54" s="788">
        <f t="shared" si="24"/>
        <v>0</v>
      </c>
      <c r="T54" s="788">
        <f t="shared" si="24"/>
        <v>0</v>
      </c>
      <c r="U54" s="788">
        <f t="shared" si="24"/>
        <v>0</v>
      </c>
      <c r="V54" s="788">
        <f t="shared" si="24"/>
        <v>0</v>
      </c>
      <c r="W54" s="788">
        <f t="shared" si="24"/>
        <v>0</v>
      </c>
      <c r="X54" s="788">
        <f t="shared" si="24"/>
        <v>0</v>
      </c>
      <c r="Y54" s="788">
        <f t="shared" si="24"/>
        <v>0</v>
      </c>
      <c r="Z54" s="788">
        <f t="shared" si="24"/>
        <v>0</v>
      </c>
      <c r="AA54" s="788">
        <f t="shared" si="24"/>
        <v>0</v>
      </c>
      <c r="AB54" s="788">
        <f t="shared" si="24"/>
        <v>0</v>
      </c>
      <c r="AC54" s="788">
        <f t="shared" si="24"/>
        <v>0</v>
      </c>
      <c r="AD54" s="788">
        <f t="shared" si="24"/>
        <v>0</v>
      </c>
      <c r="AE54" s="788">
        <f t="shared" si="24"/>
        <v>0</v>
      </c>
      <c r="AF54" s="788">
        <f t="shared" si="24"/>
        <v>0</v>
      </c>
      <c r="AG54" s="788">
        <f t="shared" si="24"/>
        <v>0</v>
      </c>
      <c r="AH54" s="822">
        <f t="shared" si="15"/>
        <v>1464.2057321219181</v>
      </c>
    </row>
    <row r="55" spans="2:34" s="738" customFormat="1" x14ac:dyDescent="0.25">
      <c r="B55" s="862" t="s">
        <v>236</v>
      </c>
      <c r="C55" s="788">
        <v>199.56054573872208</v>
      </c>
      <c r="D55" s="788">
        <v>199.56054573872208</v>
      </c>
      <c r="E55" s="788">
        <v>194.57153209544205</v>
      </c>
      <c r="F55" s="788">
        <v>174.61547752232201</v>
      </c>
      <c r="G55" s="788">
        <v>154.65942294920194</v>
      </c>
      <c r="H55" s="778">
        <v>134.7033683760819</v>
      </c>
      <c r="I55" s="788">
        <v>114.74731380296183</v>
      </c>
      <c r="J55" s="788">
        <v>94.791259222320264</v>
      </c>
      <c r="K55" s="788">
        <v>74.835204649200207</v>
      </c>
      <c r="L55" s="788">
        <v>54.879150076080151</v>
      </c>
      <c r="M55" s="788">
        <v>34.923095502960095</v>
      </c>
      <c r="N55" s="788">
        <v>14.967040929840039</v>
      </c>
      <c r="O55" s="788">
        <v>0</v>
      </c>
      <c r="P55" s="788">
        <v>0</v>
      </c>
      <c r="Q55" s="788">
        <v>0</v>
      </c>
      <c r="R55" s="788">
        <v>0</v>
      </c>
      <c r="S55" s="788">
        <v>0</v>
      </c>
      <c r="T55" s="788">
        <v>0</v>
      </c>
      <c r="U55" s="788">
        <v>0</v>
      </c>
      <c r="V55" s="788">
        <v>0</v>
      </c>
      <c r="W55" s="788">
        <v>0</v>
      </c>
      <c r="X55" s="788">
        <v>0</v>
      </c>
      <c r="Y55" s="788">
        <v>0</v>
      </c>
      <c r="Z55" s="788">
        <v>0</v>
      </c>
      <c r="AA55" s="788">
        <v>0</v>
      </c>
      <c r="AB55" s="788">
        <v>0</v>
      </c>
      <c r="AC55" s="788">
        <v>0</v>
      </c>
      <c r="AD55" s="788">
        <v>0</v>
      </c>
      <c r="AE55" s="788">
        <v>0</v>
      </c>
      <c r="AF55" s="788">
        <v>0</v>
      </c>
      <c r="AG55" s="788">
        <v>0</v>
      </c>
      <c r="AH55" s="778">
        <f t="shared" si="15"/>
        <v>1446.8139566038546</v>
      </c>
    </row>
    <row r="56" spans="2:34" s="738" customFormat="1" x14ac:dyDescent="0.25">
      <c r="B56" s="862" t="s">
        <v>237</v>
      </c>
      <c r="C56" s="788">
        <v>2.3988655897358369</v>
      </c>
      <c r="D56" s="788">
        <v>2.3988655897358369</v>
      </c>
      <c r="E56" s="788">
        <v>2.3388939496163652</v>
      </c>
      <c r="F56" s="788">
        <v>2.0990073891384777</v>
      </c>
      <c r="G56" s="788">
        <v>1.8591208324213493</v>
      </c>
      <c r="H56" s="778">
        <v>1.6192342757042208</v>
      </c>
      <c r="I56" s="788">
        <v>1.3793477152263338</v>
      </c>
      <c r="J56" s="788">
        <v>1.1394611547484468</v>
      </c>
      <c r="K56" s="788">
        <v>0.89957459427055952</v>
      </c>
      <c r="L56" s="788">
        <v>0.65968803379267249</v>
      </c>
      <c r="M56" s="788">
        <v>0.41980147331478529</v>
      </c>
      <c r="N56" s="788">
        <v>0.17991492035841533</v>
      </c>
      <c r="O56" s="788">
        <v>0</v>
      </c>
      <c r="P56" s="788">
        <v>0</v>
      </c>
      <c r="Q56" s="788">
        <v>0</v>
      </c>
      <c r="R56" s="788">
        <v>0</v>
      </c>
      <c r="S56" s="788">
        <v>0</v>
      </c>
      <c r="T56" s="788">
        <v>0</v>
      </c>
      <c r="U56" s="788">
        <v>0</v>
      </c>
      <c r="V56" s="788">
        <v>0</v>
      </c>
      <c r="W56" s="788">
        <v>0</v>
      </c>
      <c r="X56" s="788">
        <v>0</v>
      </c>
      <c r="Y56" s="788">
        <v>0</v>
      </c>
      <c r="Z56" s="788">
        <v>0</v>
      </c>
      <c r="AA56" s="788">
        <v>0</v>
      </c>
      <c r="AB56" s="788">
        <v>0</v>
      </c>
      <c r="AC56" s="788">
        <v>0</v>
      </c>
      <c r="AD56" s="788">
        <v>0</v>
      </c>
      <c r="AE56" s="788">
        <v>0</v>
      </c>
      <c r="AF56" s="788">
        <v>0</v>
      </c>
      <c r="AG56" s="788">
        <v>0</v>
      </c>
      <c r="AH56" s="778">
        <f t="shared" si="15"/>
        <v>17.391775518063298</v>
      </c>
    </row>
    <row r="57" spans="2:34" s="738" customFormat="1" x14ac:dyDescent="0.25">
      <c r="B57" s="59" t="s">
        <v>24</v>
      </c>
      <c r="C57" s="788">
        <f>+C58+C60</f>
        <v>3.4384289581446041</v>
      </c>
      <c r="D57" s="788">
        <f t="shared" ref="D57:AG57" si="25">+D58+D60</f>
        <v>1.146143852714868</v>
      </c>
      <c r="E57" s="788">
        <f t="shared" si="25"/>
        <v>1.1174902573969963</v>
      </c>
      <c r="F57" s="788">
        <f t="shared" si="25"/>
        <v>1.0028758561255096</v>
      </c>
      <c r="G57" s="788">
        <f t="shared" si="25"/>
        <v>0.88826147485402274</v>
      </c>
      <c r="H57" s="788">
        <f t="shared" si="25"/>
        <v>0.77364709358253592</v>
      </c>
      <c r="I57" s="788">
        <f t="shared" si="25"/>
        <v>0.6590327123110491</v>
      </c>
      <c r="J57" s="788">
        <f t="shared" si="25"/>
        <v>0.54441833103956228</v>
      </c>
      <c r="K57" s="788">
        <f t="shared" si="25"/>
        <v>0.42980394976807551</v>
      </c>
      <c r="L57" s="788">
        <f t="shared" si="25"/>
        <v>0.31518954849658865</v>
      </c>
      <c r="M57" s="788">
        <f t="shared" si="25"/>
        <v>0.20057516722510191</v>
      </c>
      <c r="N57" s="788">
        <f t="shared" si="25"/>
        <v>8.5960785953615088E-2</v>
      </c>
      <c r="O57" s="788">
        <f t="shared" si="25"/>
        <v>0</v>
      </c>
      <c r="P57" s="788">
        <f t="shared" si="25"/>
        <v>0</v>
      </c>
      <c r="Q57" s="788">
        <f t="shared" si="25"/>
        <v>0</v>
      </c>
      <c r="R57" s="788">
        <f t="shared" si="25"/>
        <v>0</v>
      </c>
      <c r="S57" s="788">
        <f t="shared" si="25"/>
        <v>0</v>
      </c>
      <c r="T57" s="788">
        <f t="shared" si="25"/>
        <v>0</v>
      </c>
      <c r="U57" s="788">
        <f t="shared" si="25"/>
        <v>0</v>
      </c>
      <c r="V57" s="788">
        <f t="shared" si="25"/>
        <v>0</v>
      </c>
      <c r="W57" s="788">
        <f t="shared" si="25"/>
        <v>0</v>
      </c>
      <c r="X57" s="788">
        <f t="shared" si="25"/>
        <v>0</v>
      </c>
      <c r="Y57" s="788">
        <f t="shared" si="25"/>
        <v>0</v>
      </c>
      <c r="Z57" s="788">
        <f t="shared" si="25"/>
        <v>0</v>
      </c>
      <c r="AA57" s="788">
        <f t="shared" si="25"/>
        <v>0</v>
      </c>
      <c r="AB57" s="788">
        <f t="shared" si="25"/>
        <v>0</v>
      </c>
      <c r="AC57" s="788">
        <f t="shared" si="25"/>
        <v>0</v>
      </c>
      <c r="AD57" s="788">
        <f t="shared" si="25"/>
        <v>0</v>
      </c>
      <c r="AE57" s="788">
        <f t="shared" si="25"/>
        <v>0</v>
      </c>
      <c r="AF57" s="788">
        <f t="shared" si="25"/>
        <v>0</v>
      </c>
      <c r="AG57" s="788">
        <f t="shared" si="25"/>
        <v>0</v>
      </c>
      <c r="AH57" s="778">
        <f t="shared" si="15"/>
        <v>10.601827987612529</v>
      </c>
    </row>
    <row r="58" spans="2:34" s="738" customFormat="1" x14ac:dyDescent="0.25">
      <c r="B58" s="862" t="s">
        <v>236</v>
      </c>
      <c r="C58" s="788">
        <f>+C59</f>
        <v>2.4440435200000001</v>
      </c>
      <c r="D58" s="788">
        <f t="shared" ref="D58:AG58" si="26">+D59</f>
        <v>0.81468204</v>
      </c>
      <c r="E58" s="788">
        <f t="shared" si="26"/>
        <v>0.79431498999999994</v>
      </c>
      <c r="F58" s="788">
        <f t="shared" si="26"/>
        <v>0.71284677000000007</v>
      </c>
      <c r="G58" s="788">
        <f t="shared" si="26"/>
        <v>0.63137857000000008</v>
      </c>
      <c r="H58" s="788">
        <f t="shared" si="26"/>
        <v>0.54991036999999998</v>
      </c>
      <c r="I58" s="788">
        <f t="shared" si="26"/>
        <v>0.46844216999999999</v>
      </c>
      <c r="J58" s="788">
        <f t="shared" si="26"/>
        <v>0.38697396999999994</v>
      </c>
      <c r="K58" s="788">
        <f t="shared" si="26"/>
        <v>0.30550577000000001</v>
      </c>
      <c r="L58" s="788">
        <f t="shared" si="26"/>
        <v>0.22403755</v>
      </c>
      <c r="M58" s="788">
        <f t="shared" si="26"/>
        <v>0.14256935000000001</v>
      </c>
      <c r="N58" s="788">
        <f t="shared" si="26"/>
        <v>6.1101149999999993E-2</v>
      </c>
      <c r="O58" s="788">
        <f t="shared" si="26"/>
        <v>0</v>
      </c>
      <c r="P58" s="788">
        <f t="shared" si="26"/>
        <v>0</v>
      </c>
      <c r="Q58" s="788">
        <f t="shared" si="26"/>
        <v>0</v>
      </c>
      <c r="R58" s="788">
        <f t="shared" si="26"/>
        <v>0</v>
      </c>
      <c r="S58" s="788">
        <f t="shared" si="26"/>
        <v>0</v>
      </c>
      <c r="T58" s="788">
        <f t="shared" si="26"/>
        <v>0</v>
      </c>
      <c r="U58" s="788">
        <f t="shared" si="26"/>
        <v>0</v>
      </c>
      <c r="V58" s="788">
        <f t="shared" si="26"/>
        <v>0</v>
      </c>
      <c r="W58" s="788">
        <f t="shared" si="26"/>
        <v>0</v>
      </c>
      <c r="X58" s="788">
        <f t="shared" si="26"/>
        <v>0</v>
      </c>
      <c r="Y58" s="788">
        <f t="shared" si="26"/>
        <v>0</v>
      </c>
      <c r="Z58" s="788">
        <f t="shared" si="26"/>
        <v>0</v>
      </c>
      <c r="AA58" s="788">
        <f t="shared" si="26"/>
        <v>0</v>
      </c>
      <c r="AB58" s="788">
        <f t="shared" si="26"/>
        <v>0</v>
      </c>
      <c r="AC58" s="788">
        <f t="shared" si="26"/>
        <v>0</v>
      </c>
      <c r="AD58" s="788">
        <f t="shared" si="26"/>
        <v>0</v>
      </c>
      <c r="AE58" s="788">
        <f t="shared" si="26"/>
        <v>0</v>
      </c>
      <c r="AF58" s="788">
        <f t="shared" si="26"/>
        <v>0</v>
      </c>
      <c r="AG58" s="788">
        <f t="shared" si="26"/>
        <v>0</v>
      </c>
      <c r="AH58" s="778">
        <f t="shared" si="15"/>
        <v>7.5358062200000004</v>
      </c>
    </row>
    <row r="59" spans="2:34" s="738" customFormat="1" x14ac:dyDescent="0.25">
      <c r="B59" s="961" t="s">
        <v>239</v>
      </c>
      <c r="C59" s="788">
        <v>2.4440435200000001</v>
      </c>
      <c r="D59" s="788">
        <v>0.81468204</v>
      </c>
      <c r="E59" s="788">
        <v>0.79431498999999994</v>
      </c>
      <c r="F59" s="788">
        <v>0.71284677000000007</v>
      </c>
      <c r="G59" s="788">
        <v>0.63137857000000008</v>
      </c>
      <c r="H59" s="778">
        <v>0.54991036999999998</v>
      </c>
      <c r="I59" s="788">
        <v>0.46844216999999999</v>
      </c>
      <c r="J59" s="788">
        <v>0.38697396999999994</v>
      </c>
      <c r="K59" s="788">
        <v>0.30550577000000001</v>
      </c>
      <c r="L59" s="788">
        <v>0.22403755</v>
      </c>
      <c r="M59" s="788">
        <v>0.14256935000000001</v>
      </c>
      <c r="N59" s="788">
        <v>6.1101149999999993E-2</v>
      </c>
      <c r="O59" s="788">
        <v>0</v>
      </c>
      <c r="P59" s="788">
        <v>0</v>
      </c>
      <c r="Q59" s="788">
        <v>0</v>
      </c>
      <c r="R59" s="788">
        <v>0</v>
      </c>
      <c r="S59" s="788">
        <v>0</v>
      </c>
      <c r="T59" s="788">
        <v>0</v>
      </c>
      <c r="U59" s="788">
        <v>0</v>
      </c>
      <c r="V59" s="788">
        <v>0</v>
      </c>
      <c r="W59" s="788">
        <v>0</v>
      </c>
      <c r="X59" s="788">
        <v>0</v>
      </c>
      <c r="Y59" s="788">
        <v>0</v>
      </c>
      <c r="Z59" s="788">
        <v>0</v>
      </c>
      <c r="AA59" s="788">
        <v>0</v>
      </c>
      <c r="AB59" s="788">
        <v>0</v>
      </c>
      <c r="AC59" s="788">
        <v>0</v>
      </c>
      <c r="AD59" s="788">
        <v>0</v>
      </c>
      <c r="AE59" s="788">
        <v>0</v>
      </c>
      <c r="AF59" s="788">
        <v>0</v>
      </c>
      <c r="AG59" s="788">
        <v>0</v>
      </c>
      <c r="AH59" s="778">
        <f t="shared" si="15"/>
        <v>7.5358062200000004</v>
      </c>
    </row>
    <row r="60" spans="2:34" s="738" customFormat="1" x14ac:dyDescent="0.25">
      <c r="B60" s="862" t="s">
        <v>237</v>
      </c>
      <c r="C60" s="788">
        <f>+C61</f>
        <v>0.99438543814460401</v>
      </c>
      <c r="D60" s="788">
        <f t="shared" ref="D60:AG60" si="27">+D61</f>
        <v>0.33146181271486796</v>
      </c>
      <c r="E60" s="788">
        <f t="shared" si="27"/>
        <v>0.32317526739699626</v>
      </c>
      <c r="F60" s="788">
        <f t="shared" si="27"/>
        <v>0.29002908612550948</v>
      </c>
      <c r="G60" s="788">
        <f t="shared" si="27"/>
        <v>0.25688290485402265</v>
      </c>
      <c r="H60" s="788">
        <f t="shared" si="27"/>
        <v>0.22373672358253588</v>
      </c>
      <c r="I60" s="788">
        <f t="shared" si="27"/>
        <v>0.19059054231104908</v>
      </c>
      <c r="J60" s="788">
        <f t="shared" si="27"/>
        <v>0.15744436103956228</v>
      </c>
      <c r="K60" s="788">
        <f t="shared" si="27"/>
        <v>0.1242981797680755</v>
      </c>
      <c r="L60" s="788">
        <f t="shared" si="27"/>
        <v>9.1151998496588671E-2</v>
      </c>
      <c r="M60" s="788">
        <f t="shared" si="27"/>
        <v>5.800581722510189E-2</v>
      </c>
      <c r="N60" s="788">
        <f t="shared" si="27"/>
        <v>2.4859635953615091E-2</v>
      </c>
      <c r="O60" s="788">
        <f t="shared" si="27"/>
        <v>0</v>
      </c>
      <c r="P60" s="788">
        <f t="shared" si="27"/>
        <v>0</v>
      </c>
      <c r="Q60" s="788">
        <f t="shared" si="27"/>
        <v>0</v>
      </c>
      <c r="R60" s="788">
        <f t="shared" si="27"/>
        <v>0</v>
      </c>
      <c r="S60" s="788">
        <f t="shared" si="27"/>
        <v>0</v>
      </c>
      <c r="T60" s="788">
        <f t="shared" si="27"/>
        <v>0</v>
      </c>
      <c r="U60" s="788">
        <f t="shared" si="27"/>
        <v>0</v>
      </c>
      <c r="V60" s="788">
        <f t="shared" si="27"/>
        <v>0</v>
      </c>
      <c r="W60" s="788">
        <f t="shared" si="27"/>
        <v>0</v>
      </c>
      <c r="X60" s="788">
        <f t="shared" si="27"/>
        <v>0</v>
      </c>
      <c r="Y60" s="788">
        <f t="shared" si="27"/>
        <v>0</v>
      </c>
      <c r="Z60" s="788">
        <f t="shared" si="27"/>
        <v>0</v>
      </c>
      <c r="AA60" s="788">
        <f t="shared" si="27"/>
        <v>0</v>
      </c>
      <c r="AB60" s="788">
        <f t="shared" si="27"/>
        <v>0</v>
      </c>
      <c r="AC60" s="788">
        <f t="shared" si="27"/>
        <v>0</v>
      </c>
      <c r="AD60" s="788">
        <f t="shared" si="27"/>
        <v>0</v>
      </c>
      <c r="AE60" s="788">
        <f t="shared" si="27"/>
        <v>0</v>
      </c>
      <c r="AF60" s="788">
        <f t="shared" si="27"/>
        <v>0</v>
      </c>
      <c r="AG60" s="788">
        <f t="shared" si="27"/>
        <v>0</v>
      </c>
      <c r="AH60" s="778">
        <f t="shared" si="15"/>
        <v>3.0660217676125288</v>
      </c>
    </row>
    <row r="61" spans="2:34" s="738" customFormat="1" x14ac:dyDescent="0.25">
      <c r="B61" s="961" t="s">
        <v>239</v>
      </c>
      <c r="C61" s="788">
        <v>0.99438543814460401</v>
      </c>
      <c r="D61" s="788">
        <v>0.33146181271486796</v>
      </c>
      <c r="E61" s="788">
        <v>0.32317526739699626</v>
      </c>
      <c r="F61" s="788">
        <v>0.29002908612550948</v>
      </c>
      <c r="G61" s="788">
        <v>0.25688290485402265</v>
      </c>
      <c r="H61" s="778">
        <v>0.22373672358253588</v>
      </c>
      <c r="I61" s="788">
        <v>0.19059054231104908</v>
      </c>
      <c r="J61" s="788">
        <v>0.15744436103956228</v>
      </c>
      <c r="K61" s="788">
        <v>0.1242981797680755</v>
      </c>
      <c r="L61" s="788">
        <v>9.1151998496588671E-2</v>
      </c>
      <c r="M61" s="788">
        <v>5.800581722510189E-2</v>
      </c>
      <c r="N61" s="788">
        <v>2.4859635953615091E-2</v>
      </c>
      <c r="O61" s="788">
        <v>0</v>
      </c>
      <c r="P61" s="788">
        <v>0</v>
      </c>
      <c r="Q61" s="788">
        <v>0</v>
      </c>
      <c r="R61" s="788">
        <v>0</v>
      </c>
      <c r="S61" s="788">
        <v>0</v>
      </c>
      <c r="T61" s="788">
        <v>0</v>
      </c>
      <c r="U61" s="788">
        <v>0</v>
      </c>
      <c r="V61" s="788">
        <v>0</v>
      </c>
      <c r="W61" s="788">
        <v>0</v>
      </c>
      <c r="X61" s="788">
        <v>0</v>
      </c>
      <c r="Y61" s="788">
        <v>0</v>
      </c>
      <c r="Z61" s="788">
        <v>0</v>
      </c>
      <c r="AA61" s="788">
        <v>0</v>
      </c>
      <c r="AB61" s="788">
        <v>0</v>
      </c>
      <c r="AC61" s="788">
        <v>0</v>
      </c>
      <c r="AD61" s="788">
        <v>0</v>
      </c>
      <c r="AE61" s="788">
        <v>0</v>
      </c>
      <c r="AF61" s="788">
        <v>0</v>
      </c>
      <c r="AG61" s="788">
        <v>0</v>
      </c>
      <c r="AH61" s="778">
        <f t="shared" si="15"/>
        <v>3.0660217676125288</v>
      </c>
    </row>
    <row r="62" spans="2:34" s="738" customFormat="1" x14ac:dyDescent="0.25">
      <c r="B62" s="59" t="s">
        <v>25</v>
      </c>
      <c r="C62" s="788">
        <f>+C63+C64</f>
        <v>3.6966159087591235</v>
      </c>
      <c r="D62" s="788">
        <f t="shared" ref="D62:AG62" si="28">+D63+D64</f>
        <v>3.6966159087591235</v>
      </c>
      <c r="E62" s="788">
        <f t="shared" si="28"/>
        <v>3.6042005110358004</v>
      </c>
      <c r="F62" s="788">
        <f t="shared" si="28"/>
        <v>3.2345389200556136</v>
      </c>
      <c r="G62" s="788">
        <f t="shared" si="28"/>
        <v>2.864877329249218</v>
      </c>
      <c r="H62" s="788">
        <f t="shared" si="28"/>
        <v>2.4952157385297187</v>
      </c>
      <c r="I62" s="788">
        <f t="shared" si="28"/>
        <v>2.1255541474626347</v>
      </c>
      <c r="J62" s="788">
        <f t="shared" si="28"/>
        <v>1.7558925566562391</v>
      </c>
      <c r="K62" s="788">
        <f t="shared" si="28"/>
        <v>1.3862309657629472</v>
      </c>
      <c r="L62" s="788">
        <f t="shared" si="28"/>
        <v>1.016569374869656</v>
      </c>
      <c r="M62" s="788">
        <f t="shared" si="28"/>
        <v>0.64690778397636417</v>
      </c>
      <c r="N62" s="788">
        <f t="shared" si="28"/>
        <v>0.27724619316996874</v>
      </c>
      <c r="O62" s="788">
        <f t="shared" si="28"/>
        <v>0</v>
      </c>
      <c r="P62" s="788">
        <f t="shared" si="28"/>
        <v>0</v>
      </c>
      <c r="Q62" s="788">
        <f t="shared" si="28"/>
        <v>0</v>
      </c>
      <c r="R62" s="788">
        <f t="shared" si="28"/>
        <v>0</v>
      </c>
      <c r="S62" s="788">
        <f t="shared" si="28"/>
        <v>0</v>
      </c>
      <c r="T62" s="788">
        <f t="shared" si="28"/>
        <v>0</v>
      </c>
      <c r="U62" s="788">
        <f t="shared" si="28"/>
        <v>0</v>
      </c>
      <c r="V62" s="788">
        <f t="shared" si="28"/>
        <v>0</v>
      </c>
      <c r="W62" s="788">
        <f t="shared" si="28"/>
        <v>0</v>
      </c>
      <c r="X62" s="788">
        <f t="shared" si="28"/>
        <v>0</v>
      </c>
      <c r="Y62" s="788">
        <f t="shared" si="28"/>
        <v>0</v>
      </c>
      <c r="Z62" s="788">
        <f t="shared" si="28"/>
        <v>0</v>
      </c>
      <c r="AA62" s="788">
        <f t="shared" si="28"/>
        <v>0</v>
      </c>
      <c r="AB62" s="788">
        <f t="shared" si="28"/>
        <v>0</v>
      </c>
      <c r="AC62" s="788">
        <f t="shared" si="28"/>
        <v>0</v>
      </c>
      <c r="AD62" s="788">
        <f t="shared" si="28"/>
        <v>0</v>
      </c>
      <c r="AE62" s="788">
        <f t="shared" si="28"/>
        <v>0</v>
      </c>
      <c r="AF62" s="788">
        <f t="shared" si="28"/>
        <v>0</v>
      </c>
      <c r="AG62" s="788">
        <f t="shared" si="28"/>
        <v>0</v>
      </c>
      <c r="AH62" s="778">
        <f t="shared" si="15"/>
        <v>26.800465338286408</v>
      </c>
    </row>
    <row r="63" spans="2:34" s="738" customFormat="1" x14ac:dyDescent="0.25">
      <c r="B63" s="862" t="s">
        <v>236</v>
      </c>
      <c r="C63" s="788">
        <v>2.5505391673618352</v>
      </c>
      <c r="D63" s="788">
        <v>2.5505391673618352</v>
      </c>
      <c r="E63" s="788">
        <v>2.4867756882168921</v>
      </c>
      <c r="F63" s="788">
        <v>2.23172177146333</v>
      </c>
      <c r="G63" s="788">
        <v>1.9766678547097671</v>
      </c>
      <c r="H63" s="778">
        <v>1.7216139380431008</v>
      </c>
      <c r="I63" s="788">
        <v>1.4665600212895376</v>
      </c>
      <c r="J63" s="788">
        <v>1.211506104535975</v>
      </c>
      <c r="K63" s="788">
        <v>0.95645218778241214</v>
      </c>
      <c r="L63" s="788">
        <v>0.70139827102884955</v>
      </c>
      <c r="M63" s="788">
        <v>0.44634435436218278</v>
      </c>
      <c r="N63" s="788">
        <v>0.19129043760862011</v>
      </c>
      <c r="O63" s="788">
        <v>0</v>
      </c>
      <c r="P63" s="788">
        <v>0</v>
      </c>
      <c r="Q63" s="788">
        <v>0</v>
      </c>
      <c r="R63" s="788">
        <v>0</v>
      </c>
      <c r="S63" s="788">
        <v>0</v>
      </c>
      <c r="T63" s="788">
        <v>0</v>
      </c>
      <c r="U63" s="788">
        <v>0</v>
      </c>
      <c r="V63" s="788">
        <v>0</v>
      </c>
      <c r="W63" s="788">
        <v>0</v>
      </c>
      <c r="X63" s="788">
        <v>0</v>
      </c>
      <c r="Y63" s="788">
        <v>0</v>
      </c>
      <c r="Z63" s="788">
        <v>0</v>
      </c>
      <c r="AA63" s="788">
        <v>0</v>
      </c>
      <c r="AB63" s="788">
        <v>0</v>
      </c>
      <c r="AC63" s="788">
        <v>0</v>
      </c>
      <c r="AD63" s="788">
        <v>0</v>
      </c>
      <c r="AE63" s="788">
        <v>0</v>
      </c>
      <c r="AF63" s="788">
        <v>0</v>
      </c>
      <c r="AG63" s="788">
        <v>0</v>
      </c>
      <c r="AH63" s="778">
        <f t="shared" si="15"/>
        <v>18.491408963764336</v>
      </c>
    </row>
    <row r="64" spans="2:34" s="738" customFormat="1" x14ac:dyDescent="0.25">
      <c r="B64" s="862" t="s">
        <v>237</v>
      </c>
      <c r="C64" s="788">
        <v>1.1460767413972885</v>
      </c>
      <c r="D64" s="788">
        <v>1.1460767413972885</v>
      </c>
      <c r="E64" s="788">
        <v>1.1174248228189083</v>
      </c>
      <c r="F64" s="788">
        <v>1.0028171485922837</v>
      </c>
      <c r="G64" s="788">
        <v>0.88820947453945098</v>
      </c>
      <c r="H64" s="867">
        <v>0.77360180048661797</v>
      </c>
      <c r="I64" s="788">
        <v>0.65899412617309705</v>
      </c>
      <c r="J64" s="788">
        <v>0.54438645212026415</v>
      </c>
      <c r="K64" s="788">
        <v>0.42977877798053521</v>
      </c>
      <c r="L64" s="788">
        <v>0.31517110384080643</v>
      </c>
      <c r="M64" s="788">
        <v>0.20056342961418144</v>
      </c>
      <c r="N64" s="788">
        <v>8.5955755561348615E-2</v>
      </c>
      <c r="O64" s="788">
        <v>0</v>
      </c>
      <c r="P64" s="788">
        <v>0</v>
      </c>
      <c r="Q64" s="788">
        <v>0</v>
      </c>
      <c r="R64" s="788">
        <v>0</v>
      </c>
      <c r="S64" s="788">
        <v>0</v>
      </c>
      <c r="T64" s="788">
        <v>0</v>
      </c>
      <c r="U64" s="788">
        <v>0</v>
      </c>
      <c r="V64" s="788">
        <v>0</v>
      </c>
      <c r="W64" s="788">
        <v>0</v>
      </c>
      <c r="X64" s="788">
        <v>0</v>
      </c>
      <c r="Y64" s="788">
        <v>0</v>
      </c>
      <c r="Z64" s="788">
        <v>0</v>
      </c>
      <c r="AA64" s="788">
        <v>0</v>
      </c>
      <c r="AB64" s="788">
        <v>0</v>
      </c>
      <c r="AC64" s="788">
        <v>0</v>
      </c>
      <c r="AD64" s="788">
        <v>0</v>
      </c>
      <c r="AE64" s="788">
        <v>0</v>
      </c>
      <c r="AF64" s="788">
        <v>0</v>
      </c>
      <c r="AG64" s="788">
        <v>0</v>
      </c>
      <c r="AH64" s="867">
        <f t="shared" si="15"/>
        <v>8.3090563745220702</v>
      </c>
    </row>
    <row r="65" spans="2:34" s="738" customFormat="1" x14ac:dyDescent="0.25">
      <c r="B65" s="782" t="s">
        <v>26</v>
      </c>
      <c r="C65" s="783">
        <v>278.05161110145849</v>
      </c>
      <c r="D65" s="783">
        <v>278.05161110145849</v>
      </c>
      <c r="E65" s="783">
        <v>278.05161110145849</v>
      </c>
      <c r="F65" s="783">
        <v>278.05161110145849</v>
      </c>
      <c r="G65" s="783">
        <v>278.05161110145849</v>
      </c>
      <c r="H65" s="773">
        <v>278.05161110145849</v>
      </c>
      <c r="I65" s="783">
        <v>278.05161110145849</v>
      </c>
      <c r="J65" s="783">
        <v>278.05161110145849</v>
      </c>
      <c r="K65" s="783">
        <v>278.05161110145849</v>
      </c>
      <c r="L65" s="783">
        <v>278.05161110145849</v>
      </c>
      <c r="M65" s="783">
        <v>278.05161110145849</v>
      </c>
      <c r="N65" s="783">
        <v>278.05161110145849</v>
      </c>
      <c r="O65" s="783">
        <v>278.05161110145849</v>
      </c>
      <c r="P65" s="783">
        <v>278.05161110145849</v>
      </c>
      <c r="Q65" s="783">
        <v>271.10032082279383</v>
      </c>
      <c r="R65" s="783">
        <v>243.29515971189582</v>
      </c>
      <c r="S65" s="783">
        <v>215.48999860099781</v>
      </c>
      <c r="T65" s="783">
        <v>187.68483749009982</v>
      </c>
      <c r="U65" s="783">
        <v>159.87967637920184</v>
      </c>
      <c r="V65" s="783">
        <v>132.07451527206456</v>
      </c>
      <c r="W65" s="783">
        <v>104.26935416116658</v>
      </c>
      <c r="X65" s="783">
        <v>76.464193050268563</v>
      </c>
      <c r="Y65" s="783">
        <v>48.659031943131311</v>
      </c>
      <c r="Z65" s="783">
        <v>20.853870832233312</v>
      </c>
      <c r="AA65" s="783">
        <v>0</v>
      </c>
      <c r="AB65" s="783">
        <v>0</v>
      </c>
      <c r="AC65" s="783">
        <v>0</v>
      </c>
      <c r="AD65" s="783">
        <v>0</v>
      </c>
      <c r="AE65" s="783">
        <v>0</v>
      </c>
      <c r="AF65" s="783">
        <v>0</v>
      </c>
      <c r="AG65" s="783">
        <v>0</v>
      </c>
      <c r="AH65" s="773">
        <f t="shared" si="15"/>
        <v>5352.4935136842714</v>
      </c>
    </row>
    <row r="66" spans="2:34" s="738" customFormat="1" x14ac:dyDescent="0.25">
      <c r="B66" s="782" t="s">
        <v>780</v>
      </c>
      <c r="C66" s="783">
        <v>1.6562334204842559</v>
      </c>
      <c r="D66" s="783">
        <v>1.6562334204842559</v>
      </c>
      <c r="E66" s="783">
        <v>1.6562334204842559</v>
      </c>
      <c r="F66" s="783">
        <v>1.5237347504831189</v>
      </c>
      <c r="G66" s="783">
        <v>1.2587374104808458</v>
      </c>
      <c r="H66" s="773">
        <v>0.99374004774354885</v>
      </c>
      <c r="I66" s="783">
        <v>0.72874270774127548</v>
      </c>
      <c r="J66" s="783">
        <v>0.46374536773900193</v>
      </c>
      <c r="K66" s="783">
        <v>0.19874800500170514</v>
      </c>
      <c r="L66" s="783">
        <v>0</v>
      </c>
      <c r="M66" s="783">
        <v>0</v>
      </c>
      <c r="N66" s="783">
        <v>0</v>
      </c>
      <c r="O66" s="783">
        <v>0</v>
      </c>
      <c r="P66" s="783">
        <v>0</v>
      </c>
      <c r="Q66" s="783">
        <v>0</v>
      </c>
      <c r="R66" s="783">
        <v>0</v>
      </c>
      <c r="S66" s="783">
        <v>0</v>
      </c>
      <c r="T66" s="783">
        <v>0</v>
      </c>
      <c r="U66" s="783">
        <v>0</v>
      </c>
      <c r="V66" s="783">
        <v>0</v>
      </c>
      <c r="W66" s="783">
        <v>0</v>
      </c>
      <c r="X66" s="783">
        <v>0</v>
      </c>
      <c r="Y66" s="783">
        <v>0</v>
      </c>
      <c r="Z66" s="783">
        <v>0</v>
      </c>
      <c r="AA66" s="783">
        <v>0</v>
      </c>
      <c r="AB66" s="783">
        <v>0</v>
      </c>
      <c r="AC66" s="783">
        <v>0</v>
      </c>
      <c r="AD66" s="783">
        <v>0</v>
      </c>
      <c r="AE66" s="783">
        <v>0</v>
      </c>
      <c r="AF66" s="783">
        <v>0</v>
      </c>
      <c r="AG66" s="783">
        <v>0</v>
      </c>
      <c r="AH66" s="773">
        <f t="shared" si="15"/>
        <v>10.136148550642265</v>
      </c>
    </row>
    <row r="67" spans="2:34" s="738" customFormat="1" x14ac:dyDescent="0.25">
      <c r="B67" s="784" t="s">
        <v>784</v>
      </c>
      <c r="C67" s="963">
        <v>0.51375318858701824</v>
      </c>
      <c r="D67" s="963">
        <v>0.51375318858701824</v>
      </c>
      <c r="E67" s="963">
        <v>0.51375318858701824</v>
      </c>
      <c r="F67" s="963">
        <v>0.48806553370467198</v>
      </c>
      <c r="G67" s="963">
        <v>0.38531489144026371</v>
      </c>
      <c r="H67" s="773">
        <v>0.28256424917585543</v>
      </c>
      <c r="I67" s="963">
        <v>0.17981361827895873</v>
      </c>
      <c r="J67" s="963">
        <v>7.7062976014550408E-2</v>
      </c>
      <c r="K67" s="963">
        <v>0</v>
      </c>
      <c r="L67" s="963">
        <v>0</v>
      </c>
      <c r="M67" s="963">
        <v>0</v>
      </c>
      <c r="N67" s="963">
        <v>0</v>
      </c>
      <c r="O67" s="963">
        <v>0</v>
      </c>
      <c r="P67" s="963">
        <v>0</v>
      </c>
      <c r="Q67" s="963">
        <v>0</v>
      </c>
      <c r="R67" s="963">
        <v>0</v>
      </c>
      <c r="S67" s="963">
        <v>0</v>
      </c>
      <c r="T67" s="963">
        <v>0</v>
      </c>
      <c r="U67" s="963">
        <v>0</v>
      </c>
      <c r="V67" s="963">
        <v>0</v>
      </c>
      <c r="W67" s="963">
        <v>0</v>
      </c>
      <c r="X67" s="963">
        <v>0</v>
      </c>
      <c r="Y67" s="963">
        <v>0</v>
      </c>
      <c r="Z67" s="963">
        <v>0</v>
      </c>
      <c r="AA67" s="963">
        <v>0</v>
      </c>
      <c r="AB67" s="963">
        <v>0</v>
      </c>
      <c r="AC67" s="963">
        <v>0</v>
      </c>
      <c r="AD67" s="963">
        <v>0</v>
      </c>
      <c r="AE67" s="963">
        <v>0</v>
      </c>
      <c r="AF67" s="963">
        <v>0</v>
      </c>
      <c r="AG67" s="963">
        <v>0</v>
      </c>
      <c r="AH67" s="773">
        <f t="shared" si="15"/>
        <v>2.9540808343753544</v>
      </c>
    </row>
    <row r="68" spans="2:34" s="738" customFormat="1" x14ac:dyDescent="0.25">
      <c r="B68" s="784" t="s">
        <v>782</v>
      </c>
      <c r="C68" s="963">
        <v>13.800218347163806</v>
      </c>
      <c r="D68" s="963">
        <v>27.600436694327612</v>
      </c>
      <c r="E68" s="963">
        <v>34.500545845174493</v>
      </c>
      <c r="F68" s="963">
        <v>39.100618642719105</v>
      </c>
      <c r="G68" s="963">
        <v>39.100618642719105</v>
      </c>
      <c r="H68" s="773">
        <v>39.100618642719105</v>
      </c>
      <c r="I68" s="963">
        <v>36.434667363874048</v>
      </c>
      <c r="J68" s="963">
        <v>32.88006567011481</v>
      </c>
      <c r="K68" s="963">
        <v>29.325463976355575</v>
      </c>
      <c r="L68" s="963">
        <v>25.770862282596344</v>
      </c>
      <c r="M68" s="963">
        <v>22.216260588837102</v>
      </c>
      <c r="N68" s="963">
        <v>18.661658895077871</v>
      </c>
      <c r="O68" s="963">
        <v>15.10705720131863</v>
      </c>
      <c r="P68" s="963">
        <v>11.552455507559394</v>
      </c>
      <c r="Q68" s="963">
        <v>7.9978538138001598</v>
      </c>
      <c r="R68" s="963">
        <v>4.4432521200409232</v>
      </c>
      <c r="S68" s="963">
        <v>0.888650426281687</v>
      </c>
      <c r="T68" s="963">
        <v>0</v>
      </c>
      <c r="U68" s="963">
        <v>0</v>
      </c>
      <c r="V68" s="963">
        <v>0</v>
      </c>
      <c r="W68" s="963">
        <v>0</v>
      </c>
      <c r="X68" s="963">
        <v>0</v>
      </c>
      <c r="Y68" s="963">
        <v>0</v>
      </c>
      <c r="Z68" s="963">
        <v>0</v>
      </c>
      <c r="AA68" s="963">
        <v>0</v>
      </c>
      <c r="AB68" s="963">
        <v>0</v>
      </c>
      <c r="AC68" s="963">
        <v>0</v>
      </c>
      <c r="AD68" s="963">
        <v>0</v>
      </c>
      <c r="AE68" s="963">
        <v>0</v>
      </c>
      <c r="AF68" s="963">
        <v>0</v>
      </c>
      <c r="AG68" s="963">
        <v>0</v>
      </c>
      <c r="AH68" s="773">
        <f t="shared" si="15"/>
        <v>398.48130466067977</v>
      </c>
    </row>
    <row r="69" spans="2:34" s="738" customFormat="1" x14ac:dyDescent="0.25">
      <c r="B69" s="784" t="s">
        <v>781</v>
      </c>
      <c r="C69" s="963">
        <v>2.5474189610094351</v>
      </c>
      <c r="D69" s="963">
        <v>2.9719887916335113</v>
      </c>
      <c r="E69" s="963">
        <v>8.4913965670114813</v>
      </c>
      <c r="F69" s="963">
        <v>13.161664658406274</v>
      </c>
      <c r="G69" s="963">
        <v>13.161664658406274</v>
      </c>
      <c r="H69" s="773">
        <v>13.161664658406274</v>
      </c>
      <c r="I69" s="963">
        <v>13.586234489030351</v>
      </c>
      <c r="J69" s="963">
        <v>13.586234489030351</v>
      </c>
      <c r="K69" s="963">
        <v>13.586234489030351</v>
      </c>
      <c r="L69" s="963">
        <v>12.906922769125838</v>
      </c>
      <c r="M69" s="963">
        <v>10.189675866772763</v>
      </c>
      <c r="N69" s="963">
        <v>7.4724289644196888</v>
      </c>
      <c r="O69" s="963">
        <v>4.7551820734341259</v>
      </c>
      <c r="P69" s="963">
        <v>2.0379351710810503</v>
      </c>
      <c r="Q69" s="963">
        <v>0</v>
      </c>
      <c r="R69" s="963">
        <v>0</v>
      </c>
      <c r="S69" s="963">
        <v>0</v>
      </c>
      <c r="T69" s="963">
        <v>0</v>
      </c>
      <c r="U69" s="963">
        <v>0</v>
      </c>
      <c r="V69" s="963">
        <v>0</v>
      </c>
      <c r="W69" s="963">
        <v>0</v>
      </c>
      <c r="X69" s="963">
        <v>0</v>
      </c>
      <c r="Y69" s="963">
        <v>0</v>
      </c>
      <c r="Z69" s="963">
        <v>0</v>
      </c>
      <c r="AA69" s="963">
        <v>0</v>
      </c>
      <c r="AB69" s="963">
        <v>0</v>
      </c>
      <c r="AC69" s="963">
        <v>0</v>
      </c>
      <c r="AD69" s="963">
        <v>0</v>
      </c>
      <c r="AE69" s="963">
        <v>0</v>
      </c>
      <c r="AF69" s="963">
        <v>0</v>
      </c>
      <c r="AG69" s="963">
        <v>0</v>
      </c>
      <c r="AH69" s="773">
        <f t="shared" si="15"/>
        <v>131.61664660679776</v>
      </c>
    </row>
    <row r="70" spans="2:34" s="738" customFormat="1" x14ac:dyDescent="0.25">
      <c r="B70" s="782" t="s">
        <v>783</v>
      </c>
      <c r="C70" s="963">
        <v>26.814856337387745</v>
      </c>
      <c r="D70" s="963">
        <v>49.160569944299191</v>
      </c>
      <c r="E70" s="963">
        <v>53.62971267477549</v>
      </c>
      <c r="F70" s="963">
        <v>53.62971267477549</v>
      </c>
      <c r="G70" s="963">
        <v>53.62971267477549</v>
      </c>
      <c r="H70" s="773">
        <v>53.62971267477549</v>
      </c>
      <c r="I70" s="963">
        <v>52.67203922928271</v>
      </c>
      <c r="J70" s="963">
        <v>48.841345458679093</v>
      </c>
      <c r="K70" s="963">
        <v>67.515977549164489</v>
      </c>
      <c r="L70" s="963">
        <v>61.769936898942817</v>
      </c>
      <c r="M70" s="963">
        <v>56.023896271456181</v>
      </c>
      <c r="N70" s="963">
        <v>50.277855621234508</v>
      </c>
      <c r="O70" s="963">
        <v>44.531814971012842</v>
      </c>
      <c r="P70" s="963">
        <v>38.785774332158688</v>
      </c>
      <c r="Q70" s="963">
        <v>33.039733693304534</v>
      </c>
      <c r="R70" s="963">
        <v>27.293693043082872</v>
      </c>
      <c r="S70" s="963">
        <v>21.547652404228714</v>
      </c>
      <c r="T70" s="963">
        <v>15.80161176537456</v>
      </c>
      <c r="U70" s="963">
        <v>10.055571115152892</v>
      </c>
      <c r="V70" s="963">
        <v>4.3095304762987379</v>
      </c>
      <c r="W70" s="963">
        <v>0</v>
      </c>
      <c r="X70" s="963">
        <v>0</v>
      </c>
      <c r="Y70" s="963">
        <v>0</v>
      </c>
      <c r="Z70" s="963">
        <v>0</v>
      </c>
      <c r="AA70" s="963">
        <v>0</v>
      </c>
      <c r="AB70" s="963">
        <v>0</v>
      </c>
      <c r="AC70" s="963">
        <v>0</v>
      </c>
      <c r="AD70" s="963">
        <v>0</v>
      </c>
      <c r="AE70" s="963">
        <v>0</v>
      </c>
      <c r="AF70" s="963">
        <v>0</v>
      </c>
      <c r="AG70" s="963">
        <v>0</v>
      </c>
      <c r="AH70" s="773">
        <f t="shared" si="15"/>
        <v>822.9607098101626</v>
      </c>
    </row>
    <row r="71" spans="2:34" s="738" customFormat="1" x14ac:dyDescent="0.25">
      <c r="B71" s="782" t="s">
        <v>785</v>
      </c>
      <c r="C71" s="963">
        <v>2.1154321245879273</v>
      </c>
      <c r="D71" s="963">
        <v>2.4680041605092642</v>
      </c>
      <c r="E71" s="963">
        <v>7.051440445606457</v>
      </c>
      <c r="F71" s="963">
        <v>10.456965636012276</v>
      </c>
      <c r="G71" s="963">
        <v>10.641264658406275</v>
      </c>
      <c r="H71" s="773">
        <v>10.444946140729794</v>
      </c>
      <c r="I71" s="963">
        <v>9.9160881095828124</v>
      </c>
      <c r="J71" s="963">
        <v>9.3872300784358309</v>
      </c>
      <c r="K71" s="963">
        <v>8.8583720472888476</v>
      </c>
      <c r="L71" s="963">
        <v>8.3295140161418662</v>
      </c>
      <c r="M71" s="963">
        <v>7.8006559736273724</v>
      </c>
      <c r="N71" s="963">
        <v>7.2717979424803909</v>
      </c>
      <c r="O71" s="963">
        <v>6.7429399113334085</v>
      </c>
      <c r="P71" s="963">
        <v>6.214081880186427</v>
      </c>
      <c r="Q71" s="963">
        <v>5.6852238490394447</v>
      </c>
      <c r="R71" s="963">
        <v>5.1563658065249509</v>
      </c>
      <c r="S71" s="963">
        <v>4.6275077867454808</v>
      </c>
      <c r="T71" s="963">
        <v>4.0986497442309879</v>
      </c>
      <c r="U71" s="963">
        <v>3.5697917130840056</v>
      </c>
      <c r="V71" s="963">
        <v>3.0409336819370241</v>
      </c>
      <c r="W71" s="963">
        <v>2.5120756507900421</v>
      </c>
      <c r="X71" s="963">
        <v>1.98321761964306</v>
      </c>
      <c r="Y71" s="963">
        <v>1.4543595771285662</v>
      </c>
      <c r="Z71" s="963">
        <v>0.92550155734909634</v>
      </c>
      <c r="AA71" s="963">
        <v>0.3966435148346027</v>
      </c>
      <c r="AB71" s="963">
        <v>0</v>
      </c>
      <c r="AC71" s="963">
        <v>0</v>
      </c>
      <c r="AD71" s="963">
        <v>0</v>
      </c>
      <c r="AE71" s="963">
        <v>0</v>
      </c>
      <c r="AF71" s="963">
        <v>0</v>
      </c>
      <c r="AG71" s="963">
        <v>0</v>
      </c>
      <c r="AH71" s="773">
        <f t="shared" si="15"/>
        <v>141.14900362623624</v>
      </c>
    </row>
    <row r="72" spans="2:34" s="738" customFormat="1" x14ac:dyDescent="0.25">
      <c r="B72" s="782" t="s">
        <v>773</v>
      </c>
      <c r="C72" s="963">
        <v>26.350287100000003</v>
      </c>
      <c r="D72" s="963">
        <v>26.350287100000003</v>
      </c>
      <c r="E72" s="963">
        <v>26.350287100000003</v>
      </c>
      <c r="F72" s="963">
        <v>25.032772749999999</v>
      </c>
      <c r="G72" s="963">
        <v>19.762715329999999</v>
      </c>
      <c r="H72" s="773">
        <v>14.49265791</v>
      </c>
      <c r="I72" s="963">
        <v>9.2226004899999996</v>
      </c>
      <c r="J72" s="963">
        <v>3.9525430700000004</v>
      </c>
      <c r="K72" s="963">
        <v>0</v>
      </c>
      <c r="L72" s="963">
        <v>0</v>
      </c>
      <c r="M72" s="963">
        <v>0</v>
      </c>
      <c r="N72" s="963">
        <v>0</v>
      </c>
      <c r="O72" s="963">
        <v>0</v>
      </c>
      <c r="P72" s="963">
        <v>0</v>
      </c>
      <c r="Q72" s="963">
        <v>0</v>
      </c>
      <c r="R72" s="963">
        <v>0</v>
      </c>
      <c r="S72" s="963">
        <v>0</v>
      </c>
      <c r="T72" s="963">
        <v>0</v>
      </c>
      <c r="U72" s="963">
        <v>0</v>
      </c>
      <c r="V72" s="963">
        <v>0</v>
      </c>
      <c r="W72" s="963">
        <v>0</v>
      </c>
      <c r="X72" s="963">
        <v>0</v>
      </c>
      <c r="Y72" s="963">
        <v>0</v>
      </c>
      <c r="Z72" s="963">
        <v>0</v>
      </c>
      <c r="AA72" s="963">
        <v>0</v>
      </c>
      <c r="AB72" s="963">
        <v>0</v>
      </c>
      <c r="AC72" s="963">
        <v>0</v>
      </c>
      <c r="AD72" s="963">
        <v>0</v>
      </c>
      <c r="AE72" s="963">
        <v>0</v>
      </c>
      <c r="AF72" s="963">
        <v>0</v>
      </c>
      <c r="AG72" s="963">
        <v>0</v>
      </c>
      <c r="AH72" s="773">
        <f t="shared" si="15"/>
        <v>151.51415084999996</v>
      </c>
    </row>
    <row r="73" spans="2:34" s="738" customFormat="1" x14ac:dyDescent="0.25">
      <c r="B73" s="782" t="s">
        <v>771</v>
      </c>
      <c r="C73" s="963">
        <v>228.10130534000001</v>
      </c>
      <c r="D73" s="963">
        <v>441.94627910000003</v>
      </c>
      <c r="E73" s="963">
        <v>484.71527383999995</v>
      </c>
      <c r="F73" s="963">
        <v>570.25326336000001</v>
      </c>
      <c r="G73" s="963">
        <v>570.25326336000001</v>
      </c>
      <c r="H73" s="773">
        <v>570.25326336000001</v>
      </c>
      <c r="I73" s="963">
        <v>531.37235903999999</v>
      </c>
      <c r="J73" s="963">
        <v>479.53115327999996</v>
      </c>
      <c r="K73" s="963">
        <v>427.68994751999998</v>
      </c>
      <c r="L73" s="963">
        <v>375.84874176</v>
      </c>
      <c r="M73" s="963">
        <v>324.00753600000002</v>
      </c>
      <c r="N73" s="963">
        <v>272.16633024000004</v>
      </c>
      <c r="O73" s="963">
        <v>220.32512448</v>
      </c>
      <c r="P73" s="963">
        <v>168.48391871999999</v>
      </c>
      <c r="Q73" s="963">
        <v>116.64271296000001</v>
      </c>
      <c r="R73" s="963">
        <v>64.801507200000003</v>
      </c>
      <c r="S73" s="963">
        <v>12.96030144</v>
      </c>
      <c r="T73" s="963">
        <v>0</v>
      </c>
      <c r="U73" s="963">
        <v>0</v>
      </c>
      <c r="V73" s="963">
        <v>0</v>
      </c>
      <c r="W73" s="963">
        <v>0</v>
      </c>
      <c r="X73" s="963">
        <v>0</v>
      </c>
      <c r="Y73" s="963">
        <v>0</v>
      </c>
      <c r="Z73" s="963">
        <v>0</v>
      </c>
      <c r="AA73" s="963">
        <v>0</v>
      </c>
      <c r="AB73" s="963">
        <v>0</v>
      </c>
      <c r="AC73" s="963">
        <v>0</v>
      </c>
      <c r="AD73" s="963">
        <v>0</v>
      </c>
      <c r="AE73" s="963">
        <v>0</v>
      </c>
      <c r="AF73" s="963">
        <v>0</v>
      </c>
      <c r="AG73" s="963">
        <v>0</v>
      </c>
      <c r="AH73" s="773">
        <f t="shared" si="15"/>
        <v>5859.3522809999995</v>
      </c>
    </row>
    <row r="74" spans="2:34" s="738" customFormat="1" x14ac:dyDescent="0.25">
      <c r="B74" s="782" t="s">
        <v>769</v>
      </c>
      <c r="C74" s="963">
        <v>80.453060260000001</v>
      </c>
      <c r="D74" s="963">
        <v>80.453060260000001</v>
      </c>
      <c r="E74" s="963">
        <v>120.67959040000001</v>
      </c>
      <c r="F74" s="963">
        <v>111.02522316</v>
      </c>
      <c r="G74" s="963">
        <v>91.716488699999985</v>
      </c>
      <c r="H74" s="773">
        <v>72.407754240000003</v>
      </c>
      <c r="I74" s="963">
        <v>123.89771281</v>
      </c>
      <c r="J74" s="963">
        <v>78.843999060000002</v>
      </c>
      <c r="K74" s="963">
        <v>33.790285310000002</v>
      </c>
      <c r="L74" s="963">
        <v>0</v>
      </c>
      <c r="M74" s="963">
        <v>0</v>
      </c>
      <c r="N74" s="963">
        <v>0</v>
      </c>
      <c r="O74" s="963">
        <v>0</v>
      </c>
      <c r="P74" s="963">
        <v>0</v>
      </c>
      <c r="Q74" s="963">
        <v>0</v>
      </c>
      <c r="R74" s="963">
        <v>0</v>
      </c>
      <c r="S74" s="963">
        <v>0</v>
      </c>
      <c r="T74" s="963">
        <v>0</v>
      </c>
      <c r="U74" s="963">
        <v>0</v>
      </c>
      <c r="V74" s="963">
        <v>0</v>
      </c>
      <c r="W74" s="963">
        <v>0</v>
      </c>
      <c r="X74" s="963">
        <v>0</v>
      </c>
      <c r="Y74" s="963">
        <v>0</v>
      </c>
      <c r="Z74" s="963">
        <v>0</v>
      </c>
      <c r="AA74" s="963">
        <v>0</v>
      </c>
      <c r="AB74" s="963">
        <v>0</v>
      </c>
      <c r="AC74" s="963">
        <v>0</v>
      </c>
      <c r="AD74" s="963">
        <v>0</v>
      </c>
      <c r="AE74" s="963">
        <v>0</v>
      </c>
      <c r="AF74" s="963">
        <v>0</v>
      </c>
      <c r="AG74" s="963">
        <v>0</v>
      </c>
      <c r="AH74" s="773">
        <f t="shared" si="15"/>
        <v>793.2671742</v>
      </c>
    </row>
    <row r="75" spans="2:34" s="738" customFormat="1" x14ac:dyDescent="0.25">
      <c r="B75" s="782" t="s">
        <v>770</v>
      </c>
      <c r="C75" s="963">
        <v>230.64432521999998</v>
      </c>
      <c r="D75" s="963">
        <v>307.52576696</v>
      </c>
      <c r="E75" s="963">
        <v>743.18727014000001</v>
      </c>
      <c r="F75" s="963">
        <v>845.69585912000002</v>
      </c>
      <c r="G75" s="963">
        <v>845.69585912000002</v>
      </c>
      <c r="H75" s="773">
        <v>845.69585912000002</v>
      </c>
      <c r="I75" s="963">
        <v>973.83159536000005</v>
      </c>
      <c r="J75" s="963">
        <v>1025.08588986</v>
      </c>
      <c r="K75" s="963">
        <v>1025.08588986</v>
      </c>
      <c r="L75" s="963">
        <v>973.83159536000005</v>
      </c>
      <c r="M75" s="963">
        <v>768.81441739000002</v>
      </c>
      <c r="N75" s="963">
        <v>563.79723941999998</v>
      </c>
      <c r="O75" s="963">
        <v>358.78006145000001</v>
      </c>
      <c r="P75" s="963">
        <v>153.76288348</v>
      </c>
      <c r="Q75" s="963">
        <v>0</v>
      </c>
      <c r="R75" s="963">
        <v>0</v>
      </c>
      <c r="S75" s="963">
        <v>0</v>
      </c>
      <c r="T75" s="963">
        <v>0</v>
      </c>
      <c r="U75" s="963">
        <v>0</v>
      </c>
      <c r="V75" s="963">
        <v>0</v>
      </c>
      <c r="W75" s="963">
        <v>0</v>
      </c>
      <c r="X75" s="963">
        <v>0</v>
      </c>
      <c r="Y75" s="963">
        <v>0</v>
      </c>
      <c r="Z75" s="963">
        <v>0</v>
      </c>
      <c r="AA75" s="963">
        <v>0</v>
      </c>
      <c r="AB75" s="963">
        <v>0</v>
      </c>
      <c r="AC75" s="963">
        <v>0</v>
      </c>
      <c r="AD75" s="963">
        <v>0</v>
      </c>
      <c r="AE75" s="963">
        <v>0</v>
      </c>
      <c r="AF75" s="963">
        <v>0</v>
      </c>
      <c r="AG75" s="963">
        <v>0</v>
      </c>
      <c r="AH75" s="773">
        <f t="shared" si="15"/>
        <v>9661.4345118599995</v>
      </c>
    </row>
    <row r="76" spans="2:34" s="738" customFormat="1" x14ac:dyDescent="0.25">
      <c r="B76" s="784" t="s">
        <v>772</v>
      </c>
      <c r="C76" s="963">
        <v>262.05278197999996</v>
      </c>
      <c r="D76" s="963">
        <v>366.87389475999998</v>
      </c>
      <c r="E76" s="963">
        <v>366.87389475999998</v>
      </c>
      <c r="F76" s="963">
        <v>366.87389475999998</v>
      </c>
      <c r="G76" s="963">
        <v>366.87389475999998</v>
      </c>
      <c r="H76" s="773">
        <v>366.87389475999998</v>
      </c>
      <c r="I76" s="963">
        <v>360.32257521000002</v>
      </c>
      <c r="J76" s="963">
        <v>334.11729701000002</v>
      </c>
      <c r="K76" s="963">
        <v>428.87745478999994</v>
      </c>
      <c r="L76" s="963">
        <v>392.37724587000002</v>
      </c>
      <c r="M76" s="963">
        <v>355.87703695000005</v>
      </c>
      <c r="N76" s="963">
        <v>319.37682802999996</v>
      </c>
      <c r="O76" s="963">
        <v>282.87661911000004</v>
      </c>
      <c r="P76" s="963">
        <v>246.37641019</v>
      </c>
      <c r="Q76" s="963">
        <v>209.87620126999997</v>
      </c>
      <c r="R76" s="963">
        <v>173.37599235000002</v>
      </c>
      <c r="S76" s="963">
        <v>136.87578343000001</v>
      </c>
      <c r="T76" s="963">
        <v>100.37557452999999</v>
      </c>
      <c r="U76" s="963">
        <v>63.875365610000003</v>
      </c>
      <c r="V76" s="963">
        <v>27.375156690000001</v>
      </c>
      <c r="W76" s="963">
        <v>0</v>
      </c>
      <c r="X76" s="963">
        <v>0</v>
      </c>
      <c r="Y76" s="963">
        <v>0</v>
      </c>
      <c r="Z76" s="963">
        <v>0</v>
      </c>
      <c r="AA76" s="963">
        <v>0</v>
      </c>
      <c r="AB76" s="963">
        <v>0</v>
      </c>
      <c r="AC76" s="963">
        <v>0</v>
      </c>
      <c r="AD76" s="963">
        <v>0</v>
      </c>
      <c r="AE76" s="963">
        <v>0</v>
      </c>
      <c r="AF76" s="963">
        <v>0</v>
      </c>
      <c r="AG76" s="963">
        <v>0</v>
      </c>
      <c r="AH76" s="773">
        <f t="shared" si="15"/>
        <v>5528.3777968200002</v>
      </c>
    </row>
    <row r="77" spans="2:34" s="738" customFormat="1" x14ac:dyDescent="0.25">
      <c r="B77" s="782" t="s">
        <v>774</v>
      </c>
      <c r="C77" s="963">
        <v>23.534967640000001</v>
      </c>
      <c r="D77" s="963">
        <v>31.37995686</v>
      </c>
      <c r="E77" s="963">
        <v>75.834895739999993</v>
      </c>
      <c r="F77" s="963">
        <v>85.314257710000007</v>
      </c>
      <c r="G77" s="963">
        <v>81.391763109999999</v>
      </c>
      <c r="H77" s="773">
        <v>77.469268499999998</v>
      </c>
      <c r="I77" s="963">
        <v>78.004154129999989</v>
      </c>
      <c r="J77" s="963">
        <v>84.393065789999994</v>
      </c>
      <c r="K77" s="963">
        <v>79.638526889999994</v>
      </c>
      <c r="L77" s="963">
        <v>74.883987969999993</v>
      </c>
      <c r="M77" s="963">
        <v>70.129449049999991</v>
      </c>
      <c r="N77" s="963">
        <v>65.374910129999989</v>
      </c>
      <c r="O77" s="963">
        <v>60.620371209999995</v>
      </c>
      <c r="P77" s="963">
        <v>55.865832290000007</v>
      </c>
      <c r="Q77" s="963">
        <v>51.111293370000006</v>
      </c>
      <c r="R77" s="963">
        <v>46.356754450000004</v>
      </c>
      <c r="S77" s="963">
        <v>41.602215530000002</v>
      </c>
      <c r="T77" s="963">
        <v>36.847676610000001</v>
      </c>
      <c r="U77" s="963">
        <v>32.093137710000001</v>
      </c>
      <c r="V77" s="963">
        <v>27.338598789999999</v>
      </c>
      <c r="W77" s="963">
        <v>22.584059870000001</v>
      </c>
      <c r="X77" s="963">
        <v>17.829520949999999</v>
      </c>
      <c r="Y77" s="963">
        <v>13.074982030000001</v>
      </c>
      <c r="Z77" s="963">
        <v>8.3204431099999994</v>
      </c>
      <c r="AA77" s="963">
        <v>3.5659041899999999</v>
      </c>
      <c r="AB77" s="963">
        <v>0</v>
      </c>
      <c r="AC77" s="963">
        <v>0</v>
      </c>
      <c r="AD77" s="963">
        <v>0</v>
      </c>
      <c r="AE77" s="963">
        <v>0</v>
      </c>
      <c r="AF77" s="963">
        <v>0</v>
      </c>
      <c r="AG77" s="963">
        <v>0</v>
      </c>
      <c r="AH77" s="773">
        <f t="shared" si="15"/>
        <v>1244.55999363</v>
      </c>
    </row>
    <row r="78" spans="2:34" s="738" customFormat="1" x14ac:dyDescent="0.25">
      <c r="B78" s="782" t="s">
        <v>779</v>
      </c>
      <c r="C78" s="963">
        <v>21.944316920000002</v>
      </c>
      <c r="D78" s="963">
        <v>21.944316920000002</v>
      </c>
      <c r="E78" s="963">
        <v>21.944316920000002</v>
      </c>
      <c r="F78" s="963">
        <v>20.847101070000001</v>
      </c>
      <c r="G78" s="963">
        <v>16.45823768</v>
      </c>
      <c r="H78" s="773">
        <v>12.069374300000002</v>
      </c>
      <c r="I78" s="963">
        <v>7.6805109199999997</v>
      </c>
      <c r="J78" s="963">
        <v>3.29164754</v>
      </c>
      <c r="K78" s="963">
        <v>0</v>
      </c>
      <c r="L78" s="963">
        <v>0</v>
      </c>
      <c r="M78" s="963">
        <v>0</v>
      </c>
      <c r="N78" s="963">
        <v>0</v>
      </c>
      <c r="O78" s="963">
        <v>0</v>
      </c>
      <c r="P78" s="963">
        <v>0</v>
      </c>
      <c r="Q78" s="963">
        <v>0</v>
      </c>
      <c r="R78" s="963">
        <v>0</v>
      </c>
      <c r="S78" s="963">
        <v>0</v>
      </c>
      <c r="T78" s="963">
        <v>0</v>
      </c>
      <c r="U78" s="963">
        <v>0</v>
      </c>
      <c r="V78" s="963">
        <v>0</v>
      </c>
      <c r="W78" s="963">
        <v>0</v>
      </c>
      <c r="X78" s="963">
        <v>0</v>
      </c>
      <c r="Y78" s="963">
        <v>0</v>
      </c>
      <c r="Z78" s="963">
        <v>0</v>
      </c>
      <c r="AA78" s="963">
        <v>0</v>
      </c>
      <c r="AB78" s="963">
        <v>0</v>
      </c>
      <c r="AC78" s="963">
        <v>0</v>
      </c>
      <c r="AD78" s="963">
        <v>0</v>
      </c>
      <c r="AE78" s="963">
        <v>0</v>
      </c>
      <c r="AF78" s="963">
        <v>0</v>
      </c>
      <c r="AG78" s="963">
        <v>0</v>
      </c>
      <c r="AH78" s="773">
        <f t="shared" si="15"/>
        <v>126.17982227</v>
      </c>
    </row>
    <row r="79" spans="2:34" s="738" customFormat="1" x14ac:dyDescent="0.25">
      <c r="B79" s="784" t="s">
        <v>777</v>
      </c>
      <c r="C79" s="964">
        <v>144.35357647999999</v>
      </c>
      <c r="D79" s="964">
        <v>279.68505443999999</v>
      </c>
      <c r="E79" s="964">
        <v>306.75135001999996</v>
      </c>
      <c r="F79" s="964">
        <v>360.88394119999998</v>
      </c>
      <c r="G79" s="964">
        <v>360.88394119999998</v>
      </c>
      <c r="H79" s="773">
        <v>360.88394119999998</v>
      </c>
      <c r="I79" s="964">
        <v>336.30774479999997</v>
      </c>
      <c r="J79" s="964">
        <v>303.53948293999997</v>
      </c>
      <c r="K79" s="964">
        <v>270.77122108000003</v>
      </c>
      <c r="L79" s="964">
        <v>238.00295922000001</v>
      </c>
      <c r="M79" s="964">
        <v>205.23469736000001</v>
      </c>
      <c r="N79" s="964">
        <v>172.46643549999999</v>
      </c>
      <c r="O79" s="964">
        <v>139.69817363999999</v>
      </c>
      <c r="P79" s="964">
        <v>106.92991178</v>
      </c>
      <c r="Q79" s="964">
        <v>74.161649920000002</v>
      </c>
      <c r="R79" s="964">
        <v>41.393388059999999</v>
      </c>
      <c r="S79" s="964">
        <v>8.4085958299999994</v>
      </c>
      <c r="T79" s="964">
        <v>0</v>
      </c>
      <c r="U79" s="964">
        <v>0</v>
      </c>
      <c r="V79" s="964">
        <v>0</v>
      </c>
      <c r="W79" s="964">
        <v>0</v>
      </c>
      <c r="X79" s="964">
        <v>0</v>
      </c>
      <c r="Y79" s="964">
        <v>0</v>
      </c>
      <c r="Z79" s="964">
        <v>0</v>
      </c>
      <c r="AA79" s="964">
        <v>0</v>
      </c>
      <c r="AB79" s="964">
        <v>0</v>
      </c>
      <c r="AC79" s="964">
        <v>0</v>
      </c>
      <c r="AD79" s="964">
        <v>0</v>
      </c>
      <c r="AE79" s="964">
        <v>0</v>
      </c>
      <c r="AF79" s="964">
        <v>0</v>
      </c>
      <c r="AG79" s="964">
        <v>0</v>
      </c>
      <c r="AH79" s="773">
        <f t="shared" si="15"/>
        <v>3710.3560646699993</v>
      </c>
    </row>
    <row r="80" spans="2:34" s="738" customFormat="1" x14ac:dyDescent="0.25">
      <c r="B80" s="784" t="s">
        <v>775</v>
      </c>
      <c r="C80" s="964">
        <v>67.620517599999999</v>
      </c>
      <c r="D80" s="964">
        <v>67.620517599999999</v>
      </c>
      <c r="E80" s="964">
        <v>101.4307764</v>
      </c>
      <c r="F80" s="964">
        <v>93.316314289999994</v>
      </c>
      <c r="G80" s="964">
        <v>77.087390060000004</v>
      </c>
      <c r="H80" s="773">
        <v>60.858465840000001</v>
      </c>
      <c r="I80" s="964">
        <v>104.1355971</v>
      </c>
      <c r="J80" s="964">
        <v>66.26810725</v>
      </c>
      <c r="K80" s="964">
        <v>28.400617390000001</v>
      </c>
      <c r="L80" s="964">
        <v>0</v>
      </c>
      <c r="M80" s="964">
        <v>0</v>
      </c>
      <c r="N80" s="964">
        <v>0</v>
      </c>
      <c r="O80" s="964">
        <v>0</v>
      </c>
      <c r="P80" s="964">
        <v>0</v>
      </c>
      <c r="Q80" s="964">
        <v>0</v>
      </c>
      <c r="R80" s="964">
        <v>0</v>
      </c>
      <c r="S80" s="964">
        <v>0</v>
      </c>
      <c r="T80" s="964">
        <v>0</v>
      </c>
      <c r="U80" s="964">
        <v>0</v>
      </c>
      <c r="V80" s="964">
        <v>0</v>
      </c>
      <c r="W80" s="964">
        <v>0</v>
      </c>
      <c r="X80" s="964">
        <v>0</v>
      </c>
      <c r="Y80" s="964">
        <v>0</v>
      </c>
      <c r="Z80" s="964">
        <v>0</v>
      </c>
      <c r="AA80" s="964">
        <v>0</v>
      </c>
      <c r="AB80" s="964">
        <v>0</v>
      </c>
      <c r="AC80" s="964">
        <v>0</v>
      </c>
      <c r="AD80" s="964">
        <v>0</v>
      </c>
      <c r="AE80" s="964">
        <v>0</v>
      </c>
      <c r="AF80" s="964">
        <v>0</v>
      </c>
      <c r="AG80" s="964">
        <v>0</v>
      </c>
      <c r="AH80" s="773">
        <f t="shared" si="15"/>
        <v>666.73830352999994</v>
      </c>
    </row>
    <row r="81" spans="2:34" s="738" customFormat="1" x14ac:dyDescent="0.25">
      <c r="B81" s="782" t="s">
        <v>776</v>
      </c>
      <c r="C81" s="963">
        <v>214.54701997999999</v>
      </c>
      <c r="D81" s="963">
        <v>286.06269330000003</v>
      </c>
      <c r="E81" s="963">
        <v>691.31817548000004</v>
      </c>
      <c r="F81" s="963">
        <v>786.67240658000003</v>
      </c>
      <c r="G81" s="963">
        <v>786.67240658000003</v>
      </c>
      <c r="H81" s="773">
        <v>786.67240658000003</v>
      </c>
      <c r="I81" s="963">
        <v>905.86519546</v>
      </c>
      <c r="J81" s="963">
        <v>953.54231100000004</v>
      </c>
      <c r="K81" s="963">
        <v>953.54231100000004</v>
      </c>
      <c r="L81" s="963">
        <v>905.8651954500001</v>
      </c>
      <c r="M81" s="963">
        <v>715.15673325</v>
      </c>
      <c r="N81" s="963">
        <v>524.44827105000002</v>
      </c>
      <c r="O81" s="963">
        <v>333.73980885000003</v>
      </c>
      <c r="P81" s="963">
        <v>143.03134664999999</v>
      </c>
      <c r="Q81" s="963">
        <v>0</v>
      </c>
      <c r="R81" s="963">
        <v>0</v>
      </c>
      <c r="S81" s="963">
        <v>0</v>
      </c>
      <c r="T81" s="963">
        <v>0</v>
      </c>
      <c r="U81" s="963">
        <v>0</v>
      </c>
      <c r="V81" s="963">
        <v>0</v>
      </c>
      <c r="W81" s="963">
        <v>0</v>
      </c>
      <c r="X81" s="963">
        <v>0</v>
      </c>
      <c r="Y81" s="963">
        <v>0</v>
      </c>
      <c r="Z81" s="963">
        <v>0</v>
      </c>
      <c r="AA81" s="963">
        <v>0</v>
      </c>
      <c r="AB81" s="963">
        <v>0</v>
      </c>
      <c r="AC81" s="963">
        <v>0</v>
      </c>
      <c r="AD81" s="963">
        <v>0</v>
      </c>
      <c r="AE81" s="963">
        <v>0</v>
      </c>
      <c r="AF81" s="963">
        <v>0</v>
      </c>
      <c r="AG81" s="963">
        <v>0</v>
      </c>
      <c r="AH81" s="773">
        <f t="shared" si="15"/>
        <v>8987.1362812099997</v>
      </c>
    </row>
    <row r="82" spans="2:34" s="738" customFormat="1" x14ac:dyDescent="0.25">
      <c r="B82" s="782" t="s">
        <v>778</v>
      </c>
      <c r="C82" s="963">
        <v>37.575684280000004</v>
      </c>
      <c r="D82" s="963">
        <v>52.605957979999999</v>
      </c>
      <c r="E82" s="963">
        <v>52.605957979999999</v>
      </c>
      <c r="F82" s="963">
        <v>52.605957979999999</v>
      </c>
      <c r="G82" s="963">
        <v>52.605957979999999</v>
      </c>
      <c r="H82" s="773">
        <v>52.605957979999999</v>
      </c>
      <c r="I82" s="963">
        <v>51.666565879999993</v>
      </c>
      <c r="J82" s="963">
        <v>47.908997450000001</v>
      </c>
      <c r="K82" s="963">
        <v>61.496633280000005</v>
      </c>
      <c r="L82" s="963">
        <v>56.262877259999996</v>
      </c>
      <c r="M82" s="963">
        <v>51.029121240000002</v>
      </c>
      <c r="N82" s="963">
        <v>45.79536521</v>
      </c>
      <c r="O82" s="963">
        <v>40.561609189999999</v>
      </c>
      <c r="P82" s="963">
        <v>35.327853170000004</v>
      </c>
      <c r="Q82" s="963">
        <v>30.094097140000002</v>
      </c>
      <c r="R82" s="963">
        <v>24.860341120000001</v>
      </c>
      <c r="S82" s="963">
        <v>19.626585089999999</v>
      </c>
      <c r="T82" s="963">
        <v>14.392829069999999</v>
      </c>
      <c r="U82" s="963">
        <v>9.1590730499999999</v>
      </c>
      <c r="V82" s="963">
        <v>3.9253170199999996</v>
      </c>
      <c r="W82" s="963">
        <v>0</v>
      </c>
      <c r="X82" s="963">
        <v>0</v>
      </c>
      <c r="Y82" s="963">
        <v>0</v>
      </c>
      <c r="Z82" s="963">
        <v>0</v>
      </c>
      <c r="AA82" s="963">
        <v>0</v>
      </c>
      <c r="AB82" s="963">
        <v>0</v>
      </c>
      <c r="AC82" s="963">
        <v>0</v>
      </c>
      <c r="AD82" s="963">
        <v>0</v>
      </c>
      <c r="AE82" s="963">
        <v>0</v>
      </c>
      <c r="AF82" s="963">
        <v>0</v>
      </c>
      <c r="AG82" s="963">
        <v>0</v>
      </c>
      <c r="AH82" s="773">
        <f t="shared" si="15"/>
        <v>792.71273935000011</v>
      </c>
    </row>
    <row r="83" spans="2:34" s="738" customFormat="1" x14ac:dyDescent="0.25">
      <c r="B83" s="782" t="s">
        <v>498</v>
      </c>
      <c r="C83" s="963">
        <v>0.91986756000000003</v>
      </c>
      <c r="D83" s="963">
        <v>0.30662252000000001</v>
      </c>
      <c r="E83" s="963">
        <v>0.30662252000000001</v>
      </c>
      <c r="F83" s="963">
        <v>0.30662252000000001</v>
      </c>
      <c r="G83" s="963">
        <v>0.30662252000000001</v>
      </c>
      <c r="H83" s="773">
        <v>0.30662252000000001</v>
      </c>
      <c r="I83" s="963">
        <v>0.30662252000000001</v>
      </c>
      <c r="J83" s="963">
        <v>0.30662252000000001</v>
      </c>
      <c r="K83" s="963">
        <v>0.30662252000000001</v>
      </c>
      <c r="L83" s="963">
        <v>0.30662252000000001</v>
      </c>
      <c r="M83" s="963">
        <v>0.30662252000000001</v>
      </c>
      <c r="N83" s="963">
        <v>0.30662252000000001</v>
      </c>
      <c r="O83" s="963">
        <v>0.30662252000000001</v>
      </c>
      <c r="P83" s="963">
        <v>0.25602981000000002</v>
      </c>
      <c r="Q83" s="963">
        <v>0.15484438</v>
      </c>
      <c r="R83" s="963">
        <v>5.2125830000000005E-2</v>
      </c>
      <c r="S83" s="963">
        <v>0</v>
      </c>
      <c r="T83" s="963">
        <v>0</v>
      </c>
      <c r="U83" s="963">
        <v>0</v>
      </c>
      <c r="V83" s="963">
        <v>0</v>
      </c>
      <c r="W83" s="963">
        <v>0</v>
      </c>
      <c r="X83" s="963">
        <v>0</v>
      </c>
      <c r="Y83" s="963">
        <v>0</v>
      </c>
      <c r="Z83" s="963">
        <v>0</v>
      </c>
      <c r="AA83" s="963">
        <v>0</v>
      </c>
      <c r="AB83" s="963">
        <v>0</v>
      </c>
      <c r="AC83" s="963">
        <v>0</v>
      </c>
      <c r="AD83" s="963">
        <v>0</v>
      </c>
      <c r="AE83" s="963">
        <v>0</v>
      </c>
      <c r="AF83" s="963">
        <v>0</v>
      </c>
      <c r="AG83" s="963">
        <v>0</v>
      </c>
      <c r="AH83" s="773">
        <f t="shared" si="15"/>
        <v>5.0623378199999998</v>
      </c>
    </row>
    <row r="84" spans="2:34" s="738" customFormat="1" x14ac:dyDescent="0.25">
      <c r="B84" s="782" t="s">
        <v>497</v>
      </c>
      <c r="C84" s="963">
        <v>0.33823937999999998</v>
      </c>
      <c r="D84" s="963">
        <v>9.4143290000000004E-2</v>
      </c>
      <c r="E84" s="963">
        <v>5.6936960000000002E-2</v>
      </c>
      <c r="F84" s="963">
        <v>1.9166900000000001E-2</v>
      </c>
      <c r="G84" s="963">
        <v>0</v>
      </c>
      <c r="H84" s="773">
        <v>0</v>
      </c>
      <c r="I84" s="963">
        <v>0</v>
      </c>
      <c r="J84" s="963">
        <v>0</v>
      </c>
      <c r="K84" s="963">
        <v>0</v>
      </c>
      <c r="L84" s="963">
        <v>0</v>
      </c>
      <c r="M84" s="963">
        <v>0</v>
      </c>
      <c r="N84" s="963">
        <v>0</v>
      </c>
      <c r="O84" s="963">
        <v>0</v>
      </c>
      <c r="P84" s="963">
        <v>0</v>
      </c>
      <c r="Q84" s="963">
        <v>0</v>
      </c>
      <c r="R84" s="963">
        <v>0</v>
      </c>
      <c r="S84" s="963">
        <v>0</v>
      </c>
      <c r="T84" s="963">
        <v>0</v>
      </c>
      <c r="U84" s="963">
        <v>0</v>
      </c>
      <c r="V84" s="963">
        <v>0</v>
      </c>
      <c r="W84" s="963">
        <v>0</v>
      </c>
      <c r="X84" s="963">
        <v>0</v>
      </c>
      <c r="Y84" s="963">
        <v>0</v>
      </c>
      <c r="Z84" s="963">
        <v>0</v>
      </c>
      <c r="AA84" s="963">
        <v>0</v>
      </c>
      <c r="AB84" s="963">
        <v>0</v>
      </c>
      <c r="AC84" s="963">
        <v>0</v>
      </c>
      <c r="AD84" s="963">
        <v>0</v>
      </c>
      <c r="AE84" s="963">
        <v>0</v>
      </c>
      <c r="AF84" s="963">
        <v>0</v>
      </c>
      <c r="AG84" s="963">
        <v>0</v>
      </c>
      <c r="AH84" s="773">
        <f t="shared" si="15"/>
        <v>0.50848652999999999</v>
      </c>
    </row>
    <row r="85" spans="2:34" s="738" customFormat="1" x14ac:dyDescent="0.25">
      <c r="B85" s="782" t="s">
        <v>559</v>
      </c>
      <c r="C85" s="963">
        <v>4.7850609899999998</v>
      </c>
      <c r="D85" s="963">
        <v>0.68420494999999992</v>
      </c>
      <c r="E85" s="963">
        <v>0.22825055</v>
      </c>
      <c r="F85" s="963">
        <v>0</v>
      </c>
      <c r="G85" s="963">
        <v>0</v>
      </c>
      <c r="H85" s="773">
        <v>0</v>
      </c>
      <c r="I85" s="963">
        <v>0</v>
      </c>
      <c r="J85" s="963">
        <v>0</v>
      </c>
      <c r="K85" s="963">
        <v>0</v>
      </c>
      <c r="L85" s="963">
        <v>0</v>
      </c>
      <c r="M85" s="963">
        <v>0</v>
      </c>
      <c r="N85" s="963">
        <v>0</v>
      </c>
      <c r="O85" s="963">
        <v>0</v>
      </c>
      <c r="P85" s="963">
        <v>0</v>
      </c>
      <c r="Q85" s="963">
        <v>0</v>
      </c>
      <c r="R85" s="963">
        <v>0</v>
      </c>
      <c r="S85" s="963">
        <v>0</v>
      </c>
      <c r="T85" s="963">
        <v>0</v>
      </c>
      <c r="U85" s="963">
        <v>0</v>
      </c>
      <c r="V85" s="963">
        <v>0</v>
      </c>
      <c r="W85" s="963">
        <v>0</v>
      </c>
      <c r="X85" s="963">
        <v>0</v>
      </c>
      <c r="Y85" s="963">
        <v>0</v>
      </c>
      <c r="Z85" s="963">
        <v>0</v>
      </c>
      <c r="AA85" s="963">
        <v>0</v>
      </c>
      <c r="AB85" s="963">
        <v>0</v>
      </c>
      <c r="AC85" s="963">
        <v>0</v>
      </c>
      <c r="AD85" s="963">
        <v>0</v>
      </c>
      <c r="AE85" s="963">
        <v>0</v>
      </c>
      <c r="AF85" s="963">
        <v>0</v>
      </c>
      <c r="AG85" s="963">
        <v>0</v>
      </c>
      <c r="AH85" s="773">
        <f t="shared" si="15"/>
        <v>5.6975164899999999</v>
      </c>
    </row>
    <row r="86" spans="2:34" s="738" customFormat="1" x14ac:dyDescent="0.25">
      <c r="B86" s="782" t="s">
        <v>592</v>
      </c>
      <c r="C86" s="963">
        <v>21.674848665596109</v>
      </c>
      <c r="D86" s="963">
        <v>18.941392056447686</v>
      </c>
      <c r="E86" s="963">
        <v>16.021543120583942</v>
      </c>
      <c r="F86" s="963">
        <v>12.897493171581509</v>
      </c>
      <c r="G86" s="963">
        <v>9.5567195997080283</v>
      </c>
      <c r="H86" s="773">
        <v>5.984793502287105</v>
      </c>
      <c r="I86" s="963">
        <v>2.1663024586861317</v>
      </c>
      <c r="J86" s="963">
        <v>0</v>
      </c>
      <c r="K86" s="963">
        <v>0</v>
      </c>
      <c r="L86" s="963">
        <v>0</v>
      </c>
      <c r="M86" s="963">
        <v>0</v>
      </c>
      <c r="N86" s="963">
        <v>0</v>
      </c>
      <c r="O86" s="963">
        <v>0</v>
      </c>
      <c r="P86" s="963">
        <v>0</v>
      </c>
      <c r="Q86" s="963">
        <v>0</v>
      </c>
      <c r="R86" s="963">
        <v>0</v>
      </c>
      <c r="S86" s="963">
        <v>0</v>
      </c>
      <c r="T86" s="963">
        <v>0</v>
      </c>
      <c r="U86" s="963">
        <v>0</v>
      </c>
      <c r="V86" s="963">
        <v>0</v>
      </c>
      <c r="W86" s="963">
        <v>0</v>
      </c>
      <c r="X86" s="963">
        <v>0</v>
      </c>
      <c r="Y86" s="963">
        <v>0</v>
      </c>
      <c r="Z86" s="963">
        <v>0</v>
      </c>
      <c r="AA86" s="963">
        <v>0</v>
      </c>
      <c r="AB86" s="963">
        <v>0</v>
      </c>
      <c r="AC86" s="963">
        <v>0</v>
      </c>
      <c r="AD86" s="963">
        <v>0</v>
      </c>
      <c r="AE86" s="963">
        <v>0</v>
      </c>
      <c r="AF86" s="963">
        <v>0</v>
      </c>
      <c r="AG86" s="963">
        <v>0</v>
      </c>
      <c r="AH86" s="773">
        <f t="shared" si="15"/>
        <v>87.243092574890511</v>
      </c>
    </row>
    <row r="87" spans="2:34" s="738" customFormat="1" x14ac:dyDescent="0.25">
      <c r="B87" s="782" t="s">
        <v>557</v>
      </c>
      <c r="C87" s="963">
        <v>121.14641274997568</v>
      </c>
      <c r="D87" s="963">
        <v>0</v>
      </c>
      <c r="E87" s="963">
        <v>0</v>
      </c>
      <c r="F87" s="963">
        <v>0</v>
      </c>
      <c r="G87" s="963">
        <v>0</v>
      </c>
      <c r="H87" s="773">
        <v>0</v>
      </c>
      <c r="I87" s="963">
        <v>0</v>
      </c>
      <c r="J87" s="963">
        <v>0</v>
      </c>
      <c r="K87" s="963">
        <v>0</v>
      </c>
      <c r="L87" s="963">
        <v>0</v>
      </c>
      <c r="M87" s="963">
        <v>0</v>
      </c>
      <c r="N87" s="963">
        <v>0</v>
      </c>
      <c r="O87" s="963">
        <v>0</v>
      </c>
      <c r="P87" s="963">
        <v>0</v>
      </c>
      <c r="Q87" s="963">
        <v>0</v>
      </c>
      <c r="R87" s="963">
        <v>0</v>
      </c>
      <c r="S87" s="963">
        <v>0</v>
      </c>
      <c r="T87" s="963">
        <v>0</v>
      </c>
      <c r="U87" s="963">
        <v>0</v>
      </c>
      <c r="V87" s="963">
        <v>0</v>
      </c>
      <c r="W87" s="963">
        <v>0</v>
      </c>
      <c r="X87" s="963">
        <v>0</v>
      </c>
      <c r="Y87" s="963">
        <v>0</v>
      </c>
      <c r="Z87" s="963">
        <v>0</v>
      </c>
      <c r="AA87" s="963">
        <v>0</v>
      </c>
      <c r="AB87" s="963">
        <v>0</v>
      </c>
      <c r="AC87" s="963">
        <v>0</v>
      </c>
      <c r="AD87" s="963">
        <v>0</v>
      </c>
      <c r="AE87" s="963">
        <v>0</v>
      </c>
      <c r="AF87" s="963">
        <v>0</v>
      </c>
      <c r="AG87" s="963">
        <v>0</v>
      </c>
      <c r="AH87" s="773">
        <f t="shared" si="15"/>
        <v>121.14641274997568</v>
      </c>
    </row>
    <row r="88" spans="2:34" s="738" customFormat="1" x14ac:dyDescent="0.25">
      <c r="B88" s="782" t="s">
        <v>802</v>
      </c>
      <c r="C88" s="822">
        <v>0</v>
      </c>
      <c r="D88" s="822">
        <v>0</v>
      </c>
      <c r="E88" s="822">
        <v>0</v>
      </c>
      <c r="F88" s="822">
        <v>0</v>
      </c>
      <c r="G88" s="822">
        <v>0</v>
      </c>
      <c r="H88" s="773">
        <v>0</v>
      </c>
      <c r="I88" s="822">
        <v>0</v>
      </c>
      <c r="J88" s="822">
        <v>0</v>
      </c>
      <c r="K88" s="822">
        <v>0</v>
      </c>
      <c r="L88" s="822">
        <v>0</v>
      </c>
      <c r="M88" s="822">
        <v>0</v>
      </c>
      <c r="N88" s="822">
        <v>0</v>
      </c>
      <c r="O88" s="822">
        <v>0</v>
      </c>
      <c r="P88" s="822">
        <v>0</v>
      </c>
      <c r="Q88" s="822">
        <v>0</v>
      </c>
      <c r="R88" s="822">
        <v>0</v>
      </c>
      <c r="S88" s="822">
        <v>0</v>
      </c>
      <c r="T88" s="822">
        <v>0</v>
      </c>
      <c r="U88" s="822">
        <v>0</v>
      </c>
      <c r="V88" s="822">
        <v>0</v>
      </c>
      <c r="W88" s="822">
        <v>0</v>
      </c>
      <c r="X88" s="822">
        <v>0</v>
      </c>
      <c r="Y88" s="822">
        <v>0</v>
      </c>
      <c r="Z88" s="822">
        <v>0</v>
      </c>
      <c r="AA88" s="822">
        <v>0</v>
      </c>
      <c r="AB88" s="822">
        <v>0</v>
      </c>
      <c r="AC88" s="822">
        <v>0</v>
      </c>
      <c r="AD88" s="822">
        <v>0</v>
      </c>
      <c r="AE88" s="822">
        <v>0</v>
      </c>
      <c r="AF88" s="822">
        <v>0</v>
      </c>
      <c r="AG88" s="822">
        <v>0</v>
      </c>
      <c r="AH88" s="773">
        <f t="shared" si="15"/>
        <v>0</v>
      </c>
    </row>
    <row r="89" spans="2:34" s="738" customFormat="1" x14ac:dyDescent="0.25">
      <c r="B89" s="784" t="s">
        <v>743</v>
      </c>
      <c r="C89" s="773">
        <v>0.62497239999999998</v>
      </c>
      <c r="D89" s="773">
        <v>0.24998895999999998</v>
      </c>
      <c r="E89" s="773">
        <v>0</v>
      </c>
      <c r="F89" s="773">
        <v>0</v>
      </c>
      <c r="G89" s="773">
        <v>0</v>
      </c>
      <c r="H89" s="773">
        <v>0</v>
      </c>
      <c r="I89" s="822">
        <v>0</v>
      </c>
      <c r="J89" s="822">
        <v>0</v>
      </c>
      <c r="K89" s="822">
        <v>0</v>
      </c>
      <c r="L89" s="822">
        <v>0</v>
      </c>
      <c r="M89" s="822">
        <v>0</v>
      </c>
      <c r="N89" s="822">
        <v>0</v>
      </c>
      <c r="O89" s="822">
        <v>0</v>
      </c>
      <c r="P89" s="822">
        <v>0</v>
      </c>
      <c r="Q89" s="822">
        <v>0</v>
      </c>
      <c r="R89" s="822">
        <v>0</v>
      </c>
      <c r="S89" s="822">
        <v>0</v>
      </c>
      <c r="T89" s="822">
        <v>0</v>
      </c>
      <c r="U89" s="822">
        <v>0</v>
      </c>
      <c r="V89" s="822">
        <v>0</v>
      </c>
      <c r="W89" s="822">
        <v>0</v>
      </c>
      <c r="X89" s="822">
        <v>0</v>
      </c>
      <c r="Y89" s="822">
        <v>0</v>
      </c>
      <c r="Z89" s="822">
        <v>0</v>
      </c>
      <c r="AA89" s="822">
        <v>0</v>
      </c>
      <c r="AB89" s="822">
        <v>0</v>
      </c>
      <c r="AC89" s="822">
        <v>0</v>
      </c>
      <c r="AD89" s="822">
        <v>0</v>
      </c>
      <c r="AE89" s="822">
        <v>0</v>
      </c>
      <c r="AF89" s="822">
        <v>0</v>
      </c>
      <c r="AG89" s="822">
        <v>0</v>
      </c>
      <c r="AH89" s="773">
        <f t="shared" si="15"/>
        <v>0.87496135999999991</v>
      </c>
    </row>
    <row r="90" spans="2:34" s="738" customFormat="1" x14ac:dyDescent="0.25">
      <c r="B90" s="784" t="s">
        <v>742</v>
      </c>
      <c r="C90" s="822">
        <v>0.63395440000000003</v>
      </c>
      <c r="D90" s="822">
        <v>0</v>
      </c>
      <c r="E90" s="822">
        <v>0</v>
      </c>
      <c r="F90" s="822">
        <v>0</v>
      </c>
      <c r="G90" s="822">
        <v>0</v>
      </c>
      <c r="H90" s="773">
        <v>0</v>
      </c>
      <c r="I90" s="822">
        <v>0</v>
      </c>
      <c r="J90" s="822">
        <v>0</v>
      </c>
      <c r="K90" s="822">
        <v>0</v>
      </c>
      <c r="L90" s="822">
        <v>0</v>
      </c>
      <c r="M90" s="822">
        <v>0</v>
      </c>
      <c r="N90" s="822">
        <v>0</v>
      </c>
      <c r="O90" s="822">
        <v>0</v>
      </c>
      <c r="P90" s="822">
        <v>0</v>
      </c>
      <c r="Q90" s="822">
        <v>0</v>
      </c>
      <c r="R90" s="822">
        <v>0</v>
      </c>
      <c r="S90" s="822">
        <v>0</v>
      </c>
      <c r="T90" s="822">
        <v>0</v>
      </c>
      <c r="U90" s="822">
        <v>0</v>
      </c>
      <c r="V90" s="822">
        <v>0</v>
      </c>
      <c r="W90" s="822">
        <v>0</v>
      </c>
      <c r="X90" s="822">
        <v>0</v>
      </c>
      <c r="Y90" s="822">
        <v>0</v>
      </c>
      <c r="Z90" s="822">
        <v>0</v>
      </c>
      <c r="AA90" s="822">
        <v>0</v>
      </c>
      <c r="AB90" s="822">
        <v>0</v>
      </c>
      <c r="AC90" s="822">
        <v>0</v>
      </c>
      <c r="AD90" s="822">
        <v>0</v>
      </c>
      <c r="AE90" s="822">
        <v>0</v>
      </c>
      <c r="AF90" s="822">
        <v>0</v>
      </c>
      <c r="AG90" s="822">
        <v>0</v>
      </c>
      <c r="AH90" s="772">
        <f t="shared" si="15"/>
        <v>0.63395440000000003</v>
      </c>
    </row>
    <row r="91" spans="2:34" s="738" customFormat="1" x14ac:dyDescent="0.25">
      <c r="B91" s="782" t="s">
        <v>804</v>
      </c>
      <c r="C91" s="773">
        <v>0.97618748</v>
      </c>
      <c r="D91" s="773">
        <v>0</v>
      </c>
      <c r="E91" s="773">
        <v>0</v>
      </c>
      <c r="F91" s="773">
        <v>0</v>
      </c>
      <c r="G91" s="773">
        <v>0</v>
      </c>
      <c r="H91" s="773">
        <v>0</v>
      </c>
      <c r="I91" s="773">
        <v>0</v>
      </c>
      <c r="J91" s="773">
        <v>0</v>
      </c>
      <c r="K91" s="773">
        <v>0</v>
      </c>
      <c r="L91" s="773">
        <v>0</v>
      </c>
      <c r="M91" s="773">
        <v>0</v>
      </c>
      <c r="N91" s="773">
        <v>0</v>
      </c>
      <c r="O91" s="773">
        <v>0</v>
      </c>
      <c r="P91" s="773">
        <v>0</v>
      </c>
      <c r="Q91" s="773">
        <v>0</v>
      </c>
      <c r="R91" s="773">
        <v>0</v>
      </c>
      <c r="S91" s="773">
        <v>0</v>
      </c>
      <c r="T91" s="773">
        <v>0</v>
      </c>
      <c r="U91" s="773">
        <v>0</v>
      </c>
      <c r="V91" s="773">
        <v>0</v>
      </c>
      <c r="W91" s="773">
        <v>0</v>
      </c>
      <c r="X91" s="773">
        <v>0</v>
      </c>
      <c r="Y91" s="773">
        <v>0</v>
      </c>
      <c r="Z91" s="773">
        <v>0</v>
      </c>
      <c r="AA91" s="773">
        <v>0</v>
      </c>
      <c r="AB91" s="773">
        <v>0</v>
      </c>
      <c r="AC91" s="773">
        <v>0</v>
      </c>
      <c r="AD91" s="773">
        <v>0</v>
      </c>
      <c r="AE91" s="773">
        <v>0</v>
      </c>
      <c r="AF91" s="773">
        <v>0</v>
      </c>
      <c r="AG91" s="773">
        <v>0</v>
      </c>
      <c r="AH91" s="772">
        <f t="shared" si="15"/>
        <v>0.97618748</v>
      </c>
    </row>
    <row r="92" spans="2:34" s="738" customFormat="1" x14ac:dyDescent="0.25">
      <c r="B92" s="784" t="s">
        <v>477</v>
      </c>
      <c r="C92" s="773">
        <v>145.6769404350365</v>
      </c>
      <c r="D92" s="773">
        <v>145.6769404350365</v>
      </c>
      <c r="E92" s="773">
        <v>145.6769404350365</v>
      </c>
      <c r="F92" s="773">
        <v>145.6769404350365</v>
      </c>
      <c r="G92" s="773">
        <v>145.6769404350365</v>
      </c>
      <c r="H92" s="773">
        <v>0</v>
      </c>
      <c r="I92" s="773">
        <v>0</v>
      </c>
      <c r="J92" s="773">
        <v>0</v>
      </c>
      <c r="K92" s="773">
        <v>0</v>
      </c>
      <c r="L92" s="773">
        <v>0</v>
      </c>
      <c r="M92" s="773">
        <v>0</v>
      </c>
      <c r="N92" s="773">
        <v>0</v>
      </c>
      <c r="O92" s="773">
        <v>0</v>
      </c>
      <c r="P92" s="773">
        <v>0</v>
      </c>
      <c r="Q92" s="773">
        <v>0</v>
      </c>
      <c r="R92" s="773">
        <v>0</v>
      </c>
      <c r="S92" s="773">
        <v>0</v>
      </c>
      <c r="T92" s="773">
        <v>0</v>
      </c>
      <c r="U92" s="773">
        <v>0</v>
      </c>
      <c r="V92" s="773">
        <v>0</v>
      </c>
      <c r="W92" s="773">
        <v>0</v>
      </c>
      <c r="X92" s="773">
        <v>0</v>
      </c>
      <c r="Y92" s="773">
        <v>0</v>
      </c>
      <c r="Z92" s="773">
        <v>0</v>
      </c>
      <c r="AA92" s="773">
        <v>0</v>
      </c>
      <c r="AB92" s="773">
        <v>0</v>
      </c>
      <c r="AC92" s="773">
        <v>0</v>
      </c>
      <c r="AD92" s="773">
        <v>0</v>
      </c>
      <c r="AE92" s="773">
        <v>0</v>
      </c>
      <c r="AF92" s="773">
        <v>0</v>
      </c>
      <c r="AG92" s="773">
        <v>0</v>
      </c>
      <c r="AH92" s="772">
        <f t="shared" si="15"/>
        <v>728.3847021751825</v>
      </c>
    </row>
    <row r="93" spans="2:34" s="738" customFormat="1" x14ac:dyDescent="0.25">
      <c r="B93" s="782" t="s">
        <v>478</v>
      </c>
      <c r="C93" s="773">
        <v>99.893493809829678</v>
      </c>
      <c r="D93" s="773">
        <v>99.893493809829678</v>
      </c>
      <c r="E93" s="773">
        <v>0</v>
      </c>
      <c r="F93" s="773">
        <v>0</v>
      </c>
      <c r="G93" s="773">
        <v>0</v>
      </c>
      <c r="H93" s="773">
        <v>0</v>
      </c>
      <c r="I93" s="773">
        <v>0</v>
      </c>
      <c r="J93" s="773">
        <v>0</v>
      </c>
      <c r="K93" s="773">
        <v>0</v>
      </c>
      <c r="L93" s="773">
        <v>0</v>
      </c>
      <c r="M93" s="773">
        <v>0</v>
      </c>
      <c r="N93" s="773">
        <v>0</v>
      </c>
      <c r="O93" s="773">
        <v>0</v>
      </c>
      <c r="P93" s="773">
        <v>0</v>
      </c>
      <c r="Q93" s="773">
        <v>0</v>
      </c>
      <c r="R93" s="773">
        <v>0</v>
      </c>
      <c r="S93" s="773">
        <v>0</v>
      </c>
      <c r="T93" s="773">
        <v>0</v>
      </c>
      <c r="U93" s="773">
        <v>0</v>
      </c>
      <c r="V93" s="773">
        <v>0</v>
      </c>
      <c r="W93" s="773">
        <v>0</v>
      </c>
      <c r="X93" s="773">
        <v>0</v>
      </c>
      <c r="Y93" s="773">
        <v>0</v>
      </c>
      <c r="Z93" s="773">
        <v>0</v>
      </c>
      <c r="AA93" s="773">
        <v>0</v>
      </c>
      <c r="AB93" s="773">
        <v>0</v>
      </c>
      <c r="AC93" s="773">
        <v>0</v>
      </c>
      <c r="AD93" s="773">
        <v>0</v>
      </c>
      <c r="AE93" s="773">
        <v>0</v>
      </c>
      <c r="AF93" s="773">
        <v>0</v>
      </c>
      <c r="AG93" s="773">
        <v>0</v>
      </c>
      <c r="AH93" s="772">
        <f t="shared" si="15"/>
        <v>199.78698761965936</v>
      </c>
    </row>
    <row r="94" spans="2:34" s="738" customFormat="1" x14ac:dyDescent="0.25">
      <c r="B94" s="782" t="s">
        <v>741</v>
      </c>
      <c r="C94" s="773">
        <v>395.45543702647205</v>
      </c>
      <c r="D94" s="773">
        <v>0</v>
      </c>
      <c r="E94" s="773">
        <v>0</v>
      </c>
      <c r="F94" s="773">
        <v>0</v>
      </c>
      <c r="G94" s="773">
        <v>0</v>
      </c>
      <c r="H94" s="773">
        <v>0</v>
      </c>
      <c r="I94" s="773">
        <v>0</v>
      </c>
      <c r="J94" s="773">
        <v>0</v>
      </c>
      <c r="K94" s="773">
        <v>0</v>
      </c>
      <c r="L94" s="773">
        <v>0</v>
      </c>
      <c r="M94" s="773">
        <v>0</v>
      </c>
      <c r="N94" s="773">
        <v>0</v>
      </c>
      <c r="O94" s="773">
        <v>0</v>
      </c>
      <c r="P94" s="773">
        <v>0</v>
      </c>
      <c r="Q94" s="773">
        <v>0</v>
      </c>
      <c r="R94" s="773">
        <v>0</v>
      </c>
      <c r="S94" s="773">
        <v>0</v>
      </c>
      <c r="T94" s="773">
        <v>0</v>
      </c>
      <c r="U94" s="773">
        <v>0</v>
      </c>
      <c r="V94" s="773">
        <v>0</v>
      </c>
      <c r="W94" s="773">
        <v>0</v>
      </c>
      <c r="X94" s="773">
        <v>0</v>
      </c>
      <c r="Y94" s="773">
        <v>0</v>
      </c>
      <c r="Z94" s="773">
        <v>0</v>
      </c>
      <c r="AA94" s="773">
        <v>0</v>
      </c>
      <c r="AB94" s="773">
        <v>0</v>
      </c>
      <c r="AC94" s="773">
        <v>0</v>
      </c>
      <c r="AD94" s="773">
        <v>0</v>
      </c>
      <c r="AE94" s="773">
        <v>0</v>
      </c>
      <c r="AF94" s="773">
        <v>0</v>
      </c>
      <c r="AG94" s="773">
        <v>0</v>
      </c>
      <c r="AH94" s="772">
        <f t="shared" si="15"/>
        <v>395.45543702647205</v>
      </c>
    </row>
    <row r="95" spans="2:34" s="738" customFormat="1" x14ac:dyDescent="0.25">
      <c r="B95" s="784" t="s">
        <v>813</v>
      </c>
      <c r="C95" s="773">
        <v>222.92992945197082</v>
      </c>
      <c r="D95" s="773">
        <v>56.190557560486624</v>
      </c>
      <c r="E95" s="773">
        <v>0</v>
      </c>
      <c r="F95" s="773">
        <v>0</v>
      </c>
      <c r="G95" s="773">
        <v>0</v>
      </c>
      <c r="H95" s="773">
        <v>0</v>
      </c>
      <c r="I95" s="773">
        <v>0</v>
      </c>
      <c r="J95" s="773">
        <v>0</v>
      </c>
      <c r="K95" s="773">
        <v>0</v>
      </c>
      <c r="L95" s="773">
        <v>0</v>
      </c>
      <c r="M95" s="773">
        <v>0</v>
      </c>
      <c r="N95" s="773">
        <v>0</v>
      </c>
      <c r="O95" s="773">
        <v>0</v>
      </c>
      <c r="P95" s="773">
        <v>0</v>
      </c>
      <c r="Q95" s="773">
        <v>0</v>
      </c>
      <c r="R95" s="773">
        <v>0</v>
      </c>
      <c r="S95" s="773">
        <v>0</v>
      </c>
      <c r="T95" s="773">
        <v>0</v>
      </c>
      <c r="U95" s="773">
        <v>0</v>
      </c>
      <c r="V95" s="773">
        <v>0</v>
      </c>
      <c r="W95" s="773">
        <v>0</v>
      </c>
      <c r="X95" s="773">
        <v>0</v>
      </c>
      <c r="Y95" s="773">
        <v>0</v>
      </c>
      <c r="Z95" s="773">
        <v>0</v>
      </c>
      <c r="AA95" s="773">
        <v>0</v>
      </c>
      <c r="AB95" s="773">
        <v>0</v>
      </c>
      <c r="AC95" s="773">
        <v>0</v>
      </c>
      <c r="AD95" s="773">
        <v>0</v>
      </c>
      <c r="AE95" s="773">
        <v>0</v>
      </c>
      <c r="AF95" s="773">
        <v>0</v>
      </c>
      <c r="AG95" s="773">
        <v>0</v>
      </c>
      <c r="AH95" s="772">
        <f t="shared" si="15"/>
        <v>279.12048701245743</v>
      </c>
    </row>
    <row r="96" spans="2:34" s="738" customFormat="1" x14ac:dyDescent="0.25">
      <c r="B96" s="784" t="s">
        <v>838</v>
      </c>
      <c r="C96" s="783">
        <v>3.2272712599999998</v>
      </c>
      <c r="D96" s="783">
        <v>0</v>
      </c>
      <c r="E96" s="783">
        <v>0</v>
      </c>
      <c r="F96" s="783">
        <v>0</v>
      </c>
      <c r="G96" s="783">
        <v>0</v>
      </c>
      <c r="H96" s="773">
        <v>0</v>
      </c>
      <c r="I96" s="783">
        <v>0</v>
      </c>
      <c r="J96" s="783">
        <v>0</v>
      </c>
      <c r="K96" s="783">
        <v>0</v>
      </c>
      <c r="L96" s="783">
        <v>0</v>
      </c>
      <c r="M96" s="783">
        <v>0</v>
      </c>
      <c r="N96" s="783">
        <v>0</v>
      </c>
      <c r="O96" s="783">
        <v>0</v>
      </c>
      <c r="P96" s="783">
        <v>0</v>
      </c>
      <c r="Q96" s="783">
        <v>0</v>
      </c>
      <c r="R96" s="783">
        <v>0</v>
      </c>
      <c r="S96" s="783">
        <v>0</v>
      </c>
      <c r="T96" s="783">
        <v>0</v>
      </c>
      <c r="U96" s="783">
        <v>0</v>
      </c>
      <c r="V96" s="783">
        <v>0</v>
      </c>
      <c r="W96" s="783">
        <v>0</v>
      </c>
      <c r="X96" s="783">
        <v>0</v>
      </c>
      <c r="Y96" s="783">
        <v>0</v>
      </c>
      <c r="Z96" s="783">
        <v>0</v>
      </c>
      <c r="AA96" s="783">
        <v>0</v>
      </c>
      <c r="AB96" s="783">
        <v>0</v>
      </c>
      <c r="AC96" s="783">
        <v>0</v>
      </c>
      <c r="AD96" s="783">
        <v>0</v>
      </c>
      <c r="AE96" s="783">
        <v>0</v>
      </c>
      <c r="AF96" s="783">
        <v>0</v>
      </c>
      <c r="AG96" s="783">
        <v>0</v>
      </c>
      <c r="AH96" s="772">
        <f t="shared" si="15"/>
        <v>3.2272712599999998</v>
      </c>
    </row>
    <row r="97" spans="2:34" s="738" customFormat="1" x14ac:dyDescent="0.25">
      <c r="B97" s="784" t="s">
        <v>840</v>
      </c>
      <c r="C97" s="783">
        <v>26.91973206978102</v>
      </c>
      <c r="D97" s="783">
        <v>26.919731033673965</v>
      </c>
      <c r="E97" s="783">
        <v>26.99348372145985</v>
      </c>
      <c r="F97" s="783">
        <v>24.676420114160582</v>
      </c>
      <c r="G97" s="783">
        <v>20.189798275231144</v>
      </c>
      <c r="H97" s="773">
        <v>15.703176436107055</v>
      </c>
      <c r="I97" s="783">
        <v>11.24728488379562</v>
      </c>
      <c r="J97" s="783">
        <v>6.7299327583454991</v>
      </c>
      <c r="K97" s="783">
        <v>2.2433109193187346</v>
      </c>
      <c r="L97" s="783">
        <v>0</v>
      </c>
      <c r="M97" s="783">
        <v>0</v>
      </c>
      <c r="N97" s="783">
        <v>0</v>
      </c>
      <c r="O97" s="783">
        <v>0</v>
      </c>
      <c r="P97" s="783">
        <v>0</v>
      </c>
      <c r="Q97" s="783">
        <v>0</v>
      </c>
      <c r="R97" s="783">
        <v>0</v>
      </c>
      <c r="S97" s="783">
        <v>0</v>
      </c>
      <c r="T97" s="783">
        <v>0</v>
      </c>
      <c r="U97" s="783">
        <v>0</v>
      </c>
      <c r="V97" s="783">
        <v>0</v>
      </c>
      <c r="W97" s="783">
        <v>0</v>
      </c>
      <c r="X97" s="783">
        <v>0</v>
      </c>
      <c r="Y97" s="783">
        <v>0</v>
      </c>
      <c r="Z97" s="783">
        <v>0</v>
      </c>
      <c r="AA97" s="783">
        <v>0</v>
      </c>
      <c r="AB97" s="783">
        <v>0</v>
      </c>
      <c r="AC97" s="783">
        <v>0</v>
      </c>
      <c r="AD97" s="783">
        <v>0</v>
      </c>
      <c r="AE97" s="783">
        <v>0</v>
      </c>
      <c r="AF97" s="783">
        <v>0</v>
      </c>
      <c r="AG97" s="783">
        <v>0</v>
      </c>
      <c r="AH97" s="772">
        <f t="shared" si="15"/>
        <v>161.62287021187348</v>
      </c>
    </row>
    <row r="98" spans="2:34" s="738" customFormat="1" x14ac:dyDescent="0.25">
      <c r="B98" s="784" t="s">
        <v>841</v>
      </c>
      <c r="C98" s="783">
        <v>41.097331864720196</v>
      </c>
      <c r="D98" s="783">
        <v>36.71313600593674</v>
      </c>
      <c r="E98" s="783">
        <v>32.419026363503654</v>
      </c>
      <c r="F98" s="783">
        <v>27.944744288564475</v>
      </c>
      <c r="G98" s="783">
        <v>23.560548429781022</v>
      </c>
      <c r="H98" s="773">
        <v>19.176352571094892</v>
      </c>
      <c r="I98" s="783">
        <v>14.834196946666667</v>
      </c>
      <c r="J98" s="783">
        <v>10.407960853722628</v>
      </c>
      <c r="K98" s="783">
        <v>6.0237649949391727</v>
      </c>
      <c r="L98" s="783">
        <v>1.6395691362530411</v>
      </c>
      <c r="M98" s="783">
        <v>0</v>
      </c>
      <c r="N98" s="783">
        <v>0</v>
      </c>
      <c r="O98" s="783">
        <v>0</v>
      </c>
      <c r="P98" s="783">
        <v>0</v>
      </c>
      <c r="Q98" s="783">
        <v>0</v>
      </c>
      <c r="R98" s="783">
        <v>0</v>
      </c>
      <c r="S98" s="783">
        <v>0</v>
      </c>
      <c r="T98" s="783">
        <v>0</v>
      </c>
      <c r="U98" s="783">
        <v>0</v>
      </c>
      <c r="V98" s="783">
        <v>0</v>
      </c>
      <c r="W98" s="783">
        <v>0</v>
      </c>
      <c r="X98" s="783">
        <v>0</v>
      </c>
      <c r="Y98" s="783">
        <v>0</v>
      </c>
      <c r="Z98" s="783">
        <v>0</v>
      </c>
      <c r="AA98" s="783">
        <v>0</v>
      </c>
      <c r="AB98" s="783">
        <v>0</v>
      </c>
      <c r="AC98" s="783">
        <v>0</v>
      </c>
      <c r="AD98" s="783">
        <v>0</v>
      </c>
      <c r="AE98" s="783">
        <v>0</v>
      </c>
      <c r="AF98" s="783">
        <v>0</v>
      </c>
      <c r="AG98" s="783">
        <v>0</v>
      </c>
      <c r="AH98" s="772">
        <f t="shared" si="15"/>
        <v>213.81663145518249</v>
      </c>
    </row>
    <row r="99" spans="2:34" s="738" customFormat="1" x14ac:dyDescent="0.25">
      <c r="B99" s="782" t="s">
        <v>850</v>
      </c>
      <c r="C99" s="783">
        <v>7.4984117799999996</v>
      </c>
      <c r="D99" s="783">
        <v>3.3326274599999999</v>
      </c>
      <c r="E99" s="783">
        <v>0</v>
      </c>
      <c r="F99" s="783">
        <v>0</v>
      </c>
      <c r="G99" s="783">
        <v>0</v>
      </c>
      <c r="H99" s="773">
        <v>0</v>
      </c>
      <c r="I99" s="783">
        <v>0</v>
      </c>
      <c r="J99" s="783">
        <v>0</v>
      </c>
      <c r="K99" s="783">
        <v>0</v>
      </c>
      <c r="L99" s="783">
        <v>0</v>
      </c>
      <c r="M99" s="783">
        <v>0</v>
      </c>
      <c r="N99" s="783">
        <v>0</v>
      </c>
      <c r="O99" s="783">
        <v>0</v>
      </c>
      <c r="P99" s="783">
        <v>0</v>
      </c>
      <c r="Q99" s="783">
        <v>0</v>
      </c>
      <c r="R99" s="783">
        <v>0</v>
      </c>
      <c r="S99" s="783">
        <v>0</v>
      </c>
      <c r="T99" s="783">
        <v>0</v>
      </c>
      <c r="U99" s="783">
        <v>0</v>
      </c>
      <c r="V99" s="783">
        <v>0</v>
      </c>
      <c r="W99" s="783">
        <v>0</v>
      </c>
      <c r="X99" s="783">
        <v>0</v>
      </c>
      <c r="Y99" s="783">
        <v>0</v>
      </c>
      <c r="Z99" s="783">
        <v>0</v>
      </c>
      <c r="AA99" s="783">
        <v>0</v>
      </c>
      <c r="AB99" s="783">
        <v>0</v>
      </c>
      <c r="AC99" s="783">
        <v>0</v>
      </c>
      <c r="AD99" s="783">
        <v>0</v>
      </c>
      <c r="AE99" s="783">
        <v>0</v>
      </c>
      <c r="AF99" s="783">
        <v>0</v>
      </c>
      <c r="AG99" s="783">
        <v>0</v>
      </c>
      <c r="AH99" s="772">
        <f t="shared" si="15"/>
        <v>10.831039239999999</v>
      </c>
    </row>
    <row r="100" spans="2:34" s="738" customFormat="1" x14ac:dyDescent="0.25">
      <c r="B100" s="784" t="s">
        <v>889</v>
      </c>
      <c r="C100" s="783">
        <v>16.149780620340636</v>
      </c>
      <c r="D100" s="783">
        <v>15.29959422403893</v>
      </c>
      <c r="E100" s="783">
        <v>13.076676475133821</v>
      </c>
      <c r="F100" s="783">
        <v>10.777655650413624</v>
      </c>
      <c r="G100" s="783">
        <v>5.8446719754744523</v>
      </c>
      <c r="H100" s="773">
        <v>0</v>
      </c>
      <c r="I100" s="783">
        <v>0</v>
      </c>
      <c r="J100" s="783">
        <v>0</v>
      </c>
      <c r="K100" s="783">
        <v>0</v>
      </c>
      <c r="L100" s="783">
        <v>0</v>
      </c>
      <c r="M100" s="783">
        <v>0</v>
      </c>
      <c r="N100" s="783">
        <v>0</v>
      </c>
      <c r="O100" s="783">
        <v>0</v>
      </c>
      <c r="P100" s="783">
        <v>0</v>
      </c>
      <c r="Q100" s="783">
        <v>0</v>
      </c>
      <c r="R100" s="783">
        <v>0</v>
      </c>
      <c r="S100" s="783">
        <v>0</v>
      </c>
      <c r="T100" s="783">
        <v>0</v>
      </c>
      <c r="U100" s="783">
        <v>0</v>
      </c>
      <c r="V100" s="783">
        <v>0</v>
      </c>
      <c r="W100" s="783">
        <v>0</v>
      </c>
      <c r="X100" s="783">
        <v>0</v>
      </c>
      <c r="Y100" s="783">
        <v>0</v>
      </c>
      <c r="Z100" s="783">
        <v>0</v>
      </c>
      <c r="AA100" s="783">
        <v>0</v>
      </c>
      <c r="AB100" s="783">
        <v>0</v>
      </c>
      <c r="AC100" s="783">
        <v>0</v>
      </c>
      <c r="AD100" s="783">
        <v>0</v>
      </c>
      <c r="AE100" s="783">
        <v>0</v>
      </c>
      <c r="AF100" s="783">
        <v>0</v>
      </c>
      <c r="AG100" s="783">
        <v>0</v>
      </c>
      <c r="AH100" s="772">
        <f t="shared" si="15"/>
        <v>61.148378945401461</v>
      </c>
    </row>
    <row r="101" spans="2:34" s="738" customFormat="1" x14ac:dyDescent="0.25">
      <c r="B101" s="782" t="s">
        <v>697</v>
      </c>
      <c r="C101" s="773">
        <v>29.245511293934126</v>
      </c>
      <c r="D101" s="773">
        <v>0</v>
      </c>
      <c r="E101" s="773">
        <v>0</v>
      </c>
      <c r="F101" s="773">
        <v>0</v>
      </c>
      <c r="G101" s="773">
        <v>0</v>
      </c>
      <c r="H101" s="773">
        <v>0</v>
      </c>
      <c r="I101" s="773">
        <v>0</v>
      </c>
      <c r="J101" s="773">
        <v>0</v>
      </c>
      <c r="K101" s="773">
        <v>0</v>
      </c>
      <c r="L101" s="773">
        <v>0</v>
      </c>
      <c r="M101" s="773">
        <v>0</v>
      </c>
      <c r="N101" s="773">
        <v>0</v>
      </c>
      <c r="O101" s="773">
        <v>0</v>
      </c>
      <c r="P101" s="773">
        <v>0</v>
      </c>
      <c r="Q101" s="773">
        <v>0</v>
      </c>
      <c r="R101" s="773">
        <v>0</v>
      </c>
      <c r="S101" s="773">
        <v>0</v>
      </c>
      <c r="T101" s="773">
        <v>0</v>
      </c>
      <c r="U101" s="773">
        <v>0</v>
      </c>
      <c r="V101" s="773">
        <v>0</v>
      </c>
      <c r="W101" s="773">
        <v>0</v>
      </c>
      <c r="X101" s="773">
        <v>0</v>
      </c>
      <c r="Y101" s="773">
        <v>0</v>
      </c>
      <c r="Z101" s="773">
        <v>0</v>
      </c>
      <c r="AA101" s="773">
        <v>0</v>
      </c>
      <c r="AB101" s="773">
        <v>0</v>
      </c>
      <c r="AC101" s="773">
        <v>0</v>
      </c>
      <c r="AD101" s="773">
        <v>0</v>
      </c>
      <c r="AE101" s="773">
        <v>0</v>
      </c>
      <c r="AF101" s="773">
        <v>0</v>
      </c>
      <c r="AG101" s="773">
        <v>0</v>
      </c>
      <c r="AH101" s="772">
        <f t="shared" ref="AH101:AH123" si="29">+SUM(C101:AG101)</f>
        <v>29.245511293934126</v>
      </c>
    </row>
    <row r="102" spans="2:34" s="738" customFormat="1" x14ac:dyDescent="0.25">
      <c r="B102" s="782" t="s">
        <v>795</v>
      </c>
      <c r="C102" s="783">
        <v>73.306268470025628</v>
      </c>
      <c r="D102" s="783">
        <v>73.306268470025628</v>
      </c>
      <c r="E102" s="783">
        <v>0</v>
      </c>
      <c r="F102" s="783">
        <v>0</v>
      </c>
      <c r="G102" s="783">
        <v>0</v>
      </c>
      <c r="H102" s="773">
        <v>0</v>
      </c>
      <c r="I102" s="783">
        <v>0</v>
      </c>
      <c r="J102" s="783">
        <v>0</v>
      </c>
      <c r="K102" s="783">
        <v>0</v>
      </c>
      <c r="L102" s="783">
        <v>0</v>
      </c>
      <c r="M102" s="783">
        <v>0</v>
      </c>
      <c r="N102" s="783">
        <v>0</v>
      </c>
      <c r="O102" s="783">
        <v>0</v>
      </c>
      <c r="P102" s="783">
        <v>0</v>
      </c>
      <c r="Q102" s="783">
        <v>0</v>
      </c>
      <c r="R102" s="783">
        <v>0</v>
      </c>
      <c r="S102" s="783">
        <v>0</v>
      </c>
      <c r="T102" s="783">
        <v>0</v>
      </c>
      <c r="U102" s="783">
        <v>0</v>
      </c>
      <c r="V102" s="783">
        <v>0</v>
      </c>
      <c r="W102" s="783">
        <v>0</v>
      </c>
      <c r="X102" s="783">
        <v>0</v>
      </c>
      <c r="Y102" s="783">
        <v>0</v>
      </c>
      <c r="Z102" s="783">
        <v>0</v>
      </c>
      <c r="AA102" s="783">
        <v>0</v>
      </c>
      <c r="AB102" s="783">
        <v>0</v>
      </c>
      <c r="AC102" s="783">
        <v>0</v>
      </c>
      <c r="AD102" s="783">
        <v>0</v>
      </c>
      <c r="AE102" s="783">
        <v>0</v>
      </c>
      <c r="AF102" s="783">
        <v>0</v>
      </c>
      <c r="AG102" s="783">
        <v>0</v>
      </c>
      <c r="AH102" s="772">
        <f t="shared" si="29"/>
        <v>146.61253694005126</v>
      </c>
    </row>
    <row r="103" spans="2:34" s="738" customFormat="1" x14ac:dyDescent="0.25">
      <c r="B103" s="784" t="s">
        <v>794</v>
      </c>
      <c r="C103" s="783">
        <v>83.771904147289362</v>
      </c>
      <c r="D103" s="783">
        <v>0</v>
      </c>
      <c r="E103" s="783">
        <v>0</v>
      </c>
      <c r="F103" s="783">
        <v>0</v>
      </c>
      <c r="G103" s="783">
        <v>0</v>
      </c>
      <c r="H103" s="773">
        <v>0</v>
      </c>
      <c r="I103" s="783">
        <v>0</v>
      </c>
      <c r="J103" s="783">
        <v>0</v>
      </c>
      <c r="K103" s="783">
        <v>0</v>
      </c>
      <c r="L103" s="783">
        <v>0</v>
      </c>
      <c r="M103" s="783">
        <v>0</v>
      </c>
      <c r="N103" s="783">
        <v>0</v>
      </c>
      <c r="O103" s="783">
        <v>0</v>
      </c>
      <c r="P103" s="783">
        <v>0</v>
      </c>
      <c r="Q103" s="783">
        <v>0</v>
      </c>
      <c r="R103" s="783">
        <v>0</v>
      </c>
      <c r="S103" s="783">
        <v>0</v>
      </c>
      <c r="T103" s="783">
        <v>0</v>
      </c>
      <c r="U103" s="783">
        <v>0</v>
      </c>
      <c r="V103" s="783">
        <v>0</v>
      </c>
      <c r="W103" s="783">
        <v>0</v>
      </c>
      <c r="X103" s="783">
        <v>0</v>
      </c>
      <c r="Y103" s="783">
        <v>0</v>
      </c>
      <c r="Z103" s="783">
        <v>0</v>
      </c>
      <c r="AA103" s="783">
        <v>0</v>
      </c>
      <c r="AB103" s="783">
        <v>0</v>
      </c>
      <c r="AC103" s="783">
        <v>0</v>
      </c>
      <c r="AD103" s="783">
        <v>0</v>
      </c>
      <c r="AE103" s="783">
        <v>0</v>
      </c>
      <c r="AF103" s="783">
        <v>0</v>
      </c>
      <c r="AG103" s="783">
        <v>0</v>
      </c>
      <c r="AH103" s="772">
        <f t="shared" si="29"/>
        <v>83.771904147289362</v>
      </c>
    </row>
    <row r="104" spans="2:34" s="738" customFormat="1" x14ac:dyDescent="0.25">
      <c r="B104" s="784" t="s">
        <v>792</v>
      </c>
      <c r="C104" s="783">
        <v>79.588200033245116</v>
      </c>
      <c r="D104" s="783">
        <v>39.794100016622558</v>
      </c>
      <c r="E104" s="783">
        <v>0</v>
      </c>
      <c r="F104" s="783">
        <v>0</v>
      </c>
      <c r="G104" s="783">
        <v>0</v>
      </c>
      <c r="H104" s="773">
        <v>0</v>
      </c>
      <c r="I104" s="783">
        <v>0</v>
      </c>
      <c r="J104" s="783">
        <v>0</v>
      </c>
      <c r="K104" s="783">
        <v>0</v>
      </c>
      <c r="L104" s="783">
        <v>0</v>
      </c>
      <c r="M104" s="783">
        <v>0</v>
      </c>
      <c r="N104" s="783">
        <v>0</v>
      </c>
      <c r="O104" s="783">
        <v>0</v>
      </c>
      <c r="P104" s="783">
        <v>0</v>
      </c>
      <c r="Q104" s="783">
        <v>0</v>
      </c>
      <c r="R104" s="783">
        <v>0</v>
      </c>
      <c r="S104" s="783">
        <v>0</v>
      </c>
      <c r="T104" s="783">
        <v>0</v>
      </c>
      <c r="U104" s="783">
        <v>0</v>
      </c>
      <c r="V104" s="783">
        <v>0</v>
      </c>
      <c r="W104" s="783">
        <v>0</v>
      </c>
      <c r="X104" s="783">
        <v>0</v>
      </c>
      <c r="Y104" s="783">
        <v>0</v>
      </c>
      <c r="Z104" s="783">
        <v>0</v>
      </c>
      <c r="AA104" s="783">
        <v>0</v>
      </c>
      <c r="AB104" s="783">
        <v>0</v>
      </c>
      <c r="AC104" s="783">
        <v>0</v>
      </c>
      <c r="AD104" s="783">
        <v>0</v>
      </c>
      <c r="AE104" s="783">
        <v>0</v>
      </c>
      <c r="AF104" s="783">
        <v>0</v>
      </c>
      <c r="AG104" s="783">
        <v>0</v>
      </c>
      <c r="AH104" s="772">
        <f t="shared" si="29"/>
        <v>119.38230004986767</v>
      </c>
    </row>
    <row r="105" spans="2:34" s="738" customFormat="1" x14ac:dyDescent="0.25">
      <c r="B105" s="782" t="s">
        <v>793</v>
      </c>
      <c r="C105" s="783">
        <v>95.726523359199831</v>
      </c>
      <c r="D105" s="783">
        <v>95.726523359199831</v>
      </c>
      <c r="E105" s="783">
        <v>47.863261679599916</v>
      </c>
      <c r="F105" s="783">
        <v>0</v>
      </c>
      <c r="G105" s="783">
        <v>0</v>
      </c>
      <c r="H105" s="773">
        <v>0</v>
      </c>
      <c r="I105" s="783">
        <v>0</v>
      </c>
      <c r="J105" s="783">
        <v>0</v>
      </c>
      <c r="K105" s="783">
        <v>0</v>
      </c>
      <c r="L105" s="783">
        <v>0</v>
      </c>
      <c r="M105" s="783">
        <v>0</v>
      </c>
      <c r="N105" s="783">
        <v>0</v>
      </c>
      <c r="O105" s="783">
        <v>0</v>
      </c>
      <c r="P105" s="783">
        <v>0</v>
      </c>
      <c r="Q105" s="783">
        <v>0</v>
      </c>
      <c r="R105" s="783">
        <v>0</v>
      </c>
      <c r="S105" s="783">
        <v>0</v>
      </c>
      <c r="T105" s="783">
        <v>0</v>
      </c>
      <c r="U105" s="783">
        <v>0</v>
      </c>
      <c r="V105" s="783">
        <v>0</v>
      </c>
      <c r="W105" s="783">
        <v>0</v>
      </c>
      <c r="X105" s="783">
        <v>0</v>
      </c>
      <c r="Y105" s="783">
        <v>0</v>
      </c>
      <c r="Z105" s="783">
        <v>0</v>
      </c>
      <c r="AA105" s="783">
        <v>0</v>
      </c>
      <c r="AB105" s="783">
        <v>0</v>
      </c>
      <c r="AC105" s="783">
        <v>0</v>
      </c>
      <c r="AD105" s="783">
        <v>0</v>
      </c>
      <c r="AE105" s="783">
        <v>0</v>
      </c>
      <c r="AF105" s="783">
        <v>0</v>
      </c>
      <c r="AG105" s="783">
        <v>0</v>
      </c>
      <c r="AH105" s="772">
        <f t="shared" si="29"/>
        <v>239.31630839799959</v>
      </c>
    </row>
    <row r="106" spans="2:34" s="738" customFormat="1" x14ac:dyDescent="0.25">
      <c r="B106" s="784" t="s">
        <v>796</v>
      </c>
      <c r="C106" s="773">
        <v>22.128326966369045</v>
      </c>
      <c r="D106" s="773">
        <v>22.128326966369045</v>
      </c>
      <c r="E106" s="773">
        <v>22.128326966369045</v>
      </c>
      <c r="F106" s="773">
        <v>15.489828877962633</v>
      </c>
      <c r="G106" s="773">
        <v>6.6384980921671684</v>
      </c>
      <c r="H106" s="773">
        <v>0</v>
      </c>
      <c r="I106" s="773">
        <v>0</v>
      </c>
      <c r="J106" s="773">
        <v>0</v>
      </c>
      <c r="K106" s="773">
        <v>0</v>
      </c>
      <c r="L106" s="773">
        <v>0</v>
      </c>
      <c r="M106" s="773">
        <v>0</v>
      </c>
      <c r="N106" s="773">
        <v>0</v>
      </c>
      <c r="O106" s="773">
        <v>0</v>
      </c>
      <c r="P106" s="773">
        <v>0</v>
      </c>
      <c r="Q106" s="773">
        <v>0</v>
      </c>
      <c r="R106" s="773">
        <v>0</v>
      </c>
      <c r="S106" s="773">
        <v>0</v>
      </c>
      <c r="T106" s="773">
        <v>0</v>
      </c>
      <c r="U106" s="773">
        <v>0</v>
      </c>
      <c r="V106" s="773">
        <v>0</v>
      </c>
      <c r="W106" s="773">
        <v>0</v>
      </c>
      <c r="X106" s="773">
        <v>0</v>
      </c>
      <c r="Y106" s="773">
        <v>0</v>
      </c>
      <c r="Z106" s="773">
        <v>0</v>
      </c>
      <c r="AA106" s="773">
        <v>0</v>
      </c>
      <c r="AB106" s="773">
        <v>0</v>
      </c>
      <c r="AC106" s="773">
        <v>0</v>
      </c>
      <c r="AD106" s="773">
        <v>0</v>
      </c>
      <c r="AE106" s="773">
        <v>0</v>
      </c>
      <c r="AF106" s="773">
        <v>0</v>
      </c>
      <c r="AG106" s="773">
        <v>0</v>
      </c>
      <c r="AH106" s="772">
        <f t="shared" si="29"/>
        <v>88.513307869236939</v>
      </c>
    </row>
    <row r="107" spans="2:34" s="738" customFormat="1" x14ac:dyDescent="0.25">
      <c r="B107" s="784" t="s">
        <v>797</v>
      </c>
      <c r="C107" s="773">
        <v>3.4413070666910364</v>
      </c>
      <c r="D107" s="773">
        <v>3.4413420643104766</v>
      </c>
      <c r="E107" s="773">
        <v>3.2692749595906494</v>
      </c>
      <c r="F107" s="773">
        <v>2.5810065482328572</v>
      </c>
      <c r="G107" s="773">
        <v>1.8927381368750655</v>
      </c>
      <c r="H107" s="773">
        <v>1.204469721756515</v>
      </c>
      <c r="I107" s="773">
        <v>0.51620131039872319</v>
      </c>
      <c r="J107" s="773">
        <v>0</v>
      </c>
      <c r="K107" s="773">
        <v>0</v>
      </c>
      <c r="L107" s="773">
        <v>0</v>
      </c>
      <c r="M107" s="773">
        <v>0</v>
      </c>
      <c r="N107" s="773">
        <v>0</v>
      </c>
      <c r="O107" s="773">
        <v>0</v>
      </c>
      <c r="P107" s="773">
        <v>0</v>
      </c>
      <c r="Q107" s="773">
        <v>0</v>
      </c>
      <c r="R107" s="773">
        <v>0</v>
      </c>
      <c r="S107" s="773">
        <v>0</v>
      </c>
      <c r="T107" s="773">
        <v>0</v>
      </c>
      <c r="U107" s="773">
        <v>0</v>
      </c>
      <c r="V107" s="773">
        <v>0</v>
      </c>
      <c r="W107" s="773">
        <v>0</v>
      </c>
      <c r="X107" s="773">
        <v>0</v>
      </c>
      <c r="Y107" s="773">
        <v>0</v>
      </c>
      <c r="Z107" s="773">
        <v>0</v>
      </c>
      <c r="AA107" s="773">
        <v>0</v>
      </c>
      <c r="AB107" s="773">
        <v>0</v>
      </c>
      <c r="AC107" s="773">
        <v>0</v>
      </c>
      <c r="AD107" s="773">
        <v>0</v>
      </c>
      <c r="AE107" s="773">
        <v>0</v>
      </c>
      <c r="AF107" s="773">
        <v>0</v>
      </c>
      <c r="AG107" s="773">
        <v>0</v>
      </c>
      <c r="AH107" s="772">
        <f t="shared" si="29"/>
        <v>16.346339807855323</v>
      </c>
    </row>
    <row r="108" spans="2:34" s="738" customFormat="1" x14ac:dyDescent="0.25">
      <c r="B108" s="784" t="s">
        <v>585</v>
      </c>
      <c r="C108" s="773">
        <v>48.299423596052407</v>
      </c>
      <c r="D108" s="773">
        <v>24.149711798026203</v>
      </c>
      <c r="E108" s="773">
        <v>0</v>
      </c>
      <c r="F108" s="773">
        <v>0</v>
      </c>
      <c r="G108" s="773">
        <v>0</v>
      </c>
      <c r="H108" s="773">
        <v>0</v>
      </c>
      <c r="I108" s="773">
        <v>0</v>
      </c>
      <c r="J108" s="773">
        <v>0</v>
      </c>
      <c r="K108" s="773">
        <v>0</v>
      </c>
      <c r="L108" s="773">
        <v>0</v>
      </c>
      <c r="M108" s="773">
        <v>0</v>
      </c>
      <c r="N108" s="773">
        <v>0</v>
      </c>
      <c r="O108" s="773">
        <v>0</v>
      </c>
      <c r="P108" s="773">
        <v>0</v>
      </c>
      <c r="Q108" s="773">
        <v>0</v>
      </c>
      <c r="R108" s="773">
        <v>0</v>
      </c>
      <c r="S108" s="773">
        <v>0</v>
      </c>
      <c r="T108" s="773">
        <v>0</v>
      </c>
      <c r="U108" s="773">
        <v>0</v>
      </c>
      <c r="V108" s="773">
        <v>0</v>
      </c>
      <c r="W108" s="773">
        <v>0</v>
      </c>
      <c r="X108" s="773">
        <v>0</v>
      </c>
      <c r="Y108" s="773">
        <v>0</v>
      </c>
      <c r="Z108" s="773">
        <v>0</v>
      </c>
      <c r="AA108" s="773">
        <v>0</v>
      </c>
      <c r="AB108" s="773">
        <v>0</v>
      </c>
      <c r="AC108" s="773">
        <v>0</v>
      </c>
      <c r="AD108" s="773">
        <v>0</v>
      </c>
      <c r="AE108" s="773">
        <v>0</v>
      </c>
      <c r="AF108" s="773">
        <v>0</v>
      </c>
      <c r="AG108" s="773">
        <v>0</v>
      </c>
      <c r="AH108" s="772">
        <f t="shared" si="29"/>
        <v>72.44913539407861</v>
      </c>
    </row>
    <row r="109" spans="2:34" s="738" customFormat="1" x14ac:dyDescent="0.25">
      <c r="B109" s="784" t="s">
        <v>586</v>
      </c>
      <c r="C109" s="773">
        <v>47.791675049397575</v>
      </c>
      <c r="D109" s="773">
        <v>47.791675049397575</v>
      </c>
      <c r="E109" s="773">
        <v>47.791675049397575</v>
      </c>
      <c r="F109" s="773">
        <v>23.895837524698788</v>
      </c>
      <c r="G109" s="773">
        <v>0</v>
      </c>
      <c r="H109" s="773">
        <v>0</v>
      </c>
      <c r="I109" s="773">
        <v>0</v>
      </c>
      <c r="J109" s="773">
        <v>0</v>
      </c>
      <c r="K109" s="773">
        <v>0</v>
      </c>
      <c r="L109" s="773">
        <v>0</v>
      </c>
      <c r="M109" s="773">
        <v>0</v>
      </c>
      <c r="N109" s="773">
        <v>0</v>
      </c>
      <c r="O109" s="773">
        <v>0</v>
      </c>
      <c r="P109" s="773">
        <v>0</v>
      </c>
      <c r="Q109" s="773">
        <v>0</v>
      </c>
      <c r="R109" s="773">
        <v>0</v>
      </c>
      <c r="S109" s="773">
        <v>0</v>
      </c>
      <c r="T109" s="773">
        <v>0</v>
      </c>
      <c r="U109" s="773">
        <v>0</v>
      </c>
      <c r="V109" s="773">
        <v>0</v>
      </c>
      <c r="W109" s="773">
        <v>0</v>
      </c>
      <c r="X109" s="773">
        <v>0</v>
      </c>
      <c r="Y109" s="773">
        <v>0</v>
      </c>
      <c r="Z109" s="773">
        <v>0</v>
      </c>
      <c r="AA109" s="773">
        <v>0</v>
      </c>
      <c r="AB109" s="773">
        <v>0</v>
      </c>
      <c r="AC109" s="773">
        <v>0</v>
      </c>
      <c r="AD109" s="773">
        <v>0</v>
      </c>
      <c r="AE109" s="773">
        <v>0</v>
      </c>
      <c r="AF109" s="773">
        <v>0</v>
      </c>
      <c r="AG109" s="773">
        <v>0</v>
      </c>
      <c r="AH109" s="772">
        <f t="shared" si="29"/>
        <v>167.2708626728915</v>
      </c>
    </row>
    <row r="110" spans="2:34" s="738" customFormat="1" x14ac:dyDescent="0.25">
      <c r="B110" s="784" t="s">
        <v>597</v>
      </c>
      <c r="C110" s="773">
        <v>91.978742289504709</v>
      </c>
      <c r="D110" s="773">
        <v>0</v>
      </c>
      <c r="E110" s="773">
        <v>0</v>
      </c>
      <c r="F110" s="773">
        <v>0</v>
      </c>
      <c r="G110" s="773">
        <v>0</v>
      </c>
      <c r="H110" s="773">
        <v>0</v>
      </c>
      <c r="I110" s="773">
        <v>0</v>
      </c>
      <c r="J110" s="773">
        <v>0</v>
      </c>
      <c r="K110" s="773">
        <v>0</v>
      </c>
      <c r="L110" s="773">
        <v>0</v>
      </c>
      <c r="M110" s="773">
        <v>0</v>
      </c>
      <c r="N110" s="773">
        <v>0</v>
      </c>
      <c r="O110" s="773">
        <v>0</v>
      </c>
      <c r="P110" s="773">
        <v>0</v>
      </c>
      <c r="Q110" s="773">
        <v>0</v>
      </c>
      <c r="R110" s="773">
        <v>0</v>
      </c>
      <c r="S110" s="773">
        <v>0</v>
      </c>
      <c r="T110" s="773">
        <v>0</v>
      </c>
      <c r="U110" s="773">
        <v>0</v>
      </c>
      <c r="V110" s="773">
        <v>0</v>
      </c>
      <c r="W110" s="773">
        <v>0</v>
      </c>
      <c r="X110" s="773">
        <v>0</v>
      </c>
      <c r="Y110" s="773">
        <v>0</v>
      </c>
      <c r="Z110" s="773">
        <v>0</v>
      </c>
      <c r="AA110" s="773">
        <v>0</v>
      </c>
      <c r="AB110" s="773">
        <v>0</v>
      </c>
      <c r="AC110" s="773">
        <v>0</v>
      </c>
      <c r="AD110" s="773">
        <v>0</v>
      </c>
      <c r="AE110" s="773">
        <v>0</v>
      </c>
      <c r="AF110" s="773">
        <v>0</v>
      </c>
      <c r="AG110" s="773">
        <v>0</v>
      </c>
      <c r="AH110" s="772">
        <f t="shared" si="29"/>
        <v>91.978742289504709</v>
      </c>
    </row>
    <row r="111" spans="2:34" s="738" customFormat="1" x14ac:dyDescent="0.25">
      <c r="B111" s="784" t="s">
        <v>815</v>
      </c>
      <c r="C111" s="773">
        <v>25.02330310435579</v>
      </c>
      <c r="D111" s="773">
        <v>23.513035428602379</v>
      </c>
      <c r="E111" s="773">
        <v>23.513035428602379</v>
      </c>
      <c r="F111" s="773">
        <v>0</v>
      </c>
      <c r="G111" s="773">
        <v>0</v>
      </c>
      <c r="H111" s="773">
        <v>0</v>
      </c>
      <c r="I111" s="773">
        <v>0</v>
      </c>
      <c r="J111" s="773">
        <v>0</v>
      </c>
      <c r="K111" s="773">
        <v>0</v>
      </c>
      <c r="L111" s="773">
        <v>0</v>
      </c>
      <c r="M111" s="773">
        <v>0</v>
      </c>
      <c r="N111" s="773">
        <v>0</v>
      </c>
      <c r="O111" s="773">
        <v>0</v>
      </c>
      <c r="P111" s="773">
        <v>0</v>
      </c>
      <c r="Q111" s="773">
        <v>0</v>
      </c>
      <c r="R111" s="773">
        <v>0</v>
      </c>
      <c r="S111" s="773">
        <v>0</v>
      </c>
      <c r="T111" s="773">
        <v>0</v>
      </c>
      <c r="U111" s="773">
        <v>0</v>
      </c>
      <c r="V111" s="773">
        <v>0</v>
      </c>
      <c r="W111" s="773">
        <v>0</v>
      </c>
      <c r="X111" s="773">
        <v>0</v>
      </c>
      <c r="Y111" s="773">
        <v>0</v>
      </c>
      <c r="Z111" s="773">
        <v>0</v>
      </c>
      <c r="AA111" s="773">
        <v>0</v>
      </c>
      <c r="AB111" s="773">
        <v>0</v>
      </c>
      <c r="AC111" s="773">
        <v>0</v>
      </c>
      <c r="AD111" s="773">
        <v>0</v>
      </c>
      <c r="AE111" s="773">
        <v>0</v>
      </c>
      <c r="AF111" s="773">
        <v>0</v>
      </c>
      <c r="AG111" s="773">
        <v>0</v>
      </c>
      <c r="AH111" s="772">
        <f t="shared" si="29"/>
        <v>72.049373961560548</v>
      </c>
    </row>
    <row r="112" spans="2:34" s="738" customFormat="1" x14ac:dyDescent="0.25">
      <c r="B112" s="784" t="s">
        <v>217</v>
      </c>
      <c r="C112" s="783">
        <f t="shared" ref="C112:AF112" si="30">+C113+C114</f>
        <v>69.323288837867906</v>
      </c>
      <c r="D112" s="783">
        <f t="shared" si="30"/>
        <v>0</v>
      </c>
      <c r="E112" s="783">
        <f t="shared" si="30"/>
        <v>0</v>
      </c>
      <c r="F112" s="783">
        <f t="shared" si="30"/>
        <v>0</v>
      </c>
      <c r="G112" s="783">
        <f t="shared" si="30"/>
        <v>0</v>
      </c>
      <c r="H112" s="783">
        <f t="shared" si="30"/>
        <v>0</v>
      </c>
      <c r="I112" s="783">
        <f t="shared" si="30"/>
        <v>0</v>
      </c>
      <c r="J112" s="783">
        <f t="shared" si="30"/>
        <v>0</v>
      </c>
      <c r="K112" s="783">
        <f t="shared" si="30"/>
        <v>0</v>
      </c>
      <c r="L112" s="783">
        <f t="shared" si="30"/>
        <v>0</v>
      </c>
      <c r="M112" s="783">
        <f t="shared" si="30"/>
        <v>0</v>
      </c>
      <c r="N112" s="783">
        <f t="shared" si="30"/>
        <v>0</v>
      </c>
      <c r="O112" s="783">
        <f t="shared" si="30"/>
        <v>0</v>
      </c>
      <c r="P112" s="783">
        <f t="shared" si="30"/>
        <v>0</v>
      </c>
      <c r="Q112" s="783">
        <f t="shared" si="30"/>
        <v>0</v>
      </c>
      <c r="R112" s="783">
        <f t="shared" si="30"/>
        <v>0</v>
      </c>
      <c r="S112" s="783">
        <f t="shared" si="30"/>
        <v>0</v>
      </c>
      <c r="T112" s="783">
        <f t="shared" si="30"/>
        <v>0</v>
      </c>
      <c r="U112" s="783">
        <f t="shared" si="30"/>
        <v>0</v>
      </c>
      <c r="V112" s="783">
        <f t="shared" si="30"/>
        <v>0</v>
      </c>
      <c r="W112" s="783">
        <f t="shared" si="30"/>
        <v>0</v>
      </c>
      <c r="X112" s="783">
        <f t="shared" si="30"/>
        <v>0</v>
      </c>
      <c r="Y112" s="783">
        <f t="shared" si="30"/>
        <v>0</v>
      </c>
      <c r="Z112" s="783">
        <f t="shared" si="30"/>
        <v>0</v>
      </c>
      <c r="AA112" s="783">
        <f t="shared" si="30"/>
        <v>0</v>
      </c>
      <c r="AB112" s="783">
        <f t="shared" si="30"/>
        <v>0</v>
      </c>
      <c r="AC112" s="783">
        <f t="shared" si="30"/>
        <v>0</v>
      </c>
      <c r="AD112" s="783">
        <f t="shared" si="30"/>
        <v>0</v>
      </c>
      <c r="AE112" s="783">
        <f t="shared" si="30"/>
        <v>0</v>
      </c>
      <c r="AF112" s="783">
        <f t="shared" si="30"/>
        <v>0</v>
      </c>
      <c r="AG112" s="783">
        <f t="shared" ref="AG112" si="31">+AG113+AG114</f>
        <v>0</v>
      </c>
      <c r="AH112" s="772">
        <f t="shared" si="29"/>
        <v>69.323288837867906</v>
      </c>
    </row>
    <row r="113" spans="1:34" s="738" customFormat="1" x14ac:dyDescent="0.25">
      <c r="B113" s="807" t="s">
        <v>71</v>
      </c>
      <c r="C113" s="1223">
        <f>69.3223889578589+0.000899880009001208</f>
        <v>69.323288837867906</v>
      </c>
      <c r="D113" s="769">
        <v>0</v>
      </c>
      <c r="E113" s="769">
        <v>0</v>
      </c>
      <c r="F113" s="769">
        <v>0</v>
      </c>
      <c r="G113" s="769">
        <v>0</v>
      </c>
      <c r="H113" s="761">
        <v>0</v>
      </c>
      <c r="I113" s="769">
        <v>0</v>
      </c>
      <c r="J113" s="769">
        <v>0</v>
      </c>
      <c r="K113" s="769">
        <v>0</v>
      </c>
      <c r="L113" s="769">
        <v>0</v>
      </c>
      <c r="M113" s="769">
        <v>0</v>
      </c>
      <c r="N113" s="769">
        <v>0</v>
      </c>
      <c r="O113" s="769">
        <v>0</v>
      </c>
      <c r="P113" s="769">
        <v>0</v>
      </c>
      <c r="Q113" s="769">
        <v>0</v>
      </c>
      <c r="R113" s="769">
        <v>0</v>
      </c>
      <c r="S113" s="769">
        <v>0</v>
      </c>
      <c r="T113" s="769">
        <v>0</v>
      </c>
      <c r="U113" s="769">
        <v>0</v>
      </c>
      <c r="V113" s="769">
        <v>0</v>
      </c>
      <c r="W113" s="769">
        <v>0</v>
      </c>
      <c r="X113" s="769">
        <v>0</v>
      </c>
      <c r="Y113" s="769">
        <v>0</v>
      </c>
      <c r="Z113" s="769">
        <v>0</v>
      </c>
      <c r="AA113" s="769">
        <v>0</v>
      </c>
      <c r="AB113" s="769">
        <v>0</v>
      </c>
      <c r="AC113" s="769">
        <v>0</v>
      </c>
      <c r="AD113" s="769">
        <v>0</v>
      </c>
      <c r="AE113" s="769">
        <v>0</v>
      </c>
      <c r="AF113" s="769">
        <v>0</v>
      </c>
      <c r="AG113" s="769">
        <v>0</v>
      </c>
      <c r="AH113" s="761">
        <f t="shared" si="29"/>
        <v>69.323288837867906</v>
      </c>
    </row>
    <row r="114" spans="1:34" s="738" customFormat="1" x14ac:dyDescent="0.25">
      <c r="B114" s="763" t="s">
        <v>69</v>
      </c>
      <c r="C114" s="808">
        <v>0</v>
      </c>
      <c r="D114" s="808">
        <v>0</v>
      </c>
      <c r="E114" s="808">
        <v>0</v>
      </c>
      <c r="F114" s="808">
        <v>0</v>
      </c>
      <c r="G114" s="808">
        <v>0</v>
      </c>
      <c r="H114" s="762">
        <v>0</v>
      </c>
      <c r="I114" s="808">
        <v>0</v>
      </c>
      <c r="J114" s="808">
        <v>0</v>
      </c>
      <c r="K114" s="808">
        <v>0</v>
      </c>
      <c r="L114" s="808">
        <v>0</v>
      </c>
      <c r="M114" s="808">
        <v>0</v>
      </c>
      <c r="N114" s="808">
        <v>0</v>
      </c>
      <c r="O114" s="808">
        <v>0</v>
      </c>
      <c r="P114" s="808">
        <v>0</v>
      </c>
      <c r="Q114" s="808">
        <v>0</v>
      </c>
      <c r="R114" s="808">
        <v>0</v>
      </c>
      <c r="S114" s="808">
        <v>0</v>
      </c>
      <c r="T114" s="808">
        <v>0</v>
      </c>
      <c r="U114" s="808">
        <v>0</v>
      </c>
      <c r="V114" s="808">
        <v>0</v>
      </c>
      <c r="W114" s="808">
        <v>0</v>
      </c>
      <c r="X114" s="808">
        <v>0</v>
      </c>
      <c r="Y114" s="808">
        <v>0</v>
      </c>
      <c r="Z114" s="808">
        <v>0</v>
      </c>
      <c r="AA114" s="808">
        <v>0</v>
      </c>
      <c r="AB114" s="808">
        <v>0</v>
      </c>
      <c r="AC114" s="808">
        <v>0</v>
      </c>
      <c r="AD114" s="808">
        <v>0</v>
      </c>
      <c r="AE114" s="808">
        <v>0</v>
      </c>
      <c r="AF114" s="808">
        <v>0</v>
      </c>
      <c r="AG114" s="808">
        <v>0</v>
      </c>
      <c r="AH114" s="762">
        <f t="shared" si="29"/>
        <v>0</v>
      </c>
    </row>
    <row r="115" spans="1:34" s="738" customFormat="1" x14ac:dyDescent="0.25">
      <c r="B115" s="784" t="s">
        <v>335</v>
      </c>
      <c r="C115" s="783">
        <f t="shared" ref="C115:AF115" si="32">+C116+C121</f>
        <v>36.691176522442682</v>
      </c>
      <c r="D115" s="783">
        <f t="shared" si="32"/>
        <v>1.0548188840776251</v>
      </c>
      <c r="E115" s="783">
        <f t="shared" si="32"/>
        <v>0.11457652951180089</v>
      </c>
      <c r="F115" s="783">
        <f t="shared" si="32"/>
        <v>5.2260000000000001E-2</v>
      </c>
      <c r="G115" s="783">
        <f t="shared" si="32"/>
        <v>5.2260000000000001E-2</v>
      </c>
      <c r="H115" s="783">
        <f t="shared" si="32"/>
        <v>5.2260000000000001E-2</v>
      </c>
      <c r="I115" s="783">
        <f t="shared" si="32"/>
        <v>0</v>
      </c>
      <c r="J115" s="783">
        <f t="shared" si="32"/>
        <v>0</v>
      </c>
      <c r="K115" s="783">
        <f t="shared" si="32"/>
        <v>0</v>
      </c>
      <c r="L115" s="783">
        <f t="shared" si="32"/>
        <v>0</v>
      </c>
      <c r="M115" s="783">
        <f t="shared" si="32"/>
        <v>0</v>
      </c>
      <c r="N115" s="783">
        <f t="shared" si="32"/>
        <v>0</v>
      </c>
      <c r="O115" s="783">
        <f t="shared" si="32"/>
        <v>0</v>
      </c>
      <c r="P115" s="783">
        <f t="shared" si="32"/>
        <v>0</v>
      </c>
      <c r="Q115" s="783">
        <f t="shared" si="32"/>
        <v>0</v>
      </c>
      <c r="R115" s="783">
        <f t="shared" si="32"/>
        <v>0</v>
      </c>
      <c r="S115" s="783">
        <f t="shared" si="32"/>
        <v>0</v>
      </c>
      <c r="T115" s="783">
        <f t="shared" si="32"/>
        <v>0</v>
      </c>
      <c r="U115" s="783">
        <f t="shared" si="32"/>
        <v>0</v>
      </c>
      <c r="V115" s="783">
        <f t="shared" si="32"/>
        <v>0</v>
      </c>
      <c r="W115" s="783">
        <f t="shared" si="32"/>
        <v>0</v>
      </c>
      <c r="X115" s="783">
        <f t="shared" si="32"/>
        <v>0</v>
      </c>
      <c r="Y115" s="783">
        <f t="shared" si="32"/>
        <v>0</v>
      </c>
      <c r="Z115" s="783">
        <f t="shared" si="32"/>
        <v>0</v>
      </c>
      <c r="AA115" s="783">
        <f t="shared" si="32"/>
        <v>0</v>
      </c>
      <c r="AB115" s="783">
        <f t="shared" si="32"/>
        <v>0</v>
      </c>
      <c r="AC115" s="783">
        <f t="shared" si="32"/>
        <v>0</v>
      </c>
      <c r="AD115" s="783">
        <f t="shared" si="32"/>
        <v>0</v>
      </c>
      <c r="AE115" s="783">
        <f t="shared" si="32"/>
        <v>0</v>
      </c>
      <c r="AF115" s="783">
        <f t="shared" si="32"/>
        <v>0</v>
      </c>
      <c r="AG115" s="783">
        <f t="shared" ref="AG115" si="33">+AG116+AG121</f>
        <v>0</v>
      </c>
      <c r="AH115" s="773">
        <f t="shared" si="29"/>
        <v>38.0173519360321</v>
      </c>
    </row>
    <row r="116" spans="1:34" s="738" customFormat="1" x14ac:dyDescent="0.25">
      <c r="B116" s="774" t="s">
        <v>71</v>
      </c>
      <c r="C116" s="825">
        <f t="shared" ref="C116:AF116" si="34">+C117+C119</f>
        <v>36.638916522442685</v>
      </c>
      <c r="D116" s="825">
        <f t="shared" si="34"/>
        <v>1.0025588840776252</v>
      </c>
      <c r="E116" s="825">
        <f t="shared" si="34"/>
        <v>6.2316529511800896E-2</v>
      </c>
      <c r="F116" s="825">
        <f t="shared" si="34"/>
        <v>0</v>
      </c>
      <c r="G116" s="825">
        <f t="shared" si="34"/>
        <v>0</v>
      </c>
      <c r="H116" s="825">
        <f t="shared" si="34"/>
        <v>0</v>
      </c>
      <c r="I116" s="825">
        <f t="shared" si="34"/>
        <v>0</v>
      </c>
      <c r="J116" s="825">
        <f t="shared" si="34"/>
        <v>0</v>
      </c>
      <c r="K116" s="825">
        <f t="shared" si="34"/>
        <v>0</v>
      </c>
      <c r="L116" s="825">
        <f t="shared" si="34"/>
        <v>0</v>
      </c>
      <c r="M116" s="825">
        <f t="shared" si="34"/>
        <v>0</v>
      </c>
      <c r="N116" s="825">
        <f t="shared" si="34"/>
        <v>0</v>
      </c>
      <c r="O116" s="825">
        <f t="shared" si="34"/>
        <v>0</v>
      </c>
      <c r="P116" s="825">
        <f t="shared" si="34"/>
        <v>0</v>
      </c>
      <c r="Q116" s="825">
        <f t="shared" si="34"/>
        <v>0</v>
      </c>
      <c r="R116" s="825">
        <f t="shared" si="34"/>
        <v>0</v>
      </c>
      <c r="S116" s="825">
        <f t="shared" si="34"/>
        <v>0</v>
      </c>
      <c r="T116" s="825">
        <f t="shared" si="34"/>
        <v>0</v>
      </c>
      <c r="U116" s="825">
        <f t="shared" si="34"/>
        <v>0</v>
      </c>
      <c r="V116" s="825">
        <f t="shared" si="34"/>
        <v>0</v>
      </c>
      <c r="W116" s="825">
        <f t="shared" si="34"/>
        <v>0</v>
      </c>
      <c r="X116" s="825">
        <f t="shared" si="34"/>
        <v>0</v>
      </c>
      <c r="Y116" s="825">
        <f t="shared" si="34"/>
        <v>0</v>
      </c>
      <c r="Z116" s="825">
        <f t="shared" si="34"/>
        <v>0</v>
      </c>
      <c r="AA116" s="825">
        <f t="shared" si="34"/>
        <v>0</v>
      </c>
      <c r="AB116" s="825">
        <f t="shared" si="34"/>
        <v>0</v>
      </c>
      <c r="AC116" s="825">
        <f t="shared" si="34"/>
        <v>0</v>
      </c>
      <c r="AD116" s="825">
        <f t="shared" si="34"/>
        <v>0</v>
      </c>
      <c r="AE116" s="825">
        <f t="shared" si="34"/>
        <v>0</v>
      </c>
      <c r="AF116" s="825">
        <f t="shared" si="34"/>
        <v>0</v>
      </c>
      <c r="AG116" s="825">
        <f t="shared" ref="AG116" si="35">+AG117+AG119</f>
        <v>0</v>
      </c>
      <c r="AH116" s="759">
        <f t="shared" si="29"/>
        <v>37.703791936032111</v>
      </c>
    </row>
    <row r="117" spans="1:34" s="738" customFormat="1" x14ac:dyDescent="0.25">
      <c r="B117" s="777" t="s">
        <v>81</v>
      </c>
      <c r="C117" s="787">
        <f t="shared" ref="C117:AG117" si="36">+C118</f>
        <v>2.2078415539755354</v>
      </c>
      <c r="D117" s="787">
        <f t="shared" si="36"/>
        <v>1.0025588840776252</v>
      </c>
      <c r="E117" s="787">
        <f t="shared" si="36"/>
        <v>6.2316529511800896E-2</v>
      </c>
      <c r="F117" s="787">
        <f t="shared" si="36"/>
        <v>0</v>
      </c>
      <c r="G117" s="787">
        <f t="shared" si="36"/>
        <v>0</v>
      </c>
      <c r="H117" s="787">
        <f t="shared" si="36"/>
        <v>0</v>
      </c>
      <c r="I117" s="787">
        <f t="shared" si="36"/>
        <v>0</v>
      </c>
      <c r="J117" s="787">
        <f t="shared" si="36"/>
        <v>0</v>
      </c>
      <c r="K117" s="787">
        <f t="shared" si="36"/>
        <v>0</v>
      </c>
      <c r="L117" s="787">
        <f t="shared" si="36"/>
        <v>0</v>
      </c>
      <c r="M117" s="787">
        <f t="shared" si="36"/>
        <v>0</v>
      </c>
      <c r="N117" s="787">
        <f t="shared" si="36"/>
        <v>0</v>
      </c>
      <c r="O117" s="787">
        <f t="shared" si="36"/>
        <v>0</v>
      </c>
      <c r="P117" s="787">
        <f t="shared" si="36"/>
        <v>0</v>
      </c>
      <c r="Q117" s="787">
        <f t="shared" si="36"/>
        <v>0</v>
      </c>
      <c r="R117" s="787">
        <f t="shared" si="36"/>
        <v>0</v>
      </c>
      <c r="S117" s="787">
        <f t="shared" si="36"/>
        <v>0</v>
      </c>
      <c r="T117" s="787">
        <f t="shared" si="36"/>
        <v>0</v>
      </c>
      <c r="U117" s="787">
        <f t="shared" si="36"/>
        <v>0</v>
      </c>
      <c r="V117" s="787">
        <f t="shared" si="36"/>
        <v>0</v>
      </c>
      <c r="W117" s="787">
        <f t="shared" si="36"/>
        <v>0</v>
      </c>
      <c r="X117" s="787">
        <f t="shared" si="36"/>
        <v>0</v>
      </c>
      <c r="Y117" s="787">
        <f t="shared" si="36"/>
        <v>0</v>
      </c>
      <c r="Z117" s="787">
        <f t="shared" si="36"/>
        <v>0</v>
      </c>
      <c r="AA117" s="787">
        <f t="shared" si="36"/>
        <v>0</v>
      </c>
      <c r="AB117" s="787">
        <f t="shared" si="36"/>
        <v>0</v>
      </c>
      <c r="AC117" s="787">
        <f t="shared" si="36"/>
        <v>0</v>
      </c>
      <c r="AD117" s="787">
        <f t="shared" si="36"/>
        <v>0</v>
      </c>
      <c r="AE117" s="787">
        <f t="shared" si="36"/>
        <v>0</v>
      </c>
      <c r="AF117" s="787">
        <f t="shared" si="36"/>
        <v>0</v>
      </c>
      <c r="AG117" s="787">
        <f t="shared" si="36"/>
        <v>0</v>
      </c>
      <c r="AH117" s="778">
        <f t="shared" si="29"/>
        <v>3.2727169675649619</v>
      </c>
    </row>
    <row r="118" spans="1:34" s="738" customFormat="1" x14ac:dyDescent="0.25">
      <c r="B118" s="777" t="s">
        <v>667</v>
      </c>
      <c r="C118" s="787">
        <v>2.2078415539755354</v>
      </c>
      <c r="D118" s="787">
        <v>1.0025588840776252</v>
      </c>
      <c r="E118" s="787">
        <v>6.2316529511800896E-2</v>
      </c>
      <c r="F118" s="787">
        <v>0</v>
      </c>
      <c r="G118" s="787">
        <v>0</v>
      </c>
      <c r="H118" s="778">
        <v>0</v>
      </c>
      <c r="I118" s="787">
        <v>0</v>
      </c>
      <c r="J118" s="787">
        <v>0</v>
      </c>
      <c r="K118" s="787">
        <v>0</v>
      </c>
      <c r="L118" s="787">
        <v>0</v>
      </c>
      <c r="M118" s="787">
        <v>0</v>
      </c>
      <c r="N118" s="787">
        <v>0</v>
      </c>
      <c r="O118" s="787">
        <v>0</v>
      </c>
      <c r="P118" s="787">
        <v>0</v>
      </c>
      <c r="Q118" s="787">
        <v>0</v>
      </c>
      <c r="R118" s="787">
        <v>0</v>
      </c>
      <c r="S118" s="787">
        <v>0</v>
      </c>
      <c r="T118" s="787">
        <v>0</v>
      </c>
      <c r="U118" s="787">
        <v>0</v>
      </c>
      <c r="V118" s="787">
        <v>0</v>
      </c>
      <c r="W118" s="787">
        <v>0</v>
      </c>
      <c r="X118" s="787">
        <v>0</v>
      </c>
      <c r="Y118" s="787">
        <v>0</v>
      </c>
      <c r="Z118" s="787">
        <v>0</v>
      </c>
      <c r="AA118" s="787">
        <v>0</v>
      </c>
      <c r="AB118" s="787">
        <v>0</v>
      </c>
      <c r="AC118" s="787">
        <v>0</v>
      </c>
      <c r="AD118" s="787">
        <v>0</v>
      </c>
      <c r="AE118" s="787">
        <v>0</v>
      </c>
      <c r="AF118" s="787">
        <v>0</v>
      </c>
      <c r="AG118" s="787">
        <v>0</v>
      </c>
      <c r="AH118" s="778">
        <f t="shared" si="29"/>
        <v>3.2727169675649619</v>
      </c>
    </row>
    <row r="119" spans="1:34" s="738" customFormat="1" x14ac:dyDescent="0.25">
      <c r="B119" s="790" t="s">
        <v>85</v>
      </c>
      <c r="C119" s="787">
        <f t="shared" ref="C119:AG119" si="37">+C120</f>
        <v>34.431074968467151</v>
      </c>
      <c r="D119" s="787">
        <f t="shared" si="37"/>
        <v>0</v>
      </c>
      <c r="E119" s="787">
        <f t="shared" si="37"/>
        <v>0</v>
      </c>
      <c r="F119" s="787">
        <f t="shared" si="37"/>
        <v>0</v>
      </c>
      <c r="G119" s="787">
        <f t="shared" si="37"/>
        <v>0</v>
      </c>
      <c r="H119" s="787">
        <f t="shared" si="37"/>
        <v>0</v>
      </c>
      <c r="I119" s="787">
        <f t="shared" si="37"/>
        <v>0</v>
      </c>
      <c r="J119" s="787">
        <f t="shared" si="37"/>
        <v>0</v>
      </c>
      <c r="K119" s="787">
        <f t="shared" si="37"/>
        <v>0</v>
      </c>
      <c r="L119" s="787">
        <f t="shared" si="37"/>
        <v>0</v>
      </c>
      <c r="M119" s="787">
        <f t="shared" si="37"/>
        <v>0</v>
      </c>
      <c r="N119" s="787">
        <f t="shared" si="37"/>
        <v>0</v>
      </c>
      <c r="O119" s="787">
        <f t="shared" si="37"/>
        <v>0</v>
      </c>
      <c r="P119" s="787">
        <f t="shared" si="37"/>
        <v>0</v>
      </c>
      <c r="Q119" s="787">
        <f t="shared" si="37"/>
        <v>0</v>
      </c>
      <c r="R119" s="787">
        <f t="shared" si="37"/>
        <v>0</v>
      </c>
      <c r="S119" s="787">
        <f t="shared" si="37"/>
        <v>0</v>
      </c>
      <c r="T119" s="787">
        <f t="shared" si="37"/>
        <v>0</v>
      </c>
      <c r="U119" s="787">
        <f t="shared" si="37"/>
        <v>0</v>
      </c>
      <c r="V119" s="787">
        <f t="shared" si="37"/>
        <v>0</v>
      </c>
      <c r="W119" s="787">
        <f t="shared" si="37"/>
        <v>0</v>
      </c>
      <c r="X119" s="787">
        <f t="shared" si="37"/>
        <v>0</v>
      </c>
      <c r="Y119" s="787">
        <f t="shared" si="37"/>
        <v>0</v>
      </c>
      <c r="Z119" s="787">
        <f t="shared" si="37"/>
        <v>0</v>
      </c>
      <c r="AA119" s="787">
        <f t="shared" si="37"/>
        <v>0</v>
      </c>
      <c r="AB119" s="787">
        <f t="shared" si="37"/>
        <v>0</v>
      </c>
      <c r="AC119" s="787">
        <f t="shared" si="37"/>
        <v>0</v>
      </c>
      <c r="AD119" s="787">
        <f t="shared" si="37"/>
        <v>0</v>
      </c>
      <c r="AE119" s="787">
        <f t="shared" si="37"/>
        <v>0</v>
      </c>
      <c r="AF119" s="787">
        <f t="shared" si="37"/>
        <v>0</v>
      </c>
      <c r="AG119" s="787">
        <f t="shared" si="37"/>
        <v>0</v>
      </c>
      <c r="AH119" s="778">
        <f t="shared" si="29"/>
        <v>34.431074968467151</v>
      </c>
    </row>
    <row r="120" spans="1:34" s="738" customFormat="1" x14ac:dyDescent="0.25">
      <c r="B120" s="777" t="s">
        <v>667</v>
      </c>
      <c r="C120" s="787">
        <v>34.431074968467151</v>
      </c>
      <c r="D120" s="787">
        <v>0</v>
      </c>
      <c r="E120" s="787">
        <v>0</v>
      </c>
      <c r="F120" s="787">
        <v>0</v>
      </c>
      <c r="G120" s="787">
        <v>0</v>
      </c>
      <c r="H120" s="778">
        <v>0</v>
      </c>
      <c r="I120" s="787">
        <v>0</v>
      </c>
      <c r="J120" s="787">
        <v>0</v>
      </c>
      <c r="K120" s="787">
        <v>0</v>
      </c>
      <c r="L120" s="787">
        <v>0</v>
      </c>
      <c r="M120" s="787">
        <v>0</v>
      </c>
      <c r="N120" s="787">
        <v>0</v>
      </c>
      <c r="O120" s="787">
        <v>0</v>
      </c>
      <c r="P120" s="787">
        <v>0</v>
      </c>
      <c r="Q120" s="787">
        <v>0</v>
      </c>
      <c r="R120" s="787">
        <v>0</v>
      </c>
      <c r="S120" s="787">
        <v>0</v>
      </c>
      <c r="T120" s="787">
        <v>0</v>
      </c>
      <c r="U120" s="787">
        <v>0</v>
      </c>
      <c r="V120" s="787">
        <v>0</v>
      </c>
      <c r="W120" s="787">
        <v>0</v>
      </c>
      <c r="X120" s="787">
        <v>0</v>
      </c>
      <c r="Y120" s="787">
        <v>0</v>
      </c>
      <c r="Z120" s="787">
        <v>0</v>
      </c>
      <c r="AA120" s="787">
        <v>0</v>
      </c>
      <c r="AB120" s="787">
        <v>0</v>
      </c>
      <c r="AC120" s="787">
        <v>0</v>
      </c>
      <c r="AD120" s="787">
        <v>0</v>
      </c>
      <c r="AE120" s="787">
        <v>0</v>
      </c>
      <c r="AF120" s="787">
        <v>0</v>
      </c>
      <c r="AG120" s="787">
        <v>0</v>
      </c>
      <c r="AH120" s="778">
        <f t="shared" si="29"/>
        <v>34.431074968467151</v>
      </c>
    </row>
    <row r="121" spans="1:34" s="738" customFormat="1" x14ac:dyDescent="0.25">
      <c r="B121" s="807" t="s">
        <v>69</v>
      </c>
      <c r="C121" s="828">
        <f>+C122+C123</f>
        <v>5.2260000000000001E-2</v>
      </c>
      <c r="D121" s="828">
        <f t="shared" ref="D121:AG121" si="38">+D122+D123</f>
        <v>5.2260000000000001E-2</v>
      </c>
      <c r="E121" s="828">
        <f t="shared" si="38"/>
        <v>5.2260000000000001E-2</v>
      </c>
      <c r="F121" s="828">
        <f t="shared" si="38"/>
        <v>5.2260000000000001E-2</v>
      </c>
      <c r="G121" s="828">
        <f t="shared" si="38"/>
        <v>5.2260000000000001E-2</v>
      </c>
      <c r="H121" s="828">
        <f t="shared" si="38"/>
        <v>5.2260000000000001E-2</v>
      </c>
      <c r="I121" s="828">
        <f t="shared" si="38"/>
        <v>0</v>
      </c>
      <c r="J121" s="828">
        <f t="shared" si="38"/>
        <v>0</v>
      </c>
      <c r="K121" s="828">
        <f t="shared" si="38"/>
        <v>0</v>
      </c>
      <c r="L121" s="828">
        <f t="shared" si="38"/>
        <v>0</v>
      </c>
      <c r="M121" s="828">
        <f t="shared" si="38"/>
        <v>0</v>
      </c>
      <c r="N121" s="828">
        <f t="shared" si="38"/>
        <v>0</v>
      </c>
      <c r="O121" s="828">
        <f t="shared" si="38"/>
        <v>0</v>
      </c>
      <c r="P121" s="828">
        <f t="shared" si="38"/>
        <v>0</v>
      </c>
      <c r="Q121" s="828">
        <f t="shared" si="38"/>
        <v>0</v>
      </c>
      <c r="R121" s="828">
        <f t="shared" si="38"/>
        <v>0</v>
      </c>
      <c r="S121" s="828">
        <f t="shared" si="38"/>
        <v>0</v>
      </c>
      <c r="T121" s="828">
        <f t="shared" si="38"/>
        <v>0</v>
      </c>
      <c r="U121" s="828">
        <f t="shared" si="38"/>
        <v>0</v>
      </c>
      <c r="V121" s="828">
        <f t="shared" si="38"/>
        <v>0</v>
      </c>
      <c r="W121" s="828">
        <f t="shared" si="38"/>
        <v>0</v>
      </c>
      <c r="X121" s="828">
        <f t="shared" si="38"/>
        <v>0</v>
      </c>
      <c r="Y121" s="828">
        <f t="shared" si="38"/>
        <v>0</v>
      </c>
      <c r="Z121" s="828">
        <f t="shared" si="38"/>
        <v>0</v>
      </c>
      <c r="AA121" s="828">
        <f t="shared" si="38"/>
        <v>0</v>
      </c>
      <c r="AB121" s="828">
        <f t="shared" si="38"/>
        <v>0</v>
      </c>
      <c r="AC121" s="828">
        <f t="shared" si="38"/>
        <v>0</v>
      </c>
      <c r="AD121" s="828">
        <f t="shared" si="38"/>
        <v>0</v>
      </c>
      <c r="AE121" s="828">
        <f t="shared" si="38"/>
        <v>0</v>
      </c>
      <c r="AF121" s="828">
        <f t="shared" si="38"/>
        <v>0</v>
      </c>
      <c r="AG121" s="828">
        <f t="shared" si="38"/>
        <v>0</v>
      </c>
      <c r="AH121" s="761">
        <f t="shared" si="29"/>
        <v>0.31355999999999995</v>
      </c>
    </row>
    <row r="122" spans="1:34" s="738" customFormat="1" x14ac:dyDescent="0.25">
      <c r="B122" s="777" t="s">
        <v>852</v>
      </c>
      <c r="C122" s="787">
        <v>0</v>
      </c>
      <c r="D122" s="787">
        <v>0</v>
      </c>
      <c r="E122" s="787">
        <v>0</v>
      </c>
      <c r="F122" s="787">
        <v>0</v>
      </c>
      <c r="G122" s="787">
        <v>0</v>
      </c>
      <c r="H122" s="787">
        <v>0</v>
      </c>
      <c r="I122" s="787">
        <v>0</v>
      </c>
      <c r="J122" s="787">
        <v>0</v>
      </c>
      <c r="K122" s="787">
        <v>0</v>
      </c>
      <c r="L122" s="787">
        <v>0</v>
      </c>
      <c r="M122" s="787">
        <v>0</v>
      </c>
      <c r="N122" s="787">
        <v>0</v>
      </c>
      <c r="O122" s="787">
        <v>0</v>
      </c>
      <c r="P122" s="787">
        <v>0</v>
      </c>
      <c r="Q122" s="787">
        <v>0</v>
      </c>
      <c r="R122" s="787">
        <v>0</v>
      </c>
      <c r="S122" s="787">
        <v>0</v>
      </c>
      <c r="T122" s="787">
        <v>0</v>
      </c>
      <c r="U122" s="787">
        <v>0</v>
      </c>
      <c r="V122" s="787">
        <v>0</v>
      </c>
      <c r="W122" s="787">
        <v>0</v>
      </c>
      <c r="X122" s="787">
        <v>0</v>
      </c>
      <c r="Y122" s="787">
        <v>0</v>
      </c>
      <c r="Z122" s="787">
        <v>0</v>
      </c>
      <c r="AA122" s="787">
        <v>0</v>
      </c>
      <c r="AB122" s="787">
        <v>0</v>
      </c>
      <c r="AC122" s="787">
        <v>0</v>
      </c>
      <c r="AD122" s="787">
        <v>0</v>
      </c>
      <c r="AE122" s="787">
        <v>0</v>
      </c>
      <c r="AF122" s="787">
        <v>0</v>
      </c>
      <c r="AG122" s="787">
        <v>0</v>
      </c>
      <c r="AH122" s="778">
        <f t="shared" si="29"/>
        <v>0</v>
      </c>
    </row>
    <row r="123" spans="1:34" s="738" customFormat="1" x14ac:dyDescent="0.25">
      <c r="B123" s="777" t="s">
        <v>762</v>
      </c>
      <c r="C123" s="787">
        <v>5.2260000000000001E-2</v>
      </c>
      <c r="D123" s="787">
        <v>5.2260000000000001E-2</v>
      </c>
      <c r="E123" s="787">
        <v>5.2260000000000001E-2</v>
      </c>
      <c r="F123" s="787">
        <v>5.2260000000000001E-2</v>
      </c>
      <c r="G123" s="787">
        <v>5.2260000000000001E-2</v>
      </c>
      <c r="H123" s="778">
        <v>5.2260000000000001E-2</v>
      </c>
      <c r="I123" s="787">
        <v>0</v>
      </c>
      <c r="J123" s="787">
        <v>0</v>
      </c>
      <c r="K123" s="787">
        <v>0</v>
      </c>
      <c r="L123" s="787">
        <v>0</v>
      </c>
      <c r="M123" s="787">
        <v>0</v>
      </c>
      <c r="N123" s="787">
        <v>0</v>
      </c>
      <c r="O123" s="787">
        <v>0</v>
      </c>
      <c r="P123" s="787">
        <v>0</v>
      </c>
      <c r="Q123" s="787">
        <v>0</v>
      </c>
      <c r="R123" s="787">
        <v>0</v>
      </c>
      <c r="S123" s="787">
        <v>0</v>
      </c>
      <c r="T123" s="787">
        <v>0</v>
      </c>
      <c r="U123" s="787">
        <v>0</v>
      </c>
      <c r="V123" s="787">
        <v>0</v>
      </c>
      <c r="W123" s="787">
        <v>0</v>
      </c>
      <c r="X123" s="787">
        <v>0</v>
      </c>
      <c r="Y123" s="787">
        <v>0</v>
      </c>
      <c r="Z123" s="787">
        <v>0</v>
      </c>
      <c r="AA123" s="787">
        <v>0</v>
      </c>
      <c r="AB123" s="787">
        <v>0</v>
      </c>
      <c r="AC123" s="787">
        <v>0</v>
      </c>
      <c r="AD123" s="787">
        <v>0</v>
      </c>
      <c r="AE123" s="787">
        <v>0</v>
      </c>
      <c r="AF123" s="787">
        <v>0</v>
      </c>
      <c r="AG123" s="787">
        <v>0</v>
      </c>
      <c r="AH123" s="778">
        <f t="shared" si="29"/>
        <v>0.31355999999999995</v>
      </c>
    </row>
    <row r="124" spans="1:34" s="738" customFormat="1" x14ac:dyDescent="0.25">
      <c r="B124" s="794"/>
      <c r="C124" s="795"/>
      <c r="D124" s="795"/>
      <c r="E124" s="795"/>
      <c r="F124" s="795"/>
      <c r="G124" s="795"/>
      <c r="H124" s="795"/>
      <c r="I124" s="795"/>
      <c r="J124" s="795"/>
      <c r="K124" s="795"/>
      <c r="L124" s="795"/>
      <c r="M124" s="795"/>
      <c r="N124" s="795"/>
      <c r="O124" s="795"/>
      <c r="P124" s="795"/>
      <c r="Q124" s="795"/>
      <c r="R124" s="795"/>
      <c r="S124" s="795"/>
      <c r="T124" s="795"/>
      <c r="U124" s="795"/>
      <c r="V124" s="795"/>
      <c r="W124" s="795"/>
      <c r="X124" s="795"/>
      <c r="Y124" s="795"/>
      <c r="Z124" s="795"/>
      <c r="AA124" s="795"/>
      <c r="AB124" s="795"/>
      <c r="AC124" s="795"/>
      <c r="AD124" s="795"/>
      <c r="AE124" s="795"/>
      <c r="AF124" s="795"/>
      <c r="AG124" s="795"/>
      <c r="AH124" s="795"/>
    </row>
    <row r="125" spans="1:34" s="738" customFormat="1" x14ac:dyDescent="0.25">
      <c r="B125" s="796" t="s">
        <v>104</v>
      </c>
      <c r="C125" s="798">
        <f t="shared" ref="C125:AF125" si="39">+C126+C127</f>
        <v>2371.3793654316737</v>
      </c>
      <c r="D125" s="798">
        <f t="shared" si="39"/>
        <v>1294.9091212624987</v>
      </c>
      <c r="E125" s="798">
        <f t="shared" si="39"/>
        <v>933.35959200423645</v>
      </c>
      <c r="F125" s="798">
        <f t="shared" si="39"/>
        <v>796.38128668808508</v>
      </c>
      <c r="G125" s="798">
        <f t="shared" si="39"/>
        <v>723.54275114734469</v>
      </c>
      <c r="H125" s="798">
        <f t="shared" si="39"/>
        <v>527.78532728005177</v>
      </c>
      <c r="I125" s="798">
        <f t="shared" si="39"/>
        <v>485.85906194384324</v>
      </c>
      <c r="J125" s="798">
        <f t="shared" si="39"/>
        <v>454.58726115698397</v>
      </c>
      <c r="K125" s="798">
        <f t="shared" si="39"/>
        <v>422.63911211644358</v>
      </c>
      <c r="L125" s="798">
        <f t="shared" si="39"/>
        <v>373.30144466569709</v>
      </c>
      <c r="M125" s="798">
        <f t="shared" si="39"/>
        <v>333.37860864342667</v>
      </c>
      <c r="N125" s="798">
        <f t="shared" si="39"/>
        <v>310.4262398544135</v>
      </c>
      <c r="O125" s="798">
        <f t="shared" si="39"/>
        <v>292.52285633751757</v>
      </c>
      <c r="P125" s="798">
        <f t="shared" si="39"/>
        <v>289.76642867458082</v>
      </c>
      <c r="Q125" s="798">
        <f t="shared" si="39"/>
        <v>280.05871072921866</v>
      </c>
      <c r="R125" s="798">
        <f t="shared" si="39"/>
        <v>249.49712195538388</v>
      </c>
      <c r="S125" s="798">
        <f t="shared" si="39"/>
        <v>219.28008664035642</v>
      </c>
      <c r="T125" s="798">
        <f t="shared" si="39"/>
        <v>187.68483749009982</v>
      </c>
      <c r="U125" s="798">
        <f t="shared" si="39"/>
        <v>159.87967637920184</v>
      </c>
      <c r="V125" s="798">
        <f t="shared" si="39"/>
        <v>132.07451527206456</v>
      </c>
      <c r="W125" s="798">
        <f t="shared" si="39"/>
        <v>104.26935416116658</v>
      </c>
      <c r="X125" s="798">
        <f t="shared" si="39"/>
        <v>76.464193050268563</v>
      </c>
      <c r="Y125" s="798">
        <f t="shared" si="39"/>
        <v>48.659031943131311</v>
      </c>
      <c r="Z125" s="798">
        <f t="shared" si="39"/>
        <v>20.853870832233312</v>
      </c>
      <c r="AA125" s="798">
        <f t="shared" si="39"/>
        <v>0</v>
      </c>
      <c r="AB125" s="798">
        <f t="shared" si="39"/>
        <v>0</v>
      </c>
      <c r="AC125" s="798">
        <f t="shared" si="39"/>
        <v>0</v>
      </c>
      <c r="AD125" s="798">
        <f t="shared" si="39"/>
        <v>0</v>
      </c>
      <c r="AE125" s="798">
        <f t="shared" si="39"/>
        <v>0</v>
      </c>
      <c r="AF125" s="798">
        <f t="shared" si="39"/>
        <v>0</v>
      </c>
      <c r="AG125" s="798">
        <f t="shared" ref="AG125" si="40">+AG126+AG127</f>
        <v>0</v>
      </c>
      <c r="AH125" s="798">
        <f t="shared" ref="AH125:AH128" si="41">+SUM(C125:AG125)</f>
        <v>11088.559855659922</v>
      </c>
    </row>
    <row r="126" spans="1:34" s="738" customFormat="1" x14ac:dyDescent="0.25">
      <c r="B126" s="966" t="s">
        <v>105</v>
      </c>
      <c r="C126" s="822">
        <v>1140.130094485299</v>
      </c>
      <c r="D126" s="822">
        <v>868.47460959189038</v>
      </c>
      <c r="E126" s="822">
        <v>677.27727099800768</v>
      </c>
      <c r="F126" s="822">
        <v>554.34281408915558</v>
      </c>
      <c r="G126" s="822">
        <v>500.71143623746633</v>
      </c>
      <c r="H126" s="822">
        <v>471.28747043479632</v>
      </c>
      <c r="I126" s="822">
        <v>444.77678450627633</v>
      </c>
      <c r="J126" s="822">
        <v>427.9330367711932</v>
      </c>
      <c r="K126" s="822">
        <v>408.75604671313459</v>
      </c>
      <c r="L126" s="822">
        <v>370.40387569489417</v>
      </c>
      <c r="M126" s="822">
        <v>333.37860864342667</v>
      </c>
      <c r="N126" s="822">
        <v>310.4262398544135</v>
      </c>
      <c r="O126" s="822">
        <v>292.52285633751757</v>
      </c>
      <c r="P126" s="822">
        <v>289.76642867458082</v>
      </c>
      <c r="Q126" s="822">
        <v>280.05871072921866</v>
      </c>
      <c r="R126" s="822">
        <v>249.49712195538388</v>
      </c>
      <c r="S126" s="822">
        <v>219.28008664035642</v>
      </c>
      <c r="T126" s="822">
        <v>187.68483749009982</v>
      </c>
      <c r="U126" s="822">
        <v>159.87967637920184</v>
      </c>
      <c r="V126" s="822">
        <v>132.07451527206456</v>
      </c>
      <c r="W126" s="822">
        <v>104.26935416116658</v>
      </c>
      <c r="X126" s="822">
        <v>76.464193050268563</v>
      </c>
      <c r="Y126" s="822">
        <v>48.659031943131311</v>
      </c>
      <c r="Z126" s="822">
        <v>20.853870832233312</v>
      </c>
      <c r="AA126" s="822">
        <v>0</v>
      </c>
      <c r="AB126" s="822">
        <v>0</v>
      </c>
      <c r="AC126" s="822">
        <v>0</v>
      </c>
      <c r="AD126" s="822">
        <v>0</v>
      </c>
      <c r="AE126" s="822">
        <v>0</v>
      </c>
      <c r="AF126" s="822">
        <v>0</v>
      </c>
      <c r="AG126" s="822">
        <v>0</v>
      </c>
      <c r="AH126" s="822">
        <f t="shared" si="41"/>
        <v>8568.9089714851762</v>
      </c>
    </row>
    <row r="127" spans="1:34" s="738" customFormat="1" x14ac:dyDescent="0.25">
      <c r="B127" s="792" t="s">
        <v>499</v>
      </c>
      <c r="C127" s="867">
        <v>1231.2492709463747</v>
      </c>
      <c r="D127" s="867">
        <v>426.43451167060829</v>
      </c>
      <c r="E127" s="867">
        <v>256.08232100622871</v>
      </c>
      <c r="F127" s="867">
        <v>242.03847259892945</v>
      </c>
      <c r="G127" s="867">
        <v>222.83131490987836</v>
      </c>
      <c r="H127" s="867">
        <v>56.497856845255477</v>
      </c>
      <c r="I127" s="867">
        <v>41.082277437566916</v>
      </c>
      <c r="J127" s="867">
        <v>26.654224385790751</v>
      </c>
      <c r="K127" s="867">
        <v>13.883065403309002</v>
      </c>
      <c r="L127" s="867">
        <v>2.8975689708029195</v>
      </c>
      <c r="M127" s="867">
        <v>0</v>
      </c>
      <c r="N127" s="867">
        <v>0</v>
      </c>
      <c r="O127" s="867">
        <v>0</v>
      </c>
      <c r="P127" s="867">
        <v>0</v>
      </c>
      <c r="Q127" s="867">
        <v>0</v>
      </c>
      <c r="R127" s="867">
        <v>0</v>
      </c>
      <c r="S127" s="867">
        <v>0</v>
      </c>
      <c r="T127" s="867">
        <v>0</v>
      </c>
      <c r="U127" s="867">
        <v>0</v>
      </c>
      <c r="V127" s="867">
        <v>0</v>
      </c>
      <c r="W127" s="867">
        <v>0</v>
      </c>
      <c r="X127" s="867">
        <v>0</v>
      </c>
      <c r="Y127" s="867">
        <v>0</v>
      </c>
      <c r="Z127" s="867">
        <v>0</v>
      </c>
      <c r="AA127" s="867">
        <v>0</v>
      </c>
      <c r="AB127" s="867">
        <v>0</v>
      </c>
      <c r="AC127" s="867">
        <v>0</v>
      </c>
      <c r="AD127" s="867">
        <v>0</v>
      </c>
      <c r="AE127" s="867">
        <v>0</v>
      </c>
      <c r="AF127" s="867">
        <v>0</v>
      </c>
      <c r="AG127" s="867">
        <v>0</v>
      </c>
      <c r="AH127" s="867">
        <f t="shared" si="41"/>
        <v>2519.650884174745</v>
      </c>
    </row>
    <row r="128" spans="1:34" s="738" customFormat="1" x14ac:dyDescent="0.25">
      <c r="A128" s="290"/>
      <c r="B128" s="796" t="s">
        <v>106</v>
      </c>
      <c r="C128" s="798">
        <v>3629.0582278552274</v>
      </c>
      <c r="D128" s="798">
        <v>3079.722670063401</v>
      </c>
      <c r="E128" s="798">
        <v>3677.7944728092571</v>
      </c>
      <c r="F128" s="798">
        <v>3937.954855675921</v>
      </c>
      <c r="G128" s="798">
        <v>3834.4525080476765</v>
      </c>
      <c r="H128" s="798">
        <v>3733.5785313691554</v>
      </c>
      <c r="I128" s="798">
        <v>3942.1464890276116</v>
      </c>
      <c r="J128" s="798">
        <v>3787.905263458264</v>
      </c>
      <c r="K128" s="798">
        <v>3691.9256521130137</v>
      </c>
      <c r="L128" s="798">
        <v>3350.1904936397282</v>
      </c>
      <c r="M128" s="798">
        <v>2776.2632042065111</v>
      </c>
      <c r="N128" s="798">
        <v>2208.1149173092958</v>
      </c>
      <c r="O128" s="798">
        <v>1644.332278464505</v>
      </c>
      <c r="P128" s="798">
        <v>1082.2663525740072</v>
      </c>
      <c r="Q128" s="798">
        <v>621.75729658364241</v>
      </c>
      <c r="R128" s="798">
        <v>461.58736014707529</v>
      </c>
      <c r="S128" s="798">
        <v>304.29393730919497</v>
      </c>
      <c r="T128" s="798">
        <v>214.34955392127398</v>
      </c>
      <c r="U128" s="798">
        <v>154.60868113398161</v>
      </c>
      <c r="V128" s="798">
        <v>95.841092965995315</v>
      </c>
      <c r="W128" s="798">
        <v>49.697188292106119</v>
      </c>
      <c r="X128" s="798">
        <v>39.616538006569385</v>
      </c>
      <c r="Y128" s="798">
        <v>30.15662921318641</v>
      </c>
      <c r="Z128" s="798">
        <v>21.438591028703794</v>
      </c>
      <c r="AA128" s="798">
        <v>13.156094493574095</v>
      </c>
      <c r="AB128" s="798">
        <v>6.5679134361242886</v>
      </c>
      <c r="AC128" s="798">
        <v>4.5303724072174045</v>
      </c>
      <c r="AD128" s="798">
        <v>2.761198147779679</v>
      </c>
      <c r="AE128" s="798">
        <v>1.4118395567215767</v>
      </c>
      <c r="AF128" s="798">
        <v>0.38388737254927063</v>
      </c>
      <c r="AG128" s="798">
        <v>7.5848600000000016E-2</v>
      </c>
      <c r="AH128" s="798">
        <f t="shared" si="41"/>
        <v>46397.939939229269</v>
      </c>
    </row>
    <row r="129" spans="1:34" x14ac:dyDescent="0.3">
      <c r="A129" s="288"/>
      <c r="B129" s="967"/>
      <c r="C129" s="778"/>
      <c r="D129" s="778"/>
      <c r="E129" s="778"/>
      <c r="F129" s="778"/>
      <c r="G129" s="778"/>
      <c r="H129" s="778"/>
      <c r="I129" s="778"/>
      <c r="J129" s="778"/>
      <c r="K129" s="778"/>
      <c r="L129" s="778"/>
      <c r="M129" s="778"/>
      <c r="N129" s="778"/>
      <c r="O129" s="778"/>
      <c r="P129" s="778"/>
      <c r="Q129" s="778"/>
      <c r="R129" s="778"/>
      <c r="S129" s="778"/>
      <c r="T129" s="778"/>
      <c r="U129" s="778"/>
      <c r="V129" s="778"/>
      <c r="W129" s="778"/>
      <c r="X129" s="778"/>
      <c r="Y129" s="778"/>
      <c r="Z129" s="778"/>
      <c r="AA129" s="778"/>
      <c r="AB129" s="778"/>
      <c r="AC129" s="778"/>
      <c r="AD129" s="778"/>
      <c r="AE129" s="778"/>
      <c r="AF129" s="778"/>
      <c r="AG129" s="778"/>
      <c r="AH129" s="968"/>
    </row>
    <row r="130" spans="1:34" x14ac:dyDescent="0.3">
      <c r="A130" s="841"/>
      <c r="B130" s="799" t="s">
        <v>336</v>
      </c>
    </row>
    <row r="131" spans="1:34" x14ac:dyDescent="0.3">
      <c r="A131" s="841"/>
      <c r="B131" s="799"/>
      <c r="C131" s="980"/>
      <c r="D131" s="980"/>
      <c r="E131" s="980"/>
      <c r="F131" s="980"/>
      <c r="G131" s="980"/>
      <c r="H131" s="980"/>
      <c r="I131" s="980"/>
      <c r="J131" s="980"/>
      <c r="K131" s="980"/>
      <c r="L131" s="980"/>
      <c r="M131" s="981"/>
      <c r="N131" s="981"/>
      <c r="O131" s="980"/>
      <c r="P131" s="981"/>
      <c r="Q131" s="980"/>
      <c r="R131" s="981"/>
      <c r="S131" s="981"/>
      <c r="T131" s="981"/>
      <c r="U131" s="980"/>
      <c r="V131" s="980"/>
      <c r="W131" s="980"/>
      <c r="X131" s="980"/>
      <c r="Y131" s="980"/>
      <c r="Z131" s="980"/>
      <c r="AA131" s="980"/>
      <c r="AB131" s="980"/>
      <c r="AC131" s="980"/>
      <c r="AD131" s="980"/>
      <c r="AE131" s="980"/>
      <c r="AF131" s="980"/>
      <c r="AG131" s="980"/>
      <c r="AH131" s="980"/>
    </row>
    <row r="132" spans="1:34" x14ac:dyDescent="0.3">
      <c r="A132" s="841"/>
      <c r="B132" s="982"/>
      <c r="C132" s="881"/>
      <c r="D132" s="881"/>
      <c r="E132" s="881"/>
      <c r="F132" s="881"/>
      <c r="G132" s="881"/>
      <c r="H132" s="881"/>
      <c r="I132" s="881"/>
      <c r="J132" s="881"/>
      <c r="K132" s="881"/>
      <c r="L132" s="881"/>
      <c r="M132" s="881"/>
      <c r="N132" s="881"/>
      <c r="O132" s="881"/>
      <c r="P132" s="881"/>
      <c r="Q132" s="881"/>
      <c r="R132" s="881"/>
      <c r="S132" s="881"/>
      <c r="T132" s="881"/>
      <c r="U132" s="881"/>
      <c r="V132" s="832"/>
      <c r="W132" s="832"/>
      <c r="X132" s="881"/>
      <c r="Y132" s="881"/>
      <c r="Z132" s="881"/>
      <c r="AA132" s="881"/>
      <c r="AH132" s="881"/>
    </row>
    <row r="133" spans="1:34" x14ac:dyDescent="0.3">
      <c r="C133" s="832"/>
      <c r="D133" s="832"/>
      <c r="E133" s="832"/>
      <c r="F133" s="832"/>
      <c r="G133" s="832"/>
      <c r="H133" s="832"/>
      <c r="I133" s="832"/>
      <c r="J133" s="832"/>
      <c r="K133" s="832"/>
      <c r="L133" s="832"/>
      <c r="M133" s="832"/>
      <c r="N133" s="832"/>
      <c r="O133" s="832"/>
      <c r="P133" s="832"/>
      <c r="Q133" s="832"/>
      <c r="R133" s="832"/>
      <c r="S133" s="832"/>
      <c r="T133" s="832"/>
      <c r="U133" s="881"/>
      <c r="V133" s="881"/>
      <c r="W133" s="881"/>
      <c r="X133" s="881"/>
      <c r="Y133" s="881"/>
      <c r="Z133" s="881"/>
      <c r="AA133" s="881"/>
      <c r="AH133" s="881"/>
    </row>
    <row r="134" spans="1:34" x14ac:dyDescent="0.3">
      <c r="A134" s="841"/>
      <c r="C134" s="832"/>
      <c r="D134" s="832"/>
      <c r="E134" s="881"/>
      <c r="F134" s="881"/>
      <c r="G134" s="881"/>
      <c r="H134" s="881"/>
      <c r="I134" s="881"/>
      <c r="J134" s="881"/>
      <c r="K134" s="881"/>
      <c r="L134" s="881"/>
      <c r="M134" s="881"/>
      <c r="N134" s="881"/>
      <c r="O134" s="881"/>
      <c r="P134" s="881"/>
      <c r="Q134" s="881"/>
      <c r="R134" s="881"/>
      <c r="S134" s="881"/>
      <c r="T134" s="881"/>
      <c r="U134" s="881"/>
      <c r="V134" s="881"/>
      <c r="W134" s="881"/>
      <c r="X134" s="881"/>
      <c r="Y134" s="881"/>
      <c r="Z134" s="881"/>
      <c r="AA134" s="881"/>
      <c r="AH134" s="881"/>
    </row>
    <row r="135" spans="1:34" x14ac:dyDescent="0.3">
      <c r="C135" s="848"/>
      <c r="D135" s="848"/>
      <c r="E135" s="848"/>
      <c r="F135" s="848"/>
      <c r="G135" s="848"/>
      <c r="H135" s="848"/>
      <c r="I135" s="848"/>
      <c r="J135" s="848"/>
      <c r="K135" s="848"/>
      <c r="L135" s="848"/>
      <c r="M135" s="848"/>
      <c r="N135" s="848"/>
      <c r="O135" s="848"/>
      <c r="P135" s="848"/>
      <c r="Q135" s="848"/>
      <c r="R135" s="848"/>
      <c r="S135" s="848"/>
      <c r="T135" s="848"/>
      <c r="U135" s="848"/>
      <c r="V135" s="848"/>
      <c r="W135" s="848"/>
      <c r="X135" s="848"/>
      <c r="Y135" s="848"/>
      <c r="Z135" s="848"/>
      <c r="AA135" s="848"/>
      <c r="AH135" s="848"/>
    </row>
    <row r="136" spans="1:34" x14ac:dyDescent="0.3">
      <c r="C136" s="848"/>
      <c r="D136" s="848"/>
      <c r="E136" s="848"/>
      <c r="F136" s="848"/>
      <c r="G136" s="848"/>
      <c r="H136" s="848"/>
      <c r="I136" s="848"/>
      <c r="J136" s="848"/>
      <c r="K136" s="848"/>
      <c r="L136" s="848"/>
      <c r="M136" s="848"/>
      <c r="N136" s="848"/>
      <c r="O136" s="848"/>
      <c r="P136" s="848"/>
      <c r="Q136" s="848"/>
      <c r="R136" s="848"/>
      <c r="S136" s="848"/>
      <c r="T136" s="848"/>
      <c r="U136" s="848"/>
      <c r="V136" s="848"/>
      <c r="W136" s="848"/>
      <c r="X136" s="848"/>
      <c r="Y136" s="848"/>
      <c r="Z136" s="848"/>
      <c r="AA136" s="848"/>
      <c r="AB136" s="848"/>
      <c r="AC136" s="848"/>
      <c r="AD136" s="848"/>
      <c r="AE136" s="848"/>
      <c r="AF136" s="848"/>
      <c r="AG136" s="848"/>
      <c r="AH136" s="848"/>
    </row>
    <row r="137" spans="1:34" x14ac:dyDescent="0.3">
      <c r="C137" s="848"/>
      <c r="D137" s="848"/>
      <c r="E137" s="848"/>
      <c r="F137" s="848"/>
      <c r="G137" s="848"/>
      <c r="H137" s="848"/>
      <c r="I137" s="848"/>
      <c r="J137" s="848"/>
      <c r="K137" s="848"/>
      <c r="L137" s="848"/>
      <c r="M137" s="848"/>
      <c r="N137" s="848"/>
      <c r="O137" s="848"/>
      <c r="P137" s="848"/>
      <c r="Q137" s="848"/>
      <c r="R137" s="848"/>
      <c r="S137" s="848"/>
      <c r="T137" s="848"/>
      <c r="U137" s="848"/>
      <c r="V137" s="848"/>
      <c r="W137" s="848"/>
      <c r="X137" s="848"/>
      <c r="Y137" s="848"/>
      <c r="Z137" s="848"/>
      <c r="AA137" s="848"/>
      <c r="AB137" s="848"/>
      <c r="AC137" s="848"/>
      <c r="AD137" s="848"/>
      <c r="AE137" s="848"/>
      <c r="AF137" s="848"/>
      <c r="AG137" s="848"/>
      <c r="AH137" s="848"/>
    </row>
    <row r="138" spans="1:34" x14ac:dyDescent="0.3">
      <c r="C138" s="841"/>
      <c r="D138" s="841"/>
      <c r="E138" s="841"/>
      <c r="F138" s="841"/>
      <c r="G138" s="841"/>
      <c r="H138" s="841"/>
      <c r="I138" s="841"/>
      <c r="J138" s="841"/>
      <c r="K138" s="841"/>
      <c r="L138" s="841"/>
      <c r="M138" s="841"/>
      <c r="N138" s="841"/>
      <c r="O138" s="841"/>
      <c r="P138" s="841"/>
      <c r="Q138" s="841"/>
      <c r="R138" s="841"/>
      <c r="S138" s="841"/>
      <c r="T138" s="841"/>
      <c r="U138" s="841"/>
      <c r="V138" s="841"/>
      <c r="W138" s="841"/>
      <c r="X138" s="841"/>
      <c r="Y138" s="841"/>
      <c r="Z138" s="841"/>
      <c r="AA138" s="841"/>
      <c r="AB138" s="841"/>
      <c r="AC138" s="841"/>
      <c r="AD138" s="841"/>
      <c r="AE138" s="841"/>
      <c r="AF138" s="841"/>
      <c r="AG138" s="841"/>
      <c r="AH138" s="841"/>
    </row>
    <row r="139" spans="1:34" x14ac:dyDescent="0.3">
      <c r="C139" s="841"/>
      <c r="D139" s="841"/>
      <c r="E139" s="841"/>
      <c r="F139" s="841"/>
      <c r="G139" s="841"/>
      <c r="H139" s="841"/>
      <c r="I139" s="841"/>
      <c r="J139" s="841"/>
      <c r="K139" s="841"/>
      <c r="L139" s="841"/>
      <c r="M139" s="841"/>
      <c r="N139" s="841"/>
      <c r="O139" s="841"/>
      <c r="P139" s="841"/>
      <c r="Q139" s="841"/>
      <c r="R139" s="841"/>
      <c r="S139" s="841"/>
      <c r="T139" s="841"/>
      <c r="U139" s="841"/>
      <c r="V139" s="841"/>
      <c r="W139" s="841"/>
      <c r="X139" s="841"/>
      <c r="Y139" s="841"/>
      <c r="Z139" s="841"/>
      <c r="AA139" s="841"/>
      <c r="AB139" s="841"/>
      <c r="AC139" s="841"/>
      <c r="AD139" s="841"/>
      <c r="AE139" s="841"/>
      <c r="AF139" s="841"/>
      <c r="AG139" s="841"/>
      <c r="AH139" s="841"/>
    </row>
  </sheetData>
  <mergeCells count="2">
    <mergeCell ref="B6:AH6"/>
    <mergeCell ref="B11:AH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2060"/>
    <pageSetUpPr fitToPage="1"/>
  </sheetPr>
  <dimension ref="A1:J29"/>
  <sheetViews>
    <sheetView showGridLines="0" zoomScale="85" zoomScaleNormal="85" zoomScaleSheetLayoutView="85" workbookViewId="0"/>
  </sheetViews>
  <sheetFormatPr baseColWidth="10" defaultColWidth="11.44140625" defaultRowHeight="14.4" x14ac:dyDescent="0.3"/>
  <cols>
    <col min="1" max="1" width="6.77734375" style="224" customWidth="1"/>
    <col min="2" max="2" width="39.5546875" style="224" customWidth="1"/>
    <col min="3" max="3" width="22.77734375" style="224" customWidth="1"/>
    <col min="4" max="4" width="23.77734375" style="224" customWidth="1"/>
    <col min="5" max="6" width="22.77734375" style="224" customWidth="1"/>
    <col min="7" max="7" width="26.5546875" style="224" bestFit="1" customWidth="1"/>
    <col min="8" max="8" width="26.21875" style="224" bestFit="1" customWidth="1"/>
    <col min="9" max="9" width="30.44140625" style="224" bestFit="1" customWidth="1"/>
    <col min="10" max="10" width="26.5546875" style="224" bestFit="1" customWidth="1"/>
    <col min="11" max="16384" width="11.44140625" style="224"/>
  </cols>
  <sheetData>
    <row r="1" spans="1:7" ht="15" x14ac:dyDescent="0.3">
      <c r="A1" s="1" t="s">
        <v>216</v>
      </c>
      <c r="B1" s="223"/>
    </row>
    <row r="2" spans="1:7" ht="15" x14ac:dyDescent="0.3">
      <c r="A2" s="223"/>
      <c r="B2" s="4" t="str">
        <f>+INDICE!B2</f>
        <v>MINISTERIO DE ECONOMÍA</v>
      </c>
    </row>
    <row r="3" spans="1:7" ht="15" x14ac:dyDescent="0.3">
      <c r="A3" s="223"/>
      <c r="B3" s="4" t="str">
        <f>+INDICE!B3</f>
        <v>SECRETARÍA DE FINANZAS</v>
      </c>
    </row>
    <row r="4" spans="1:7" x14ac:dyDescent="0.3">
      <c r="B4" s="9"/>
      <c r="C4" s="9"/>
      <c r="D4" s="9"/>
      <c r="E4" s="9"/>
      <c r="F4" s="9"/>
    </row>
    <row r="5" spans="1:7" x14ac:dyDescent="0.3">
      <c r="B5" s="9"/>
      <c r="C5" s="9"/>
      <c r="D5" s="9"/>
      <c r="E5" s="9"/>
      <c r="F5" s="9"/>
    </row>
    <row r="6" spans="1:7" ht="18" x14ac:dyDescent="0.35">
      <c r="B6" s="1440" t="s">
        <v>108</v>
      </c>
      <c r="C6" s="1440"/>
      <c r="D6" s="1440"/>
      <c r="E6" s="1440"/>
      <c r="F6" s="1440"/>
    </row>
    <row r="7" spans="1:7" x14ac:dyDescent="0.3">
      <c r="B7" s="9"/>
      <c r="C7" s="9"/>
      <c r="D7" s="9"/>
      <c r="E7" s="9"/>
      <c r="F7" s="9"/>
    </row>
    <row r="8" spans="1:7" ht="15.6" thickBot="1" x14ac:dyDescent="0.35">
      <c r="C8" s="133"/>
      <c r="D8" s="133"/>
      <c r="E8" s="133"/>
      <c r="F8" s="983"/>
    </row>
    <row r="9" spans="1:7" ht="16.2" thickTop="1" thickBot="1" x14ac:dyDescent="0.35">
      <c r="A9" s="984"/>
      <c r="B9" s="9" t="s">
        <v>858</v>
      </c>
      <c r="C9" s="1399" t="s">
        <v>374</v>
      </c>
      <c r="D9" s="1401"/>
      <c r="E9" s="985"/>
      <c r="F9" s="985"/>
    </row>
    <row r="10" spans="1:7" ht="16.2" thickTop="1" thickBot="1" x14ac:dyDescent="0.35">
      <c r="A10" s="984"/>
      <c r="B10" s="1441" t="s">
        <v>375</v>
      </c>
      <c r="C10" s="1441" t="s">
        <v>510</v>
      </c>
      <c r="D10" s="1443" t="s">
        <v>511</v>
      </c>
      <c r="E10" s="1399" t="s">
        <v>376</v>
      </c>
      <c r="F10" s="1401"/>
    </row>
    <row r="11" spans="1:7" ht="46.2" thickTop="1" thickBot="1" x14ac:dyDescent="0.35">
      <c r="B11" s="1442"/>
      <c r="C11" s="1442"/>
      <c r="D11" s="1444"/>
      <c r="E11" s="986" t="s">
        <v>512</v>
      </c>
      <c r="F11" s="986" t="s">
        <v>377</v>
      </c>
    </row>
    <row r="12" spans="1:7" ht="16.8" thickTop="1" x14ac:dyDescent="0.3">
      <c r="B12" s="198"/>
      <c r="C12" s="987"/>
      <c r="D12" s="987"/>
      <c r="E12" s="987"/>
      <c r="F12" s="987"/>
    </row>
    <row r="13" spans="1:7" ht="15" x14ac:dyDescent="0.3">
      <c r="B13" s="192" t="s">
        <v>27</v>
      </c>
      <c r="C13" s="988">
        <v>17192865.484000001</v>
      </c>
      <c r="D13" s="989">
        <v>29.960260000000002</v>
      </c>
      <c r="E13" s="988">
        <v>5151027.2004566593</v>
      </c>
      <c r="F13" s="988">
        <v>5151027.2004566593</v>
      </c>
      <c r="G13" s="990"/>
    </row>
    <row r="14" spans="1:7" ht="15" x14ac:dyDescent="0.3">
      <c r="B14" s="192" t="s">
        <v>253</v>
      </c>
      <c r="C14" s="988">
        <v>3103379.4509999999</v>
      </c>
      <c r="D14" s="989">
        <v>29.960260000000002</v>
      </c>
      <c r="E14" s="988">
        <v>929780.55230617255</v>
      </c>
      <c r="F14" s="988">
        <v>929780.55230617255</v>
      </c>
      <c r="G14" s="990"/>
    </row>
    <row r="15" spans="1:7" ht="15" x14ac:dyDescent="0.3">
      <c r="B15" s="192" t="s">
        <v>255</v>
      </c>
      <c r="C15" s="988">
        <v>18947454.208999999</v>
      </c>
      <c r="D15" s="989">
        <v>31.005080000000007</v>
      </c>
      <c r="E15" s="988">
        <v>5874673.3354638182</v>
      </c>
      <c r="F15" s="988">
        <v>6678041.7590812985</v>
      </c>
      <c r="G15" s="990"/>
    </row>
    <row r="16" spans="1:7" ht="15" x14ac:dyDescent="0.3">
      <c r="B16" s="192" t="s">
        <v>254</v>
      </c>
      <c r="C16" s="988">
        <v>38151927.678999998</v>
      </c>
      <c r="D16" s="989">
        <v>24.593589999999995</v>
      </c>
      <c r="E16" s="988">
        <v>9382928.6704697739</v>
      </c>
      <c r="F16" s="988">
        <v>91318.040588513613</v>
      </c>
      <c r="G16" s="990"/>
    </row>
    <row r="17" spans="2:10" ht="15" x14ac:dyDescent="0.3">
      <c r="B17" s="192" t="s">
        <v>223</v>
      </c>
      <c r="C17" s="988">
        <v>46303523</v>
      </c>
      <c r="D17" s="989">
        <v>32.850110000000001</v>
      </c>
      <c r="E17" s="988">
        <v>15210758.239375299</v>
      </c>
      <c r="F17" s="988">
        <v>132175.51476690389</v>
      </c>
      <c r="G17" s="990"/>
    </row>
    <row r="18" spans="2:10" ht="15.6" thickBot="1" x14ac:dyDescent="0.35">
      <c r="B18" s="991"/>
      <c r="C18" s="992"/>
      <c r="D18" s="992"/>
      <c r="E18" s="993"/>
      <c r="F18" s="993"/>
    </row>
    <row r="19" spans="2:10" ht="17.399999999999999" thickTop="1" thickBot="1" x14ac:dyDescent="0.35">
      <c r="C19" s="994"/>
      <c r="D19" s="994"/>
      <c r="E19" s="995" t="s">
        <v>275</v>
      </c>
      <c r="F19" s="996">
        <f>SUM(F13:F18)</f>
        <v>12982343.067199547</v>
      </c>
      <c r="G19" s="15"/>
    </row>
    <row r="20" spans="2:10" ht="15" thickTop="1" x14ac:dyDescent="0.3">
      <c r="C20" s="997"/>
      <c r="D20" s="997"/>
      <c r="E20" s="997"/>
      <c r="F20" s="997"/>
    </row>
    <row r="21" spans="2:10" x14ac:dyDescent="0.3">
      <c r="B21" s="1445" t="s">
        <v>378</v>
      </c>
      <c r="C21" s="1445"/>
      <c r="D21" s="1445"/>
      <c r="E21" s="1445"/>
      <c r="F21" s="1445"/>
    </row>
    <row r="22" spans="2:10" x14ac:dyDescent="0.3">
      <c r="B22" s="1445" t="s">
        <v>379</v>
      </c>
      <c r="C22" s="1445"/>
      <c r="D22" s="1445"/>
      <c r="E22" s="1445"/>
      <c r="F22" s="1445"/>
    </row>
    <row r="23" spans="2:10" x14ac:dyDescent="0.3">
      <c r="B23" s="1445" t="s">
        <v>380</v>
      </c>
      <c r="C23" s="1445"/>
      <c r="D23" s="1445"/>
      <c r="E23" s="1445"/>
      <c r="F23" s="1445"/>
    </row>
    <row r="24" spans="2:10" x14ac:dyDescent="0.3">
      <c r="B24" s="1445" t="s">
        <v>381</v>
      </c>
      <c r="C24" s="1445"/>
      <c r="D24" s="1445"/>
      <c r="E24" s="1445"/>
      <c r="F24" s="1445"/>
    </row>
    <row r="25" spans="2:10" x14ac:dyDescent="0.3">
      <c r="B25" s="1445" t="s">
        <v>382</v>
      </c>
      <c r="C25" s="1445"/>
      <c r="D25" s="1445"/>
      <c r="E25" s="1445"/>
      <c r="F25" s="1445"/>
    </row>
    <row r="26" spans="2:10" ht="53.55" customHeight="1" x14ac:dyDescent="0.3">
      <c r="B26" s="1446" t="s">
        <v>383</v>
      </c>
      <c r="C26" s="1446"/>
      <c r="D26" s="1446"/>
      <c r="E26" s="1446"/>
      <c r="F26" s="1446"/>
    </row>
    <row r="27" spans="2:10" ht="27.6" customHeight="1" x14ac:dyDescent="0.3">
      <c r="B27" s="1446" t="s">
        <v>384</v>
      </c>
      <c r="C27" s="1446"/>
      <c r="D27" s="1446"/>
      <c r="E27" s="1446"/>
      <c r="F27" s="1446"/>
      <c r="J27" s="998"/>
    </row>
    <row r="28" spans="2:10" x14ac:dyDescent="0.3">
      <c r="B28" s="999"/>
      <c r="C28" s="999"/>
      <c r="D28" s="999"/>
      <c r="E28" s="999"/>
      <c r="F28" s="999"/>
      <c r="J28" s="998"/>
    </row>
    <row r="29" spans="2:10" x14ac:dyDescent="0.3">
      <c r="B29" s="1410"/>
      <c r="C29" s="1410"/>
      <c r="D29" s="1410"/>
      <c r="E29" s="1410"/>
      <c r="F29" s="1410"/>
      <c r="J29" s="998"/>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18"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IG74"/>
  <sheetViews>
    <sheetView showGridLines="0" zoomScale="85" zoomScaleNormal="85" zoomScaleSheetLayoutView="85" workbookViewId="0"/>
  </sheetViews>
  <sheetFormatPr baseColWidth="10" defaultColWidth="11.44140625" defaultRowHeight="14.4" x14ac:dyDescent="0.3"/>
  <cols>
    <col min="1" max="1" width="6.77734375" style="3" customWidth="1"/>
    <col min="2" max="2" width="105.21875" style="3" bestFit="1" customWidth="1"/>
    <col min="3" max="3" width="17.21875" style="3" customWidth="1"/>
    <col min="4" max="4" width="16.21875" style="3" bestFit="1" customWidth="1"/>
    <col min="5" max="16384" width="11.44140625" style="3"/>
  </cols>
  <sheetData>
    <row r="1" spans="1:5" ht="15" x14ac:dyDescent="0.3">
      <c r="A1" s="1" t="s">
        <v>216</v>
      </c>
      <c r="B1" s="1000"/>
    </row>
    <row r="2" spans="1:5" ht="15" x14ac:dyDescent="0.3">
      <c r="A2" s="2"/>
      <c r="B2" s="4" t="str">
        <f>+INDICE!B2</f>
        <v>MINISTERIO DE ECONOMÍA</v>
      </c>
      <c r="C2" s="1001"/>
    </row>
    <row r="3" spans="1:5" ht="15" x14ac:dyDescent="0.3">
      <c r="A3" s="2"/>
      <c r="B3" s="4" t="str">
        <f>+INDICE!B3</f>
        <v>SECRETARÍA DE FINANZAS</v>
      </c>
      <c r="C3" s="1001"/>
    </row>
    <row r="4" spans="1:5" x14ac:dyDescent="0.3">
      <c r="B4" s="1002"/>
      <c r="C4" s="1001"/>
    </row>
    <row r="5" spans="1:5" x14ac:dyDescent="0.3">
      <c r="B5" s="1002"/>
      <c r="C5" s="1001"/>
    </row>
    <row r="6" spans="1:5" ht="16.2" x14ac:dyDescent="0.3">
      <c r="B6" s="1306" t="s">
        <v>656</v>
      </c>
      <c r="C6" s="1306"/>
    </row>
    <row r="7" spans="1:5" x14ac:dyDescent="0.3">
      <c r="B7" s="1447" t="s">
        <v>919</v>
      </c>
      <c r="C7" s="1447"/>
    </row>
    <row r="9" spans="1:5" x14ac:dyDescent="0.3">
      <c r="B9" s="1003"/>
      <c r="C9" s="1003"/>
    </row>
    <row r="10" spans="1:5" ht="15" thickBot="1" x14ac:dyDescent="0.35">
      <c r="B10" s="9"/>
      <c r="C10" s="9" t="s">
        <v>278</v>
      </c>
    </row>
    <row r="11" spans="1:5" s="138" customFormat="1" ht="12" thickTop="1" x14ac:dyDescent="0.2">
      <c r="A11" s="1004"/>
      <c r="B11" s="1005"/>
      <c r="C11" s="1005"/>
    </row>
    <row r="12" spans="1:5" ht="15" x14ac:dyDescent="0.3">
      <c r="B12" s="1006" t="s">
        <v>279</v>
      </c>
      <c r="C12" s="1006" t="s">
        <v>281</v>
      </c>
    </row>
    <row r="13" spans="1:5" s="138" customFormat="1" ht="12" thickBot="1" x14ac:dyDescent="0.25">
      <c r="B13" s="1007"/>
      <c r="C13" s="1007"/>
    </row>
    <row r="14" spans="1:5" ht="15" thickTop="1" x14ac:dyDescent="0.3">
      <c r="B14" s="1008"/>
      <c r="C14" s="139"/>
      <c r="D14" s="138"/>
      <c r="E14" s="138"/>
    </row>
    <row r="15" spans="1:5" s="56" customFormat="1" ht="15" x14ac:dyDescent="0.2">
      <c r="B15" s="1009" t="s">
        <v>303</v>
      </c>
      <c r="C15" s="87">
        <f>+C17+C22+C28</f>
        <v>162363.85381470792</v>
      </c>
      <c r="D15" s="165"/>
      <c r="E15" s="1209"/>
    </row>
    <row r="16" spans="1:5" x14ac:dyDescent="0.3">
      <c r="B16" s="142"/>
      <c r="C16" s="146"/>
      <c r="D16" s="165"/>
      <c r="E16" s="138"/>
    </row>
    <row r="17" spans="2:5" s="56" customFormat="1" x14ac:dyDescent="0.2">
      <c r="B17" s="1010" t="s">
        <v>507</v>
      </c>
      <c r="C17" s="1011">
        <f>SUM(C19:C20)</f>
        <v>1548.8251326336958</v>
      </c>
      <c r="D17" s="165"/>
      <c r="E17" s="138"/>
    </row>
    <row r="18" spans="2:5" x14ac:dyDescent="0.3">
      <c r="B18" s="142"/>
      <c r="C18" s="1012"/>
      <c r="D18" s="165"/>
      <c r="E18" s="138"/>
    </row>
    <row r="19" spans="2:5" x14ac:dyDescent="0.3">
      <c r="B19" s="142" t="s">
        <v>371</v>
      </c>
      <c r="C19" s="1012">
        <v>652.95901041402328</v>
      </c>
      <c r="D19" s="165"/>
      <c r="E19" s="138"/>
    </row>
    <row r="20" spans="2:5" s="56" customFormat="1" x14ac:dyDescent="0.2">
      <c r="B20" s="85" t="s">
        <v>370</v>
      </c>
      <c r="C20" s="1011">
        <v>895.86612221967266</v>
      </c>
      <c r="D20" s="165"/>
      <c r="E20" s="138"/>
    </row>
    <row r="21" spans="2:5" ht="15" x14ac:dyDescent="0.3">
      <c r="B21" s="142"/>
      <c r="C21" s="1013"/>
      <c r="D21" s="165"/>
      <c r="E21" s="138"/>
    </row>
    <row r="22" spans="2:5" s="56" customFormat="1" x14ac:dyDescent="0.2">
      <c r="B22" s="1010" t="s">
        <v>508</v>
      </c>
      <c r="C22" s="92">
        <f>SUM(C24:C26)</f>
        <v>160803.32236540702</v>
      </c>
      <c r="D22" s="165"/>
      <c r="E22" s="138"/>
    </row>
    <row r="23" spans="2:5" x14ac:dyDescent="0.3">
      <c r="B23" s="1014"/>
      <c r="C23" s="146"/>
      <c r="D23" s="165"/>
      <c r="E23" s="138"/>
    </row>
    <row r="24" spans="2:5" s="56" customFormat="1" x14ac:dyDescent="0.2">
      <c r="B24" s="1015" t="s">
        <v>371</v>
      </c>
      <c r="C24" s="99">
        <v>37510.358629342212</v>
      </c>
      <c r="D24" s="165"/>
      <c r="E24" s="138"/>
    </row>
    <row r="25" spans="2:5" s="56" customFormat="1" x14ac:dyDescent="0.2">
      <c r="B25" s="1015" t="s">
        <v>370</v>
      </c>
      <c r="C25" s="99">
        <v>37704.284783473122</v>
      </c>
      <c r="D25" s="165"/>
      <c r="E25" s="138"/>
    </row>
    <row r="26" spans="2:5" s="56" customFormat="1" x14ac:dyDescent="0.2">
      <c r="B26" s="1015" t="s">
        <v>479</v>
      </c>
      <c r="C26" s="99">
        <v>85588.678952591668</v>
      </c>
      <c r="D26" s="165"/>
      <c r="E26" s="138"/>
    </row>
    <row r="27" spans="2:5" x14ac:dyDescent="0.3">
      <c r="B27" s="142"/>
      <c r="C27" s="146"/>
      <c r="D27" s="165"/>
      <c r="E27" s="138"/>
    </row>
    <row r="28" spans="2:5" s="56" customFormat="1" x14ac:dyDescent="0.2">
      <c r="B28" s="1010" t="s">
        <v>372</v>
      </c>
      <c r="C28" s="92">
        <f>SUM(C30:C31)</f>
        <v>11.706316667214494</v>
      </c>
      <c r="D28" s="165"/>
      <c r="E28" s="138"/>
    </row>
    <row r="29" spans="2:5" x14ac:dyDescent="0.3">
      <c r="B29" s="1014"/>
      <c r="C29" s="146"/>
      <c r="D29" s="165"/>
      <c r="E29" s="138"/>
    </row>
    <row r="30" spans="2:5" s="56" customFormat="1" x14ac:dyDescent="0.3">
      <c r="B30" s="142" t="s">
        <v>371</v>
      </c>
      <c r="C30" s="92">
        <v>8.8417883811998959</v>
      </c>
      <c r="D30" s="165"/>
      <c r="E30" s="138"/>
    </row>
    <row r="31" spans="2:5" s="56" customFormat="1" x14ac:dyDescent="0.2">
      <c r="B31" s="85" t="s">
        <v>370</v>
      </c>
      <c r="C31" s="92">
        <v>2.8645282860145986</v>
      </c>
      <c r="D31" s="165"/>
      <c r="E31" s="138"/>
    </row>
    <row r="32" spans="2:5" x14ac:dyDescent="0.3">
      <c r="B32" s="142"/>
      <c r="C32" s="146"/>
      <c r="D32" s="165"/>
      <c r="E32" s="138"/>
    </row>
    <row r="33" spans="1:241" s="56" customFormat="1" ht="30" x14ac:dyDescent="0.2">
      <c r="B33" s="1016" t="s">
        <v>170</v>
      </c>
      <c r="C33" s="87">
        <v>579228.87566999998</v>
      </c>
      <c r="D33" s="165"/>
    </row>
    <row r="34" spans="1:241" ht="16.2" x14ac:dyDescent="0.3">
      <c r="B34" s="1017"/>
      <c r="C34" s="184"/>
      <c r="D34" s="165"/>
    </row>
    <row r="35" spans="1:241" s="56" customFormat="1" ht="15" x14ac:dyDescent="0.2">
      <c r="B35" s="1009" t="s">
        <v>683</v>
      </c>
      <c r="C35" s="87">
        <v>719133.40000000014</v>
      </c>
      <c r="D35" s="165"/>
    </row>
    <row r="36" spans="1:241" ht="16.2" x14ac:dyDescent="0.3">
      <c r="B36" s="1017"/>
      <c r="C36" s="184"/>
      <c r="D36" s="165"/>
    </row>
    <row r="37" spans="1:241" ht="15" x14ac:dyDescent="0.3">
      <c r="B37" s="1018" t="s">
        <v>144</v>
      </c>
      <c r="C37" s="87">
        <f>+C35+C33+C15</f>
        <v>1460726.129484708</v>
      </c>
      <c r="D37" s="165"/>
      <c r="E37" s="157"/>
    </row>
    <row r="38" spans="1:241" ht="15" thickBot="1" x14ac:dyDescent="0.35">
      <c r="B38" s="1019"/>
      <c r="C38" s="1020"/>
      <c r="D38" s="165"/>
    </row>
    <row r="39" spans="1:241" s="280" customFormat="1" ht="16.8" thickTop="1" x14ac:dyDescent="0.3">
      <c r="A39" s="9"/>
      <c r="B39" s="9"/>
      <c r="C39" s="10"/>
      <c r="D39" s="165"/>
      <c r="P39" s="1021"/>
      <c r="Q39" s="1021"/>
      <c r="R39" s="1021"/>
      <c r="S39" s="1021"/>
      <c r="T39" s="1021"/>
      <c r="U39" s="1021"/>
      <c r="V39" s="1021"/>
      <c r="W39" s="1021"/>
      <c r="X39" s="1021"/>
      <c r="Y39" s="1021"/>
      <c r="Z39" s="1021"/>
      <c r="AA39" s="1021"/>
      <c r="AB39" s="1021"/>
      <c r="AC39" s="1021"/>
      <c r="AD39" s="1021"/>
      <c r="AE39" s="1021"/>
      <c r="AF39" s="1021"/>
      <c r="AG39" s="1021"/>
      <c r="AH39" s="1021"/>
      <c r="AI39" s="1021"/>
      <c r="AJ39" s="1021"/>
      <c r="AK39" s="1021"/>
      <c r="AL39" s="1021"/>
      <c r="AM39" s="1021"/>
      <c r="AN39" s="1021"/>
      <c r="AO39" s="1021"/>
      <c r="AP39" s="1021"/>
      <c r="AQ39" s="1021"/>
      <c r="AR39" s="1021"/>
      <c r="AS39" s="1021"/>
      <c r="AT39" s="1021"/>
      <c r="AU39" s="1021"/>
      <c r="AV39" s="1021"/>
      <c r="AW39" s="1021"/>
      <c r="AX39" s="1021"/>
      <c r="AY39" s="1021"/>
      <c r="AZ39" s="1021"/>
      <c r="BA39" s="1021"/>
      <c r="BB39" s="1021"/>
      <c r="BC39" s="1021"/>
      <c r="BD39" s="1021"/>
      <c r="BE39" s="1021"/>
      <c r="BF39" s="1021"/>
      <c r="BG39" s="1021"/>
      <c r="BH39" s="1021"/>
      <c r="BI39" s="1021"/>
      <c r="BJ39" s="1021"/>
      <c r="BK39" s="1021"/>
      <c r="BL39" s="1021"/>
      <c r="BM39" s="1021"/>
      <c r="BN39" s="1021"/>
      <c r="BO39" s="1021"/>
      <c r="BP39" s="1021"/>
      <c r="BQ39" s="1021"/>
      <c r="BR39" s="1021"/>
      <c r="BS39" s="1021"/>
      <c r="BT39" s="1021"/>
      <c r="BU39" s="1021"/>
      <c r="BV39" s="1021"/>
      <c r="BW39" s="1021"/>
      <c r="BX39" s="1021"/>
      <c r="BY39" s="1021"/>
      <c r="BZ39" s="1021"/>
      <c r="CA39" s="1021"/>
      <c r="CB39" s="1021"/>
      <c r="CC39" s="1021"/>
      <c r="CD39" s="1021"/>
      <c r="CE39" s="1021"/>
      <c r="CF39" s="1021"/>
      <c r="CG39" s="1021"/>
      <c r="CH39" s="1021"/>
      <c r="CI39" s="1021"/>
      <c r="CJ39" s="1021"/>
      <c r="CK39" s="1021"/>
      <c r="CL39" s="1021"/>
      <c r="CM39" s="1021"/>
      <c r="CN39" s="1021"/>
      <c r="CO39" s="1021"/>
      <c r="CP39" s="1021"/>
      <c r="CQ39" s="1021"/>
      <c r="CR39" s="1021"/>
      <c r="CS39" s="1021"/>
      <c r="CT39" s="1021"/>
      <c r="CU39" s="1021"/>
      <c r="CV39" s="1021"/>
      <c r="CW39" s="1021"/>
      <c r="CX39" s="1021"/>
      <c r="CY39" s="1021"/>
      <c r="CZ39" s="1021"/>
      <c r="DA39" s="1021"/>
      <c r="DB39" s="1021"/>
      <c r="DC39" s="1021"/>
      <c r="DD39" s="1021"/>
      <c r="DE39" s="1021"/>
      <c r="DF39" s="1021"/>
      <c r="DG39" s="1021"/>
      <c r="DH39" s="1021"/>
      <c r="DI39" s="1021"/>
      <c r="DJ39" s="1021"/>
      <c r="DK39" s="1021"/>
      <c r="DL39" s="1021"/>
      <c r="DM39" s="1021"/>
      <c r="DN39" s="1021"/>
      <c r="DO39" s="1021"/>
      <c r="DP39" s="1021"/>
      <c r="DQ39" s="1021"/>
      <c r="DR39" s="1021"/>
      <c r="DS39" s="1021"/>
      <c r="DT39" s="1021"/>
      <c r="DU39" s="1021"/>
      <c r="DV39" s="1021"/>
      <c r="DW39" s="1021"/>
      <c r="DX39" s="1021"/>
      <c r="DY39" s="1021"/>
      <c r="DZ39" s="1021"/>
      <c r="EA39" s="1021"/>
      <c r="EB39" s="1021"/>
      <c r="EC39" s="1021"/>
      <c r="ED39" s="1021"/>
      <c r="EE39" s="1021"/>
      <c r="EF39" s="1021"/>
      <c r="EG39" s="1021"/>
      <c r="EH39" s="1021"/>
      <c r="EI39" s="1021"/>
      <c r="EJ39" s="1021"/>
      <c r="EK39" s="1021"/>
      <c r="EL39" s="1021"/>
      <c r="EM39" s="1021"/>
      <c r="EN39" s="1021"/>
      <c r="EO39" s="1021"/>
      <c r="EP39" s="1021"/>
      <c r="EQ39" s="1021"/>
      <c r="ER39" s="1021"/>
      <c r="ES39" s="1021"/>
      <c r="ET39" s="1021"/>
      <c r="EU39" s="1021"/>
      <c r="EV39" s="1021"/>
      <c r="EW39" s="1021"/>
      <c r="EX39" s="1021"/>
      <c r="EY39" s="1021"/>
      <c r="EZ39" s="1021"/>
      <c r="FA39" s="1021"/>
      <c r="FB39" s="1021"/>
      <c r="FC39" s="1021"/>
      <c r="FD39" s="1021"/>
      <c r="FE39" s="1021"/>
      <c r="FF39" s="1021"/>
      <c r="FG39" s="1021"/>
      <c r="FH39" s="1021"/>
      <c r="FI39" s="1021"/>
      <c r="FJ39" s="1021"/>
      <c r="FK39" s="1021"/>
      <c r="FL39" s="1021"/>
      <c r="FM39" s="1021"/>
      <c r="FN39" s="1021"/>
      <c r="FO39" s="1021"/>
      <c r="FP39" s="1021"/>
      <c r="FQ39" s="1021"/>
      <c r="FR39" s="1021"/>
      <c r="FS39" s="1021"/>
      <c r="FT39" s="1021"/>
      <c r="FU39" s="1021"/>
      <c r="FV39" s="1021"/>
      <c r="FW39" s="1021"/>
      <c r="FX39" s="1021"/>
      <c r="FY39" s="1021"/>
      <c r="FZ39" s="1021"/>
      <c r="GA39" s="1021"/>
      <c r="GB39" s="1021"/>
      <c r="GC39" s="1021"/>
      <c r="GD39" s="1021"/>
      <c r="GE39" s="1021"/>
      <c r="GF39" s="1021"/>
      <c r="GG39" s="1021"/>
      <c r="GH39" s="1021"/>
      <c r="GI39" s="1021"/>
      <c r="GJ39" s="1021"/>
      <c r="GK39" s="1021"/>
      <c r="GL39" s="1021"/>
      <c r="GM39" s="1021"/>
      <c r="GN39" s="1021"/>
      <c r="GO39" s="1021"/>
      <c r="GP39" s="1021"/>
      <c r="GQ39" s="1021"/>
      <c r="GR39" s="1021"/>
      <c r="GS39" s="1021"/>
      <c r="GT39" s="1021"/>
      <c r="GU39" s="1021"/>
      <c r="GV39" s="1021"/>
      <c r="GW39" s="1021"/>
      <c r="GX39" s="1021"/>
      <c r="GY39" s="1021"/>
      <c r="GZ39" s="1021"/>
      <c r="HA39" s="1021"/>
      <c r="HB39" s="1021"/>
      <c r="HC39" s="1021"/>
      <c r="HD39" s="1021"/>
      <c r="HE39" s="1021"/>
      <c r="HF39" s="1021"/>
      <c r="HG39" s="1021"/>
      <c r="HH39" s="1021"/>
      <c r="HI39" s="1021"/>
      <c r="HJ39" s="1021"/>
      <c r="HK39" s="1021"/>
      <c r="HL39" s="1021"/>
      <c r="HM39" s="1021"/>
      <c r="HN39" s="1021"/>
      <c r="HO39" s="1021"/>
      <c r="HP39" s="1021"/>
      <c r="HQ39" s="1021"/>
      <c r="HR39" s="1021"/>
      <c r="HS39" s="1021"/>
      <c r="HT39" s="1021"/>
      <c r="HU39" s="1021"/>
      <c r="HV39" s="1021"/>
      <c r="HW39" s="1021"/>
      <c r="HX39" s="1021"/>
      <c r="HY39" s="1021"/>
      <c r="HZ39" s="1021"/>
      <c r="IA39" s="1021"/>
      <c r="IB39" s="1021"/>
      <c r="IC39" s="1021"/>
      <c r="ID39" s="1021"/>
      <c r="IE39" s="1021"/>
      <c r="IF39" s="1021"/>
      <c r="IG39" s="1021"/>
    </row>
    <row r="40" spans="1:241" x14ac:dyDescent="0.3">
      <c r="B40" s="1448" t="s">
        <v>670</v>
      </c>
      <c r="C40" s="1448"/>
      <c r="D40" s="165"/>
    </row>
    <row r="41" spans="1:241" x14ac:dyDescent="0.3">
      <c r="B41" s="1448"/>
      <c r="C41" s="1448"/>
      <c r="D41" s="165"/>
    </row>
    <row r="42" spans="1:241" x14ac:dyDescent="0.3">
      <c r="B42" s="1448"/>
      <c r="C42" s="1448"/>
      <c r="D42" s="165"/>
    </row>
    <row r="43" spans="1:241" x14ac:dyDescent="0.3">
      <c r="B43" s="1448"/>
      <c r="C43" s="1448"/>
      <c r="D43" s="165"/>
    </row>
    <row r="44" spans="1:241" ht="15" x14ac:dyDescent="0.3">
      <c r="B44" s="1022"/>
      <c r="C44" s="1022"/>
      <c r="D44" s="165"/>
    </row>
    <row r="45" spans="1:241" ht="15" x14ac:dyDescent="0.3">
      <c r="B45" s="1022"/>
      <c r="C45" s="1022"/>
      <c r="D45" s="165"/>
    </row>
    <row r="46" spans="1:241" ht="16.2" x14ac:dyDescent="0.3">
      <c r="B46" s="1306" t="s">
        <v>554</v>
      </c>
      <c r="C46" s="1306"/>
      <c r="D46" s="165"/>
    </row>
    <row r="47" spans="1:241" ht="15" thickBot="1" x14ac:dyDescent="0.35">
      <c r="B47" s="9"/>
      <c r="C47" s="1023" t="s">
        <v>278</v>
      </c>
      <c r="D47" s="165"/>
    </row>
    <row r="48" spans="1:241" s="138" customFormat="1" ht="12" thickTop="1" x14ac:dyDescent="0.2">
      <c r="B48" s="1005"/>
      <c r="C48" s="1005"/>
      <c r="D48" s="165"/>
    </row>
    <row r="49" spans="2:4" s="56" customFormat="1" ht="15" x14ac:dyDescent="0.2">
      <c r="B49" s="1024" t="s">
        <v>279</v>
      </c>
      <c r="C49" s="1006" t="s">
        <v>281</v>
      </c>
      <c r="D49" s="165"/>
    </row>
    <row r="50" spans="2:4" s="138" customFormat="1" ht="12" thickBot="1" x14ac:dyDescent="0.25">
      <c r="B50" s="1007"/>
      <c r="C50" s="1007"/>
      <c r="D50" s="165"/>
    </row>
    <row r="51" spans="2:4" ht="15" thickTop="1" x14ac:dyDescent="0.3">
      <c r="B51" s="16"/>
      <c r="C51" s="1025"/>
      <c r="D51" s="165"/>
    </row>
    <row r="52" spans="2:4" s="56" customFormat="1" ht="15" x14ac:dyDescent="0.2">
      <c r="B52" s="1026" t="s">
        <v>663</v>
      </c>
      <c r="C52" s="87">
        <f>+C54+C55+C57+C58</f>
        <v>303646.38838045002</v>
      </c>
      <c r="D52" s="165"/>
    </row>
    <row r="53" spans="2:4" x14ac:dyDescent="0.3">
      <c r="B53" s="1027"/>
      <c r="C53" s="146"/>
      <c r="D53" s="165"/>
    </row>
    <row r="54" spans="2:4" s="56" customFormat="1" x14ac:dyDescent="0.2">
      <c r="B54" s="1028" t="s">
        <v>16</v>
      </c>
      <c r="C54" s="1029">
        <v>241204.18885000001</v>
      </c>
      <c r="D54" s="165"/>
    </row>
    <row r="55" spans="2:4" s="56" customFormat="1" x14ac:dyDescent="0.2">
      <c r="B55" s="1028" t="s">
        <v>17</v>
      </c>
      <c r="C55" s="1029">
        <v>6057.6280800000004</v>
      </c>
      <c r="D55" s="165"/>
    </row>
    <row r="56" spans="2:4" ht="15" x14ac:dyDescent="0.3">
      <c r="B56" s="1030"/>
      <c r="C56" s="1031"/>
      <c r="D56" s="165"/>
    </row>
    <row r="57" spans="2:4" s="56" customFormat="1" x14ac:dyDescent="0.2">
      <c r="B57" s="1028" t="s">
        <v>18</v>
      </c>
      <c r="C57" s="1029">
        <v>56328.535928024998</v>
      </c>
      <c r="D57" s="165"/>
    </row>
    <row r="58" spans="2:4" s="56" customFormat="1" x14ac:dyDescent="0.2">
      <c r="B58" s="1028" t="s">
        <v>17</v>
      </c>
      <c r="C58" s="1029">
        <v>56.035522425000011</v>
      </c>
      <c r="D58" s="165"/>
    </row>
    <row r="59" spans="2:4" ht="15" thickBot="1" x14ac:dyDescent="0.35">
      <c r="B59" s="35"/>
      <c r="C59" s="140"/>
      <c r="D59" s="165"/>
    </row>
    <row r="60" spans="2:4" ht="15" thickTop="1" x14ac:dyDescent="0.3">
      <c r="D60" s="165"/>
    </row>
    <row r="61" spans="2:4" x14ac:dyDescent="0.3">
      <c r="B61" s="9" t="s">
        <v>664</v>
      </c>
      <c r="D61" s="165"/>
    </row>
    <row r="62" spans="2:4" x14ac:dyDescent="0.3">
      <c r="C62" s="157"/>
      <c r="D62" s="165"/>
    </row>
    <row r="63" spans="2:4" x14ac:dyDescent="0.3">
      <c r="C63" s="15"/>
      <c r="D63" s="165"/>
    </row>
    <row r="64" spans="2:4" x14ac:dyDescent="0.3">
      <c r="D64" s="165"/>
    </row>
    <row r="65" spans="4:4" x14ac:dyDescent="0.3">
      <c r="D65" s="165"/>
    </row>
    <row r="66" spans="4:4" x14ac:dyDescent="0.3">
      <c r="D66" s="165"/>
    </row>
    <row r="67" spans="4:4" x14ac:dyDescent="0.3">
      <c r="D67" s="165"/>
    </row>
    <row r="68" spans="4:4" x14ac:dyDescent="0.3">
      <c r="D68" s="165"/>
    </row>
    <row r="69" spans="4:4" x14ac:dyDescent="0.3">
      <c r="D69" s="165"/>
    </row>
    <row r="70" spans="4:4" x14ac:dyDescent="0.3">
      <c r="D70" s="165"/>
    </row>
    <row r="71" spans="4:4" x14ac:dyDescent="0.3">
      <c r="D71" s="165"/>
    </row>
    <row r="72" spans="4:4" x14ac:dyDescent="0.3">
      <c r="D72" s="165"/>
    </row>
    <row r="73" spans="4:4" x14ac:dyDescent="0.3">
      <c r="D73" s="165"/>
    </row>
    <row r="74" spans="4:4" x14ac:dyDescent="0.3">
      <c r="D74" s="165"/>
    </row>
  </sheetData>
  <mergeCells count="4">
    <mergeCell ref="B6:C6"/>
    <mergeCell ref="B7:C7"/>
    <mergeCell ref="B40:C43"/>
    <mergeCell ref="B46:C46"/>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D44"/>
  <sheetViews>
    <sheetView showGridLines="0" showRuler="0" zoomScale="85" zoomScaleNormal="85" zoomScaleSheetLayoutView="85" workbookViewId="0"/>
  </sheetViews>
  <sheetFormatPr baseColWidth="10" defaultColWidth="11.44140625" defaultRowHeight="14.4" x14ac:dyDescent="0.3"/>
  <cols>
    <col min="1" max="1" width="6.77734375" style="3" customWidth="1"/>
    <col min="2" max="2" width="45.44140625" style="3" customWidth="1"/>
    <col min="3" max="3" width="31" style="3" customWidth="1"/>
    <col min="4" max="4" width="19.44140625" style="3" customWidth="1"/>
    <col min="5" max="7" width="11.44140625" style="3"/>
    <col min="8" max="8" width="12.5546875" style="3" bestFit="1" customWidth="1"/>
    <col min="9" max="16384" width="11.44140625" style="3"/>
  </cols>
  <sheetData>
    <row r="1" spans="1:4" ht="15" x14ac:dyDescent="0.3">
      <c r="A1" s="1" t="s">
        <v>216</v>
      </c>
      <c r="B1" s="1000"/>
      <c r="C1" s="204"/>
      <c r="D1" s="204"/>
    </row>
    <row r="2" spans="1:4" ht="15" x14ac:dyDescent="0.3">
      <c r="A2" s="2"/>
      <c r="B2" s="4" t="str">
        <f>+INDICE!B2</f>
        <v>MINISTERIO DE ECONOMÍA</v>
      </c>
      <c r="C2" s="1032"/>
      <c r="D2" s="1033"/>
    </row>
    <row r="3" spans="1:4" ht="15" x14ac:dyDescent="0.3">
      <c r="A3" s="2"/>
      <c r="B3" s="4" t="str">
        <f>+INDICE!B3</f>
        <v>SECRETARÍA DE FINANZAS</v>
      </c>
      <c r="C3" s="1032"/>
      <c r="D3" s="1033"/>
    </row>
    <row r="4" spans="1:4" ht="15" x14ac:dyDescent="0.3">
      <c r="B4" s="6"/>
      <c r="C4" s="1032"/>
      <c r="D4" s="1034"/>
    </row>
    <row r="5" spans="1:4" x14ac:dyDescent="0.3">
      <c r="B5" s="1032"/>
      <c r="C5" s="1032"/>
      <c r="D5" s="1034"/>
    </row>
    <row r="6" spans="1:4" ht="18" x14ac:dyDescent="0.35">
      <c r="B6" s="1359" t="s">
        <v>312</v>
      </c>
      <c r="C6" s="1359"/>
      <c r="D6" s="1035"/>
    </row>
    <row r="7" spans="1:4" ht="15" x14ac:dyDescent="0.3">
      <c r="B7" s="1449" t="s">
        <v>920</v>
      </c>
      <c r="C7" s="1449"/>
      <c r="D7" s="1036"/>
    </row>
    <row r="8" spans="1:4" ht="15" x14ac:dyDescent="0.3">
      <c r="B8" s="1037"/>
      <c r="C8" s="1037"/>
      <c r="D8" s="1037"/>
    </row>
    <row r="9" spans="1:4" ht="15" thickBot="1" x14ac:dyDescent="0.35">
      <c r="B9" s="135"/>
      <c r="C9" s="9"/>
      <c r="D9" s="1034"/>
    </row>
    <row r="10" spans="1:4" ht="17.25" customHeight="1" thickTop="1" x14ac:dyDescent="0.3">
      <c r="B10" s="1450" t="s">
        <v>313</v>
      </c>
      <c r="C10" s="1453" t="s">
        <v>337</v>
      </c>
    </row>
    <row r="11" spans="1:4" x14ac:dyDescent="0.3">
      <c r="B11" s="1451"/>
      <c r="C11" s="1454"/>
    </row>
    <row r="12" spans="1:4" ht="18.75" customHeight="1" x14ac:dyDescent="0.3">
      <c r="B12" s="1451"/>
      <c r="C12" s="1454"/>
    </row>
    <row r="13" spans="1:4" ht="16.5" customHeight="1" x14ac:dyDescent="0.3">
      <c r="B13" s="1452"/>
      <c r="C13" s="1455"/>
    </row>
    <row r="14" spans="1:4" x14ac:dyDescent="0.3">
      <c r="B14" s="1038"/>
      <c r="C14" s="1039"/>
    </row>
    <row r="15" spans="1:4" ht="16.2" x14ac:dyDescent="0.3">
      <c r="B15" s="1040" t="s">
        <v>275</v>
      </c>
      <c r="C15" s="1041">
        <f>SUM(C17:C40)</f>
        <v>719133.40000000014</v>
      </c>
      <c r="D15" s="1042"/>
    </row>
    <row r="16" spans="1:4" ht="15" x14ac:dyDescent="0.3">
      <c r="B16" s="1043"/>
      <c r="C16" s="1044"/>
    </row>
    <row r="17" spans="2:3" ht="15" x14ac:dyDescent="0.3">
      <c r="B17" s="1045" t="s">
        <v>314</v>
      </c>
      <c r="C17" s="1046">
        <v>7363.62</v>
      </c>
    </row>
    <row r="18" spans="2:3" ht="15" x14ac:dyDescent="0.3">
      <c r="B18" s="1047" t="s">
        <v>315</v>
      </c>
      <c r="C18" s="1046">
        <v>7760.5</v>
      </c>
    </row>
    <row r="19" spans="2:3" ht="15" x14ac:dyDescent="0.3">
      <c r="B19" s="1045" t="s">
        <v>316</v>
      </c>
      <c r="C19" s="1046">
        <v>12058.11</v>
      </c>
    </row>
    <row r="20" spans="2:3" ht="15" x14ac:dyDescent="0.3">
      <c r="B20" s="1045" t="s">
        <v>317</v>
      </c>
      <c r="C20" s="1046">
        <v>30665.3</v>
      </c>
    </row>
    <row r="21" spans="2:3" ht="15" x14ac:dyDescent="0.3">
      <c r="B21" s="1045" t="s">
        <v>318</v>
      </c>
      <c r="C21" s="1046">
        <v>44945.4</v>
      </c>
    </row>
    <row r="22" spans="2:3" ht="15" x14ac:dyDescent="0.3">
      <c r="B22" s="1045" t="s">
        <v>319</v>
      </c>
      <c r="C22" s="1046">
        <v>28700.73</v>
      </c>
    </row>
    <row r="23" spans="2:3" ht="15" x14ac:dyDescent="0.3">
      <c r="B23" s="1045" t="s">
        <v>320</v>
      </c>
      <c r="C23" s="1046">
        <v>137778.47</v>
      </c>
    </row>
    <row r="24" spans="2:3" ht="15" x14ac:dyDescent="0.3">
      <c r="B24" s="1045" t="s">
        <v>321</v>
      </c>
      <c r="C24" s="1046">
        <v>10156.09</v>
      </c>
    </row>
    <row r="25" spans="2:3" ht="15" x14ac:dyDescent="0.3">
      <c r="B25" s="1045" t="s">
        <v>0</v>
      </c>
      <c r="C25" s="1046">
        <v>138871.16</v>
      </c>
    </row>
    <row r="26" spans="2:3" ht="15" x14ac:dyDescent="0.3">
      <c r="B26" s="1045" t="s">
        <v>1</v>
      </c>
      <c r="C26" s="1046">
        <v>7551.29</v>
      </c>
    </row>
    <row r="27" spans="2:3" ht="15" x14ac:dyDescent="0.3">
      <c r="B27" s="1045" t="s">
        <v>2</v>
      </c>
      <c r="C27" s="1046">
        <v>360.13</v>
      </c>
    </row>
    <row r="28" spans="2:3" ht="15" x14ac:dyDescent="0.3">
      <c r="B28" s="1047" t="s">
        <v>3</v>
      </c>
      <c r="C28" s="1046">
        <v>3859.06</v>
      </c>
    </row>
    <row r="29" spans="2:3" ht="15" x14ac:dyDescent="0.3">
      <c r="B29" s="1045" t="s">
        <v>4</v>
      </c>
      <c r="C29" s="1046">
        <v>120858.11</v>
      </c>
    </row>
    <row r="30" spans="2:3" ht="15" x14ac:dyDescent="0.3">
      <c r="B30" s="1045" t="s">
        <v>5</v>
      </c>
      <c r="C30" s="1046">
        <v>8446.1200000000008</v>
      </c>
    </row>
    <row r="31" spans="2:3" ht="15" x14ac:dyDescent="0.3">
      <c r="B31" s="1045" t="s">
        <v>6</v>
      </c>
      <c r="C31" s="1046">
        <v>78974.66</v>
      </c>
    </row>
    <row r="32" spans="2:3" ht="15" x14ac:dyDescent="0.3">
      <c r="B32" s="1045" t="s">
        <v>7</v>
      </c>
      <c r="C32" s="1046">
        <v>12363.18</v>
      </c>
    </row>
    <row r="33" spans="2:3" ht="15" x14ac:dyDescent="0.3">
      <c r="B33" s="1047" t="s">
        <v>8</v>
      </c>
      <c r="C33" s="1046">
        <v>10292.64</v>
      </c>
    </row>
    <row r="34" spans="2:3" ht="15" x14ac:dyDescent="0.3">
      <c r="B34" s="1045" t="s">
        <v>9</v>
      </c>
      <c r="C34" s="1046">
        <v>36879.94</v>
      </c>
    </row>
    <row r="35" spans="2:3" ht="15" x14ac:dyDescent="0.3">
      <c r="B35" s="1045" t="s">
        <v>10</v>
      </c>
      <c r="C35" s="1046">
        <v>0</v>
      </c>
    </row>
    <row r="36" spans="2:3" ht="15" x14ac:dyDescent="0.3">
      <c r="B36" s="1045" t="s">
        <v>11</v>
      </c>
      <c r="C36" s="1046">
        <v>0</v>
      </c>
    </row>
    <row r="37" spans="2:3" ht="15" x14ac:dyDescent="0.3">
      <c r="B37" s="1045" t="s">
        <v>12</v>
      </c>
      <c r="C37" s="1046">
        <v>18124.18</v>
      </c>
    </row>
    <row r="38" spans="2:3" ht="15" x14ac:dyDescent="0.3">
      <c r="B38" s="1045" t="s">
        <v>13</v>
      </c>
      <c r="C38" s="1046">
        <v>83.66</v>
      </c>
    </row>
    <row r="39" spans="2:3" ht="15" x14ac:dyDescent="0.3">
      <c r="B39" s="1045" t="s">
        <v>14</v>
      </c>
      <c r="C39" s="1046">
        <v>261.39</v>
      </c>
    </row>
    <row r="40" spans="2:3" ht="15" x14ac:dyDescent="0.3">
      <c r="B40" s="1045" t="s">
        <v>15</v>
      </c>
      <c r="C40" s="1046">
        <v>2779.66</v>
      </c>
    </row>
    <row r="41" spans="2:3" ht="15" thickBot="1" x14ac:dyDescent="0.35">
      <c r="B41" s="1048"/>
      <c r="C41" s="1049"/>
    </row>
    <row r="42" spans="2:3" ht="15.6" thickTop="1" x14ac:dyDescent="0.3">
      <c r="B42" s="9"/>
      <c r="C42" s="133"/>
    </row>
    <row r="43" spans="2:3" x14ac:dyDescent="0.3">
      <c r="B43" s="1456" t="s">
        <v>517</v>
      </c>
      <c r="C43" s="1456"/>
    </row>
    <row r="44" spans="2:3" x14ac:dyDescent="0.3">
      <c r="B44" s="1050"/>
      <c r="C44" s="1050"/>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H44"/>
  <sheetViews>
    <sheetView showGridLines="0" showRuler="0" zoomScale="70" zoomScaleNormal="70" zoomScaleSheetLayoutView="85" workbookViewId="0"/>
  </sheetViews>
  <sheetFormatPr baseColWidth="10" defaultColWidth="11.44140625" defaultRowHeight="14.4" x14ac:dyDescent="0.3"/>
  <cols>
    <col min="1" max="1" width="6.77734375" style="288" customWidth="1"/>
    <col min="2" max="2" width="11.44140625" style="288"/>
    <col min="3" max="3" width="29.77734375" style="288" customWidth="1"/>
    <col min="4" max="31" width="11.44140625" style="288"/>
    <col min="32" max="32" width="13" style="288" customWidth="1"/>
    <col min="33" max="33" width="13.5546875" style="288" customWidth="1"/>
    <col min="34" max="16384" width="11.44140625" style="288"/>
  </cols>
  <sheetData>
    <row r="1" spans="1:34" ht="15" x14ac:dyDescent="0.3">
      <c r="A1" s="1" t="s">
        <v>216</v>
      </c>
    </row>
    <row r="2" spans="1:34" ht="15" customHeight="1" x14ac:dyDescent="0.3">
      <c r="A2" s="286"/>
      <c r="B2" s="4" t="s">
        <v>693</v>
      </c>
      <c r="C2" s="1032"/>
      <c r="D2" s="1032"/>
      <c r="E2" s="1032"/>
      <c r="F2" s="1032"/>
      <c r="G2" s="1032"/>
      <c r="H2" s="1032"/>
      <c r="I2" s="1032"/>
      <c r="J2" s="1032"/>
      <c r="K2" s="1032"/>
      <c r="L2" s="1032"/>
      <c r="M2" s="1032"/>
      <c r="N2" s="1032"/>
      <c r="O2" s="1032"/>
      <c r="P2" s="1051"/>
      <c r="Q2" s="1051"/>
      <c r="R2" s="1051"/>
      <c r="S2" s="1051"/>
      <c r="T2" s="1051"/>
      <c r="U2" s="1051"/>
      <c r="V2" s="1051"/>
      <c r="W2" s="1032"/>
      <c r="X2" s="1032"/>
      <c r="Y2" s="1032"/>
      <c r="Z2" s="1032"/>
      <c r="AA2" s="1032"/>
      <c r="AB2" s="1032"/>
      <c r="AC2" s="1032"/>
      <c r="AD2" s="1032"/>
      <c r="AE2" s="1032"/>
      <c r="AF2" s="1032"/>
      <c r="AG2" s="1032"/>
    </row>
    <row r="3" spans="1:34" ht="15" customHeight="1" x14ac:dyDescent="0.3">
      <c r="A3" s="286"/>
      <c r="B3" s="4" t="s">
        <v>299</v>
      </c>
      <c r="C3" s="1032"/>
      <c r="D3" s="1032"/>
      <c r="E3" s="1032"/>
      <c r="F3" s="1032"/>
      <c r="G3" s="1032"/>
      <c r="H3" s="1032"/>
      <c r="I3" s="1032"/>
      <c r="J3" s="1032"/>
      <c r="K3" s="1032"/>
      <c r="L3" s="1032"/>
      <c r="M3" s="1032"/>
      <c r="N3" s="1032"/>
      <c r="O3" s="1032"/>
      <c r="P3" s="1051"/>
      <c r="Q3" s="1051"/>
      <c r="R3" s="1051"/>
      <c r="S3" s="1051"/>
      <c r="T3" s="1051"/>
      <c r="U3" s="1051"/>
      <c r="V3" s="1051"/>
      <c r="W3" s="1032"/>
      <c r="X3" s="1032"/>
      <c r="Y3" s="1032"/>
      <c r="Z3" s="1032"/>
      <c r="AA3" s="1032"/>
      <c r="AB3" s="1032"/>
      <c r="AC3" s="1032"/>
      <c r="AD3" s="1032"/>
      <c r="AE3" s="1032"/>
      <c r="AF3" s="1032"/>
      <c r="AG3" s="1032"/>
    </row>
    <row r="4" spans="1:34" x14ac:dyDescent="0.3">
      <c r="C4" s="1032"/>
      <c r="D4" s="1032"/>
      <c r="E4" s="1032"/>
      <c r="F4" s="1032"/>
      <c r="G4" s="1032"/>
      <c r="H4" s="1032"/>
      <c r="I4" s="1032"/>
      <c r="J4" s="1032"/>
      <c r="K4" s="1032"/>
      <c r="L4" s="1032"/>
      <c r="M4" s="1032"/>
      <c r="N4" s="1032"/>
      <c r="O4" s="1032"/>
      <c r="P4" s="1051"/>
      <c r="Q4" s="1051"/>
      <c r="R4" s="1051"/>
      <c r="S4" s="1051"/>
      <c r="T4" s="1051"/>
      <c r="U4" s="1051"/>
      <c r="V4" s="1051"/>
      <c r="W4" s="1032"/>
      <c r="X4" s="1032"/>
      <c r="Y4" s="1032"/>
      <c r="Z4" s="1032"/>
      <c r="AA4" s="1032"/>
      <c r="AB4" s="1032"/>
      <c r="AC4" s="1032"/>
      <c r="AD4" s="1032"/>
      <c r="AE4" s="1032"/>
      <c r="AF4" s="1032"/>
      <c r="AG4" s="1032"/>
    </row>
    <row r="5" spans="1:34" x14ac:dyDescent="0.3">
      <c r="B5" s="1032"/>
      <c r="C5" s="1032"/>
      <c r="D5" s="1032"/>
      <c r="E5" s="1032"/>
      <c r="F5" s="1032"/>
      <c r="G5" s="1032"/>
      <c r="H5" s="1032"/>
      <c r="I5" s="1032"/>
      <c r="J5" s="1032"/>
      <c r="K5" s="1032"/>
      <c r="L5" s="1032"/>
      <c r="M5" s="1032"/>
      <c r="N5" s="1032"/>
      <c r="O5" s="1032"/>
      <c r="P5" s="1051"/>
      <c r="Q5" s="1051"/>
      <c r="R5" s="1051"/>
      <c r="S5" s="1051"/>
      <c r="T5" s="1051"/>
      <c r="U5" s="1051"/>
      <c r="V5" s="1051"/>
      <c r="W5" s="1032"/>
      <c r="X5" s="1032"/>
      <c r="Y5" s="1032"/>
      <c r="Z5" s="1032"/>
      <c r="AA5" s="1032"/>
      <c r="AB5" s="1032"/>
      <c r="AC5" s="1032"/>
      <c r="AD5" s="1032"/>
      <c r="AE5" s="1032"/>
      <c r="AF5" s="1032"/>
      <c r="AG5" s="1032"/>
    </row>
    <row r="6" spans="1:34" ht="18" x14ac:dyDescent="0.35">
      <c r="B6" s="1459" t="s">
        <v>811</v>
      </c>
      <c r="C6" s="1459"/>
      <c r="D6" s="1459"/>
      <c r="E6" s="1459"/>
      <c r="F6" s="1459"/>
      <c r="G6" s="1459"/>
      <c r="H6" s="1459"/>
      <c r="I6" s="1459"/>
      <c r="J6" s="1459"/>
      <c r="K6" s="1459"/>
      <c r="L6" s="1459"/>
      <c r="M6" s="1459"/>
      <c r="N6" s="1459"/>
      <c r="O6" s="1459"/>
      <c r="P6" s="1459"/>
      <c r="Q6" s="1459"/>
      <c r="R6" s="1459"/>
      <c r="S6" s="1459"/>
      <c r="T6" s="1459"/>
      <c r="U6" s="1459"/>
      <c r="V6" s="1459"/>
      <c r="W6" s="1459"/>
      <c r="X6" s="1459"/>
      <c r="Y6" s="1459"/>
      <c r="Z6" s="1459"/>
      <c r="AA6" s="1459"/>
      <c r="AB6" s="1459"/>
      <c r="AC6" s="1052"/>
      <c r="AD6" s="1052"/>
      <c r="AE6" s="1052"/>
      <c r="AF6" s="1052"/>
      <c r="AG6" s="1053"/>
    </row>
    <row r="7" spans="1:34" ht="15" x14ac:dyDescent="0.3">
      <c r="B7" s="1460" t="s">
        <v>29</v>
      </c>
      <c r="C7" s="1460"/>
      <c r="D7" s="1460"/>
      <c r="E7" s="1460"/>
      <c r="F7" s="1460"/>
      <c r="G7" s="1460"/>
      <c r="H7" s="1460"/>
      <c r="I7" s="1460"/>
      <c r="J7" s="1460"/>
      <c r="K7" s="1460"/>
      <c r="L7" s="1460"/>
      <c r="M7" s="1460"/>
      <c r="N7" s="1460"/>
      <c r="O7" s="1460"/>
      <c r="P7" s="1460"/>
      <c r="Q7" s="1460"/>
      <c r="R7" s="1460"/>
      <c r="S7" s="1460"/>
      <c r="T7" s="1460"/>
      <c r="U7" s="1460"/>
      <c r="V7" s="1460"/>
      <c r="W7" s="1460"/>
      <c r="X7" s="1460"/>
      <c r="Y7" s="1460"/>
      <c r="Z7" s="1460"/>
      <c r="AA7" s="1460"/>
      <c r="AB7" s="1460"/>
      <c r="AC7" s="1054"/>
      <c r="AD7" s="1054"/>
      <c r="AE7" s="1054"/>
      <c r="AF7" s="1054"/>
      <c r="AG7" s="1055"/>
    </row>
    <row r="8" spans="1:34" x14ac:dyDescent="0.3">
      <c r="B8" s="1032"/>
      <c r="C8" s="1032"/>
      <c r="D8" s="1032"/>
      <c r="E8" s="1056"/>
      <c r="F8" s="1032"/>
      <c r="G8" s="1032"/>
      <c r="H8" s="1032"/>
      <c r="I8" s="1032"/>
      <c r="J8" s="1032"/>
      <c r="K8" s="1032"/>
      <c r="L8" s="1032"/>
      <c r="M8" s="1032"/>
      <c r="N8" s="1032"/>
      <c r="O8" s="1032"/>
      <c r="P8" s="1051"/>
      <c r="Q8" s="1051"/>
      <c r="R8" s="1051"/>
      <c r="S8" s="1051"/>
      <c r="T8" s="1051"/>
      <c r="U8" s="1051"/>
      <c r="V8" s="1051"/>
      <c r="W8" s="1032"/>
      <c r="X8" s="1032"/>
      <c r="Y8" s="1032"/>
      <c r="Z8" s="1032"/>
      <c r="AA8" s="1032"/>
      <c r="AB8" s="1032"/>
      <c r="AC8" s="1032"/>
      <c r="AD8" s="1032"/>
      <c r="AE8" s="1032"/>
      <c r="AF8" s="1032"/>
      <c r="AG8" s="1032"/>
    </row>
    <row r="9" spans="1:34" ht="15" thickBot="1" x14ac:dyDescent="0.35">
      <c r="B9" s="1057" t="s">
        <v>163</v>
      </c>
      <c r="C9" s="1032"/>
      <c r="D9" s="1056"/>
      <c r="E9" s="1032"/>
      <c r="F9" s="1032"/>
      <c r="G9" s="1032"/>
      <c r="H9" s="1032"/>
      <c r="I9" s="1032"/>
      <c r="J9" s="1032"/>
      <c r="K9" s="1032"/>
      <c r="L9" s="1032"/>
      <c r="M9" s="1032"/>
      <c r="N9" s="1032"/>
      <c r="O9" s="1032"/>
      <c r="P9" s="1051"/>
      <c r="Q9" s="1051"/>
      <c r="R9" s="1051"/>
      <c r="S9" s="1051"/>
      <c r="T9" s="1051"/>
      <c r="U9" s="1051"/>
      <c r="V9" s="1051"/>
      <c r="W9" s="1032"/>
      <c r="X9" s="1032"/>
      <c r="Y9" s="1032"/>
      <c r="Z9" s="1032"/>
      <c r="AA9" s="1032"/>
      <c r="AB9" s="1032"/>
      <c r="AC9" s="1032"/>
      <c r="AD9" s="1056"/>
      <c r="AE9" s="1056"/>
      <c r="AF9" s="1056"/>
      <c r="AG9" s="1032"/>
    </row>
    <row r="10" spans="1:34" ht="42.75" customHeight="1" thickTop="1" x14ac:dyDescent="0.3">
      <c r="A10" s="372"/>
      <c r="B10" s="1461" t="s">
        <v>30</v>
      </c>
      <c r="C10" s="1462"/>
      <c r="D10" s="1058">
        <v>1993</v>
      </c>
      <c r="E10" s="1058">
        <v>1994</v>
      </c>
      <c r="F10" s="1058">
        <v>1995</v>
      </c>
      <c r="G10" s="1058">
        <v>1996</v>
      </c>
      <c r="H10" s="1058">
        <v>1997</v>
      </c>
      <c r="I10" s="1058">
        <v>1998</v>
      </c>
      <c r="J10" s="1058">
        <v>1999</v>
      </c>
      <c r="K10" s="1058">
        <v>2000</v>
      </c>
      <c r="L10" s="1058">
        <v>2001</v>
      </c>
      <c r="M10" s="1058">
        <v>2002</v>
      </c>
      <c r="N10" s="1058">
        <v>2003</v>
      </c>
      <c r="O10" s="1058">
        <v>2004</v>
      </c>
      <c r="P10" s="1058">
        <v>2005</v>
      </c>
      <c r="Q10" s="1058">
        <v>2006</v>
      </c>
      <c r="R10" s="1058">
        <v>2007</v>
      </c>
      <c r="S10" s="1058">
        <v>2008</v>
      </c>
      <c r="T10" s="1058">
        <v>2009</v>
      </c>
      <c r="U10" s="1058">
        <v>2010</v>
      </c>
      <c r="V10" s="1059">
        <v>2011</v>
      </c>
      <c r="W10" s="1059">
        <v>2012</v>
      </c>
      <c r="X10" s="1058">
        <v>2013</v>
      </c>
      <c r="Y10" s="1059">
        <v>2014</v>
      </c>
      <c r="Z10" s="1059">
        <v>2015</v>
      </c>
      <c r="AA10" s="1059">
        <v>2016</v>
      </c>
      <c r="AB10" s="1059">
        <v>2017</v>
      </c>
      <c r="AC10" s="1059">
        <v>2018</v>
      </c>
      <c r="AD10" s="1059">
        <v>2019</v>
      </c>
      <c r="AE10" s="1059">
        <v>2020</v>
      </c>
      <c r="AF10" s="1059">
        <v>2021</v>
      </c>
      <c r="AG10" s="1060" t="s">
        <v>294</v>
      </c>
    </row>
    <row r="11" spans="1:34" ht="15" x14ac:dyDescent="0.3">
      <c r="A11" s="1061"/>
      <c r="B11" s="1463" t="s">
        <v>31</v>
      </c>
      <c r="C11" s="1062" t="s">
        <v>32</v>
      </c>
      <c r="D11" s="1063">
        <v>1596.86</v>
      </c>
      <c r="E11" s="1063">
        <v>873.74</v>
      </c>
      <c r="F11" s="1063">
        <v>2404.88</v>
      </c>
      <c r="G11" s="1063">
        <v>824.23</v>
      </c>
      <c r="H11" s="1063">
        <v>441.81599999999997</v>
      </c>
      <c r="I11" s="1063">
        <v>0</v>
      </c>
      <c r="J11" s="1063">
        <v>0</v>
      </c>
      <c r="K11" s="1063">
        <v>2067.4160000000002</v>
      </c>
      <c r="L11" s="1063">
        <v>10563.591</v>
      </c>
      <c r="M11" s="1063">
        <v>0</v>
      </c>
      <c r="N11" s="1063">
        <v>5604.7070000000003</v>
      </c>
      <c r="O11" s="1064">
        <v>3450.8789999999999</v>
      </c>
      <c r="P11" s="1064">
        <v>0</v>
      </c>
      <c r="Q11" s="1064">
        <v>0</v>
      </c>
      <c r="R11" s="1064">
        <v>0</v>
      </c>
      <c r="S11" s="1064">
        <v>0</v>
      </c>
      <c r="T11" s="1064">
        <v>0</v>
      </c>
      <c r="U11" s="1064">
        <v>0</v>
      </c>
      <c r="V11" s="1064">
        <v>0</v>
      </c>
      <c r="W11" s="1064">
        <v>0</v>
      </c>
      <c r="X11" s="1063">
        <v>0</v>
      </c>
      <c r="Y11" s="1063">
        <v>0</v>
      </c>
      <c r="Z11" s="1063">
        <v>0</v>
      </c>
      <c r="AA11" s="1063">
        <v>0</v>
      </c>
      <c r="AB11" s="1063">
        <v>0</v>
      </c>
      <c r="AC11" s="1065">
        <v>28251.8269</v>
      </c>
      <c r="AD11" s="1066">
        <v>16224.898999999999</v>
      </c>
      <c r="AE11" s="1066">
        <v>0</v>
      </c>
      <c r="AF11" s="1066">
        <v>0</v>
      </c>
      <c r="AG11" s="1067">
        <f>SUM(D11:AF11)</f>
        <v>72304.844899999996</v>
      </c>
      <c r="AH11" s="405"/>
    </row>
    <row r="12" spans="1:34" ht="15" x14ac:dyDescent="0.3">
      <c r="A12" s="1068"/>
      <c r="B12" s="1464"/>
      <c r="C12" s="1069" t="s">
        <v>33</v>
      </c>
      <c r="D12" s="1070">
        <v>-275.69</v>
      </c>
      <c r="E12" s="1070">
        <v>-227.16</v>
      </c>
      <c r="F12" s="1070">
        <v>-285.08999999999997</v>
      </c>
      <c r="G12" s="1070">
        <v>-273.45999999999998</v>
      </c>
      <c r="H12" s="1070">
        <v>-481.91800000000001</v>
      </c>
      <c r="I12" s="1070">
        <v>-653.86500000000001</v>
      </c>
      <c r="J12" s="1070">
        <v>-827.11800000000005</v>
      </c>
      <c r="K12" s="1070">
        <v>-1283.886</v>
      </c>
      <c r="L12" s="1070">
        <v>-1182.9860000000001</v>
      </c>
      <c r="M12" s="1070">
        <v>-729.2</v>
      </c>
      <c r="N12" s="1070">
        <v>-5705.8109999999997</v>
      </c>
      <c r="O12" s="1071">
        <v>-5493.8029999999999</v>
      </c>
      <c r="P12" s="1071">
        <v>-3588.5559000000007</v>
      </c>
      <c r="Q12" s="1071">
        <v>-9530.1106799999998</v>
      </c>
      <c r="R12" s="1071">
        <v>0</v>
      </c>
      <c r="S12" s="1071">
        <v>0</v>
      </c>
      <c r="T12" s="1071">
        <v>0</v>
      </c>
      <c r="U12" s="1071">
        <v>0</v>
      </c>
      <c r="V12" s="1071">
        <v>0</v>
      </c>
      <c r="W12" s="1071">
        <v>0</v>
      </c>
      <c r="X12" s="1070">
        <v>0</v>
      </c>
      <c r="Y12" s="1070">
        <v>0</v>
      </c>
      <c r="Z12" s="1070">
        <v>0</v>
      </c>
      <c r="AA12" s="1072">
        <v>0</v>
      </c>
      <c r="AB12" s="1072">
        <v>0</v>
      </c>
      <c r="AC12" s="1073">
        <v>0</v>
      </c>
      <c r="AD12" s="1074">
        <v>0</v>
      </c>
      <c r="AE12" s="1074">
        <v>0</v>
      </c>
      <c r="AF12" s="1074">
        <v>-3737.4461074087467</v>
      </c>
      <c r="AG12" s="1075">
        <f>SUM(D12:AF12)</f>
        <v>-34276.099687408743</v>
      </c>
      <c r="AH12" s="405"/>
    </row>
    <row r="13" spans="1:34" ht="15" x14ac:dyDescent="0.3">
      <c r="A13" s="1068"/>
      <c r="B13" s="1464"/>
      <c r="C13" s="1069" t="s">
        <v>34</v>
      </c>
      <c r="D13" s="1070">
        <v>1321.17</v>
      </c>
      <c r="E13" s="1070">
        <v>646.58000000000004</v>
      </c>
      <c r="F13" s="1070">
        <v>2119.79</v>
      </c>
      <c r="G13" s="1070">
        <v>550.77</v>
      </c>
      <c r="H13" s="1070">
        <v>-40.102000000000032</v>
      </c>
      <c r="I13" s="1070">
        <v>-653.86500000000001</v>
      </c>
      <c r="J13" s="1070">
        <v>-827.11800000000005</v>
      </c>
      <c r="K13" s="1070">
        <v>783.53</v>
      </c>
      <c r="L13" s="1070">
        <v>9380.6049999999996</v>
      </c>
      <c r="M13" s="1070">
        <v>-729.2</v>
      </c>
      <c r="N13" s="1070">
        <v>-101.10399999999936</v>
      </c>
      <c r="O13" s="1071">
        <v>-2042.924</v>
      </c>
      <c r="P13" s="1071">
        <v>-3588.5559000000007</v>
      </c>
      <c r="Q13" s="1071">
        <v>-9530.1106799999998</v>
      </c>
      <c r="R13" s="1071">
        <v>0</v>
      </c>
      <c r="S13" s="1071">
        <v>0</v>
      </c>
      <c r="T13" s="1071">
        <v>0</v>
      </c>
      <c r="U13" s="1071">
        <v>0</v>
      </c>
      <c r="V13" s="1071">
        <v>0</v>
      </c>
      <c r="W13" s="1071">
        <v>0</v>
      </c>
      <c r="X13" s="1070">
        <v>0</v>
      </c>
      <c r="Y13" s="1070">
        <v>0</v>
      </c>
      <c r="Z13" s="1070">
        <v>0</v>
      </c>
      <c r="AA13" s="1072">
        <v>0</v>
      </c>
      <c r="AB13" s="1072">
        <v>0</v>
      </c>
      <c r="AC13" s="1073">
        <v>28251.8269</v>
      </c>
      <c r="AD13" s="1074">
        <v>16224.898999999999</v>
      </c>
      <c r="AE13" s="1074">
        <v>0</v>
      </c>
      <c r="AF13" s="1074">
        <f>+AF11+AF12</f>
        <v>-3737.4461074087467</v>
      </c>
      <c r="AG13" s="1075">
        <f>SUM(D13:AF13)</f>
        <v>38028.745212591253</v>
      </c>
      <c r="AH13" s="405"/>
    </row>
    <row r="14" spans="1:34" ht="15" x14ac:dyDescent="0.3">
      <c r="A14" s="1068"/>
      <c r="B14" s="1464"/>
      <c r="C14" s="1069" t="s">
        <v>35</v>
      </c>
      <c r="D14" s="1070">
        <v>-275.69</v>
      </c>
      <c r="E14" s="1070">
        <v>-227.16</v>
      </c>
      <c r="F14" s="1070">
        <v>-285.08999999999997</v>
      </c>
      <c r="G14" s="1070">
        <v>-273.45</v>
      </c>
      <c r="H14" s="1070">
        <v>-274.46100000000001</v>
      </c>
      <c r="I14" s="1070">
        <v>-264.10399999999998</v>
      </c>
      <c r="J14" s="1070">
        <v>-201.952</v>
      </c>
      <c r="K14" s="1070">
        <v>-200.82300000000001</v>
      </c>
      <c r="L14" s="1070">
        <v>-464.44299999999998</v>
      </c>
      <c r="M14" s="1070">
        <v>-692.75</v>
      </c>
      <c r="N14" s="1070">
        <v>-651.03</v>
      </c>
      <c r="O14" s="1071">
        <v>-552.93399999999997</v>
      </c>
      <c r="P14" s="1071">
        <v>-513.19270000000006</v>
      </c>
      <c r="Q14" s="1071">
        <v>-80.734499999999997</v>
      </c>
      <c r="R14" s="1071">
        <v>0</v>
      </c>
      <c r="S14" s="1071">
        <v>0</v>
      </c>
      <c r="T14" s="1071">
        <v>0</v>
      </c>
      <c r="U14" s="1071">
        <v>0</v>
      </c>
      <c r="V14" s="1071">
        <v>0</v>
      </c>
      <c r="W14" s="1071">
        <v>0</v>
      </c>
      <c r="X14" s="1070">
        <v>0</v>
      </c>
      <c r="Y14" s="1070">
        <v>0</v>
      </c>
      <c r="Z14" s="1070">
        <v>0</v>
      </c>
      <c r="AA14" s="1072">
        <v>0</v>
      </c>
      <c r="AB14" s="1072">
        <v>0</v>
      </c>
      <c r="AC14" s="1073">
        <v>-153.255</v>
      </c>
      <c r="AD14" s="1074">
        <v>-1227.3635300000001</v>
      </c>
      <c r="AE14" s="1074">
        <v>-1284.0047495090844</v>
      </c>
      <c r="AF14" s="1074">
        <v>-1346.9362092594215</v>
      </c>
      <c r="AG14" s="1075">
        <f>SUM(D14:AF14)</f>
        <v>-8969.3736887685063</v>
      </c>
      <c r="AH14" s="405"/>
    </row>
    <row r="15" spans="1:34" ht="15" x14ac:dyDescent="0.3">
      <c r="A15" s="1068"/>
      <c r="B15" s="1465"/>
      <c r="C15" s="1076" t="s">
        <v>36</v>
      </c>
      <c r="D15" s="1077">
        <v>1045.48</v>
      </c>
      <c r="E15" s="1077">
        <v>419.42</v>
      </c>
      <c r="F15" s="1077">
        <v>1834.7</v>
      </c>
      <c r="G15" s="1077">
        <v>277.32</v>
      </c>
      <c r="H15" s="1077">
        <v>-314.56300000000005</v>
      </c>
      <c r="I15" s="1077">
        <v>-917.96900000000005</v>
      </c>
      <c r="J15" s="1077">
        <v>-1029.07</v>
      </c>
      <c r="K15" s="1077">
        <v>582.70700000000022</v>
      </c>
      <c r="L15" s="1077">
        <v>8916.1620000000003</v>
      </c>
      <c r="M15" s="1077">
        <v>-1421.95</v>
      </c>
      <c r="N15" s="1077">
        <v>-752.13399999999933</v>
      </c>
      <c r="O15" s="1078">
        <v>-2595.8580000000002</v>
      </c>
      <c r="P15" s="1078">
        <v>-4101.7486000000008</v>
      </c>
      <c r="Q15" s="1078">
        <v>-9610.8451800000003</v>
      </c>
      <c r="R15" s="1078">
        <v>0</v>
      </c>
      <c r="S15" s="1078">
        <v>0</v>
      </c>
      <c r="T15" s="1078">
        <v>0</v>
      </c>
      <c r="U15" s="1078">
        <v>0</v>
      </c>
      <c r="V15" s="1078">
        <v>0</v>
      </c>
      <c r="W15" s="1078">
        <v>0</v>
      </c>
      <c r="X15" s="1077">
        <v>0</v>
      </c>
      <c r="Y15" s="1077">
        <v>0</v>
      </c>
      <c r="Z15" s="1077">
        <v>0</v>
      </c>
      <c r="AA15" s="1079">
        <v>0</v>
      </c>
      <c r="AB15" s="1079">
        <v>0</v>
      </c>
      <c r="AC15" s="1080">
        <v>28098.571899999999</v>
      </c>
      <c r="AD15" s="1081">
        <v>14997.535469999999</v>
      </c>
      <c r="AE15" s="1081">
        <v>-1284.0047495090844</v>
      </c>
      <c r="AF15" s="1081">
        <f>+AF14+AF13</f>
        <v>-5084.3823166681686</v>
      </c>
      <c r="AG15" s="1082">
        <f>SUM(D15:AF15)</f>
        <v>29059.371523822745</v>
      </c>
      <c r="AH15" s="405"/>
    </row>
    <row r="16" spans="1:34" ht="15" x14ac:dyDescent="0.3">
      <c r="A16" s="1068"/>
      <c r="B16" s="1083"/>
      <c r="C16" s="1084"/>
      <c r="D16" s="1085"/>
      <c r="E16" s="1085"/>
      <c r="F16" s="1085"/>
      <c r="G16" s="1085"/>
      <c r="H16" s="1086"/>
      <c r="I16" s="1086"/>
      <c r="J16" s="1086"/>
      <c r="K16" s="1086"/>
      <c r="L16" s="1086"/>
      <c r="M16" s="1086"/>
      <c r="N16" s="1086"/>
      <c r="O16" s="1086"/>
      <c r="P16" s="1086"/>
      <c r="Q16" s="1086"/>
      <c r="R16" s="1086"/>
      <c r="S16" s="1086"/>
      <c r="T16" s="1086"/>
      <c r="U16" s="1086"/>
      <c r="V16" s="1086"/>
      <c r="W16" s="1086"/>
      <c r="X16" s="1087"/>
      <c r="Y16" s="1087"/>
      <c r="Z16" s="1087"/>
      <c r="AA16" s="1087"/>
      <c r="AB16" s="1087"/>
      <c r="AC16" s="1086"/>
      <c r="AD16" s="1087"/>
      <c r="AE16" s="1087"/>
      <c r="AF16" s="1087"/>
      <c r="AG16" s="1088"/>
      <c r="AH16" s="405"/>
    </row>
    <row r="17" spans="1:34" ht="15" x14ac:dyDescent="0.3">
      <c r="A17" s="1068"/>
      <c r="B17" s="1466" t="s">
        <v>37</v>
      </c>
      <c r="C17" s="1062" t="s">
        <v>32</v>
      </c>
      <c r="D17" s="1063">
        <v>1057.33</v>
      </c>
      <c r="E17" s="1063">
        <v>248.98</v>
      </c>
      <c r="F17" s="1063">
        <v>1058.03</v>
      </c>
      <c r="G17" s="1063">
        <v>534.91999999999996</v>
      </c>
      <c r="H17" s="1063">
        <v>905.68100000000004</v>
      </c>
      <c r="I17" s="1063">
        <v>1485.9259999999999</v>
      </c>
      <c r="J17" s="1063">
        <v>1218.566</v>
      </c>
      <c r="K17" s="1063">
        <v>939.84900000000005</v>
      </c>
      <c r="L17" s="1063">
        <v>1490.569</v>
      </c>
      <c r="M17" s="1063">
        <v>416.71</v>
      </c>
      <c r="N17" s="1063">
        <v>2666.4757</v>
      </c>
      <c r="O17" s="1064">
        <v>343.71780000000001</v>
      </c>
      <c r="P17" s="1064">
        <v>597.14289999999994</v>
      </c>
      <c r="Q17" s="1064">
        <v>1132.6512399999999</v>
      </c>
      <c r="R17" s="1064">
        <v>1507.2867999999999</v>
      </c>
      <c r="S17" s="1064">
        <v>1230.7251270000002</v>
      </c>
      <c r="T17" s="1064">
        <v>1697.5356000000002</v>
      </c>
      <c r="U17" s="1064">
        <v>1437.2670000000001</v>
      </c>
      <c r="V17" s="1064">
        <v>1267.4725989999999</v>
      </c>
      <c r="W17" s="1064">
        <v>1016.7822</v>
      </c>
      <c r="X17" s="1063">
        <v>1120.8499999999999</v>
      </c>
      <c r="Y17" s="1063">
        <v>1276.7053810000002</v>
      </c>
      <c r="Z17" s="1063">
        <v>769.90560362999997</v>
      </c>
      <c r="AA17" s="1063">
        <v>1210.202</v>
      </c>
      <c r="AB17" s="1063">
        <v>1243.8526999999999</v>
      </c>
      <c r="AC17" s="1089">
        <v>1404.92</v>
      </c>
      <c r="AD17" s="1090">
        <v>1188.4048399999999</v>
      </c>
      <c r="AE17" s="1090">
        <v>1585.9333849</v>
      </c>
      <c r="AF17" s="1090">
        <v>1550.3767512999998</v>
      </c>
      <c r="AG17" s="1075">
        <f>SUM(D17:AF17)</f>
        <v>33604.768626829995</v>
      </c>
      <c r="AH17" s="405"/>
    </row>
    <row r="18" spans="1:34" ht="15" x14ac:dyDescent="0.3">
      <c r="A18" s="1068"/>
      <c r="B18" s="1467"/>
      <c r="C18" s="1069" t="s">
        <v>33</v>
      </c>
      <c r="D18" s="1070">
        <v>-266.33999999999997</v>
      </c>
      <c r="E18" s="1070">
        <v>-272.52</v>
      </c>
      <c r="F18" s="1070">
        <v>-296.48</v>
      </c>
      <c r="G18" s="1070">
        <v>-514.95000000000005</v>
      </c>
      <c r="H18" s="1070">
        <v>-307.25200000000001</v>
      </c>
      <c r="I18" s="1070">
        <v>-342.322</v>
      </c>
      <c r="J18" s="1070">
        <v>-355.54899999999998</v>
      </c>
      <c r="K18" s="1070">
        <v>-349.238</v>
      </c>
      <c r="L18" s="1070">
        <v>-306.82799999999997</v>
      </c>
      <c r="M18" s="1070">
        <v>-937.18</v>
      </c>
      <c r="N18" s="1070">
        <v>-2368.0730000000003</v>
      </c>
      <c r="O18" s="1071">
        <v>-504.66300000000007</v>
      </c>
      <c r="P18" s="1071">
        <v>-535.65780000000007</v>
      </c>
      <c r="Q18" s="1071">
        <v>-1225.6431000000002</v>
      </c>
      <c r="R18" s="1071">
        <v>-1524.6769200000001</v>
      </c>
      <c r="S18" s="1071">
        <v>-1298.3613999999998</v>
      </c>
      <c r="T18" s="1071">
        <v>-858.45699999999999</v>
      </c>
      <c r="U18" s="1071">
        <v>-859.53989999999999</v>
      </c>
      <c r="V18" s="1071">
        <v>-894.82090000000005</v>
      </c>
      <c r="W18" s="1071">
        <v>-908.4556</v>
      </c>
      <c r="X18" s="1070">
        <v>-900.6241</v>
      </c>
      <c r="Y18" s="1070">
        <v>-936.31184699999994</v>
      </c>
      <c r="Z18" s="1070">
        <v>-990.35194340944179</v>
      </c>
      <c r="AA18" s="1070">
        <v>-869.35400000000004</v>
      </c>
      <c r="AB18" s="1070">
        <v>-887.76975778999997</v>
      </c>
      <c r="AC18" s="1089">
        <v>-865.38293600000009</v>
      </c>
      <c r="AD18" s="1090">
        <v>-857.02170000000001</v>
      </c>
      <c r="AE18" s="1090">
        <v>-864.80618414000003</v>
      </c>
      <c r="AF18" s="1090">
        <v>-866.91415091000067</v>
      </c>
      <c r="AG18" s="1075">
        <f>SUM(D18:AF18)</f>
        <v>-22965.544239249448</v>
      </c>
      <c r="AH18" s="405"/>
    </row>
    <row r="19" spans="1:34" ht="15" x14ac:dyDescent="0.3">
      <c r="A19" s="1068"/>
      <c r="B19" s="1467"/>
      <c r="C19" s="1069" t="s">
        <v>34</v>
      </c>
      <c r="D19" s="1070">
        <v>790.99</v>
      </c>
      <c r="E19" s="1070">
        <v>-23.54</v>
      </c>
      <c r="F19" s="1070">
        <v>761.55</v>
      </c>
      <c r="G19" s="1070">
        <v>19.969999999999914</v>
      </c>
      <c r="H19" s="1070">
        <v>598.42900000000009</v>
      </c>
      <c r="I19" s="1070">
        <v>1143.6039999999998</v>
      </c>
      <c r="J19" s="1070">
        <v>863.01700000000005</v>
      </c>
      <c r="K19" s="1070">
        <v>590.6110000000001</v>
      </c>
      <c r="L19" s="1070">
        <v>1183.741</v>
      </c>
      <c r="M19" s="1070">
        <v>-520.47</v>
      </c>
      <c r="N19" s="1070">
        <v>298.40269999999964</v>
      </c>
      <c r="O19" s="1070">
        <v>-160.94520000000006</v>
      </c>
      <c r="P19" s="1070">
        <v>61.485099999999875</v>
      </c>
      <c r="Q19" s="1070">
        <v>-92.991860000000315</v>
      </c>
      <c r="R19" s="1070">
        <v>-17.390120000000252</v>
      </c>
      <c r="S19" s="1070">
        <v>-67.636272999999619</v>
      </c>
      <c r="T19" s="1070">
        <v>839.07860000000016</v>
      </c>
      <c r="U19" s="1070">
        <v>577.72710000000006</v>
      </c>
      <c r="V19" s="1070">
        <v>372.65169899999989</v>
      </c>
      <c r="W19" s="1071">
        <v>108.3266000000001</v>
      </c>
      <c r="X19" s="1070">
        <v>220.22589999999991</v>
      </c>
      <c r="Y19" s="1070">
        <v>340.39353400000027</v>
      </c>
      <c r="Z19" s="1070">
        <v>-220.44633977944181</v>
      </c>
      <c r="AA19" s="1070">
        <v>340.84800000000001</v>
      </c>
      <c r="AB19" s="1070">
        <v>356.08294220999994</v>
      </c>
      <c r="AC19" s="1089">
        <v>539.53706399999999</v>
      </c>
      <c r="AD19" s="1090">
        <v>331.38313999999991</v>
      </c>
      <c r="AE19" s="1090">
        <v>721.12720075999994</v>
      </c>
      <c r="AF19" s="1090">
        <f>+AF17+AF18</f>
        <v>683.46260038999912</v>
      </c>
      <c r="AG19" s="1075">
        <f>SUM(D19:AF19)</f>
        <v>10639.224387580558</v>
      </c>
      <c r="AH19" s="405"/>
    </row>
    <row r="20" spans="1:34" ht="15" x14ac:dyDescent="0.3">
      <c r="A20" s="1068"/>
      <c r="B20" s="1467"/>
      <c r="C20" s="1069" t="s">
        <v>35</v>
      </c>
      <c r="D20" s="1070">
        <v>-262.69</v>
      </c>
      <c r="E20" s="1070">
        <v>-267.88</v>
      </c>
      <c r="F20" s="1070">
        <v>-296.77</v>
      </c>
      <c r="G20" s="1070">
        <v>-374.56</v>
      </c>
      <c r="H20" s="1070">
        <v>-335.346</v>
      </c>
      <c r="I20" s="1070">
        <v>-328.45400000000001</v>
      </c>
      <c r="J20" s="1070">
        <v>-432.49299999999999</v>
      </c>
      <c r="K20" s="1070">
        <v>-496.81</v>
      </c>
      <c r="L20" s="1070">
        <v>-427.95</v>
      </c>
      <c r="M20" s="1070">
        <v>-481.66</v>
      </c>
      <c r="N20" s="1070">
        <v>-571.07230000000004</v>
      </c>
      <c r="O20" s="1071">
        <v>-423.10469999999998</v>
      </c>
      <c r="P20" s="1071">
        <v>-453.21725900000001</v>
      </c>
      <c r="Q20" s="1071">
        <v>-483.76660000000004</v>
      </c>
      <c r="R20" s="1071">
        <v>-478.80879999999996</v>
      </c>
      <c r="S20" s="1071">
        <v>-425.13440000000003</v>
      </c>
      <c r="T20" s="1071">
        <v>-365.779</v>
      </c>
      <c r="U20" s="1071">
        <v>-366.08380000000005</v>
      </c>
      <c r="V20" s="1071">
        <v>-322.2851</v>
      </c>
      <c r="W20" s="1071">
        <v>-310.19052099999999</v>
      </c>
      <c r="X20" s="1070">
        <v>-366.15729999999996</v>
      </c>
      <c r="Y20" s="1070">
        <v>-366.16507000000001</v>
      </c>
      <c r="Z20" s="1070">
        <v>-419.5620609160776</v>
      </c>
      <c r="AA20" s="1070">
        <v>-429.27</v>
      </c>
      <c r="AB20" s="1070">
        <v>-387.53064999999998</v>
      </c>
      <c r="AC20" s="1089">
        <v>-393.08369999999996</v>
      </c>
      <c r="AD20" s="1090">
        <v>-439.42313999999999</v>
      </c>
      <c r="AE20" s="1090">
        <v>-370.75092673</v>
      </c>
      <c r="AF20" s="1090">
        <v>-303.13920042000012</v>
      </c>
      <c r="AG20" s="1075">
        <f>SUM(D20:AF20)</f>
        <v>-11379.13752806608</v>
      </c>
      <c r="AH20" s="405"/>
    </row>
    <row r="21" spans="1:34" ht="15" x14ac:dyDescent="0.3">
      <c r="A21" s="1068"/>
      <c r="B21" s="1467"/>
      <c r="C21" s="1091" t="s">
        <v>36</v>
      </c>
      <c r="D21" s="1092">
        <v>528.29999999999995</v>
      </c>
      <c r="E21" s="1092">
        <v>-291.42</v>
      </c>
      <c r="F21" s="1092">
        <v>464.78</v>
      </c>
      <c r="G21" s="1092">
        <v>-354.59</v>
      </c>
      <c r="H21" s="1092">
        <v>263.08300000000008</v>
      </c>
      <c r="I21" s="1092">
        <v>815.15</v>
      </c>
      <c r="J21" s="1092">
        <v>430.52400000000006</v>
      </c>
      <c r="K21" s="1092">
        <v>93.801000000000101</v>
      </c>
      <c r="L21" s="1092">
        <v>755.79099999999994</v>
      </c>
      <c r="M21" s="1092">
        <v>-1002.13</v>
      </c>
      <c r="N21" s="1092">
        <v>-272.6696000000004</v>
      </c>
      <c r="O21" s="1092">
        <v>-584.04989999999998</v>
      </c>
      <c r="P21" s="1092">
        <v>-391.73215900000014</v>
      </c>
      <c r="Q21" s="1092">
        <v>-576.75846000000035</v>
      </c>
      <c r="R21" s="1092">
        <v>-496.19892000000021</v>
      </c>
      <c r="S21" s="1092">
        <v>-492.77067299999965</v>
      </c>
      <c r="T21" s="1092">
        <v>473.29960000000017</v>
      </c>
      <c r="U21" s="1092">
        <v>211.64330000000001</v>
      </c>
      <c r="V21" s="1092">
        <v>50.366598999999894</v>
      </c>
      <c r="W21" s="1093">
        <v>-201.86392099999989</v>
      </c>
      <c r="X21" s="1092">
        <v>-145.93140000000005</v>
      </c>
      <c r="Y21" s="1092">
        <v>-25.771535999999742</v>
      </c>
      <c r="Z21" s="1092">
        <v>-640.00840069551941</v>
      </c>
      <c r="AA21" s="1092">
        <v>-88.421999999999997</v>
      </c>
      <c r="AB21" s="1092">
        <v>-31.447707790000038</v>
      </c>
      <c r="AC21" s="1089">
        <v>146.45336400000002</v>
      </c>
      <c r="AD21" s="1090">
        <v>-108.04000000000008</v>
      </c>
      <c r="AE21" s="1090">
        <v>350.37627402999993</v>
      </c>
      <c r="AF21" s="1090">
        <f>+AF19+AF20</f>
        <v>380.323399969999</v>
      </c>
      <c r="AG21" s="1075">
        <f>SUM(D21:AF21)</f>
        <v>-739.91314048552135</v>
      </c>
      <c r="AH21" s="405"/>
    </row>
    <row r="22" spans="1:34" ht="15" x14ac:dyDescent="0.3">
      <c r="A22" s="1068"/>
      <c r="B22" s="1094"/>
      <c r="C22" s="1095"/>
      <c r="D22" s="1096"/>
      <c r="E22" s="1096"/>
      <c r="F22" s="1096"/>
      <c r="G22" s="1096"/>
      <c r="H22" s="1097"/>
      <c r="I22" s="1097"/>
      <c r="J22" s="1097"/>
      <c r="K22" s="1097"/>
      <c r="L22" s="1097"/>
      <c r="M22" s="1097"/>
      <c r="N22" s="1097"/>
      <c r="O22" s="1097"/>
      <c r="P22" s="1097"/>
      <c r="Q22" s="1097"/>
      <c r="R22" s="1097"/>
      <c r="S22" s="1097"/>
      <c r="T22" s="1097"/>
      <c r="U22" s="1097"/>
      <c r="V22" s="1097"/>
      <c r="W22" s="1097"/>
      <c r="X22" s="1098"/>
      <c r="Y22" s="1098"/>
      <c r="Z22" s="1098"/>
      <c r="AA22" s="1087"/>
      <c r="AB22" s="1087"/>
      <c r="AC22" s="1086"/>
      <c r="AD22" s="1087"/>
      <c r="AE22" s="1087"/>
      <c r="AF22" s="1087"/>
      <c r="AG22" s="1088"/>
      <c r="AH22" s="405"/>
    </row>
    <row r="23" spans="1:34" ht="15" x14ac:dyDescent="0.3">
      <c r="A23" s="1068"/>
      <c r="B23" s="1466" t="s">
        <v>38</v>
      </c>
      <c r="C23" s="1062" t="s">
        <v>32</v>
      </c>
      <c r="D23" s="1099">
        <v>1514.33</v>
      </c>
      <c r="E23" s="1099">
        <v>548.36300000000006</v>
      </c>
      <c r="F23" s="1099">
        <v>946.19</v>
      </c>
      <c r="G23" s="1099">
        <v>1077.76</v>
      </c>
      <c r="H23" s="1099">
        <v>798.84799999999996</v>
      </c>
      <c r="I23" s="1099">
        <v>1996.81</v>
      </c>
      <c r="J23" s="1099">
        <v>1609.876</v>
      </c>
      <c r="K23" s="1099">
        <v>1014.423</v>
      </c>
      <c r="L23" s="1099">
        <v>1328.0119999999999</v>
      </c>
      <c r="M23" s="1099">
        <v>178.59</v>
      </c>
      <c r="N23" s="1099">
        <v>1962.5259999999998</v>
      </c>
      <c r="O23" s="1100">
        <v>769.53399999999999</v>
      </c>
      <c r="P23" s="1100">
        <v>362.03898999999996</v>
      </c>
      <c r="Q23" s="1100">
        <v>467.51609999999999</v>
      </c>
      <c r="R23" s="1100">
        <v>518.27520500000003</v>
      </c>
      <c r="S23" s="1100">
        <v>335.66874893999994</v>
      </c>
      <c r="T23" s="1100">
        <v>1028.6224</v>
      </c>
      <c r="U23" s="1100">
        <v>790.81500000000005</v>
      </c>
      <c r="V23" s="1100">
        <v>841.21100000000001</v>
      </c>
      <c r="W23" s="1100">
        <v>753.39196800000013</v>
      </c>
      <c r="X23" s="1099">
        <v>1154.8860000000002</v>
      </c>
      <c r="Y23" s="1099">
        <v>571.04719999999998</v>
      </c>
      <c r="Z23" s="1099">
        <v>641.65977972000019</v>
      </c>
      <c r="AA23" s="1101">
        <v>936.16300000000001</v>
      </c>
      <c r="AB23" s="1101">
        <v>902.76807637000002</v>
      </c>
      <c r="AC23" s="1102">
        <v>1244.3645799999999</v>
      </c>
      <c r="AD23" s="1103">
        <v>760.66393500000004</v>
      </c>
      <c r="AE23" s="1103">
        <v>1047.4348537899998</v>
      </c>
      <c r="AF23" s="1103">
        <v>1190.7558935500001</v>
      </c>
      <c r="AG23" s="1104">
        <f>SUM(D23:AF23)</f>
        <v>27292.544730369998</v>
      </c>
      <c r="AH23" s="405"/>
    </row>
    <row r="24" spans="1:34" ht="15" x14ac:dyDescent="0.3">
      <c r="A24" s="1068"/>
      <c r="B24" s="1467"/>
      <c r="C24" s="1069" t="s">
        <v>33</v>
      </c>
      <c r="D24" s="1101">
        <v>-270.17</v>
      </c>
      <c r="E24" s="1101">
        <v>-361.74</v>
      </c>
      <c r="F24" s="1101">
        <v>-210.26</v>
      </c>
      <c r="G24" s="1101">
        <v>-256.91000000000003</v>
      </c>
      <c r="H24" s="1101">
        <v>-299.74799999999999</v>
      </c>
      <c r="I24" s="1101">
        <v>-365.62299999999999</v>
      </c>
      <c r="J24" s="1101">
        <v>-461.54300000000001</v>
      </c>
      <c r="K24" s="1101">
        <v>-559.59199999999998</v>
      </c>
      <c r="L24" s="1101">
        <v>-709.29399999999998</v>
      </c>
      <c r="M24" s="1101">
        <v>-1340.34</v>
      </c>
      <c r="N24" s="1101">
        <v>-2976.9155999999998</v>
      </c>
      <c r="O24" s="1105">
        <v>-859.57168000000001</v>
      </c>
      <c r="P24" s="1105">
        <v>-934.1669999999998</v>
      </c>
      <c r="Q24" s="1105">
        <v>-1143.2294000000002</v>
      </c>
      <c r="R24" s="1105">
        <v>-1044.8227280400001</v>
      </c>
      <c r="S24" s="1105">
        <v>-939.90089999999987</v>
      </c>
      <c r="T24" s="1105">
        <v>-794.30639999999994</v>
      </c>
      <c r="U24" s="1105">
        <v>-746.69100000000003</v>
      </c>
      <c r="V24" s="1105">
        <v>-630.34260000000006</v>
      </c>
      <c r="W24" s="1105">
        <v>-684.65250000000003</v>
      </c>
      <c r="X24" s="1101">
        <v>-665.16909999999996</v>
      </c>
      <c r="Y24" s="1101">
        <v>-669.62632700000006</v>
      </c>
      <c r="Z24" s="1101">
        <v>-789.74793167522989</v>
      </c>
      <c r="AA24" s="1101">
        <v>-739.51</v>
      </c>
      <c r="AB24" s="1101">
        <v>-632.19048999999995</v>
      </c>
      <c r="AC24" s="1102">
        <v>-697.93946400000004</v>
      </c>
      <c r="AD24" s="1103">
        <v>-511.25900000000001</v>
      </c>
      <c r="AE24" s="1103">
        <v>-454.12181461584964</v>
      </c>
      <c r="AF24" s="1103">
        <v>-394.48513341999978</v>
      </c>
      <c r="AG24" s="1104">
        <f>SUM(D24:AF24)</f>
        <v>-21143.869068751075</v>
      </c>
      <c r="AH24" s="405"/>
    </row>
    <row r="25" spans="1:34" ht="15" x14ac:dyDescent="0.3">
      <c r="A25" s="1068"/>
      <c r="B25" s="1467"/>
      <c r="C25" s="1069" t="s">
        <v>34</v>
      </c>
      <c r="D25" s="1101">
        <v>1244.1600000000001</v>
      </c>
      <c r="E25" s="1101">
        <v>186.62300000000005</v>
      </c>
      <c r="F25" s="1101">
        <v>735.93</v>
      </c>
      <c r="G25" s="1101">
        <v>820.85</v>
      </c>
      <c r="H25" s="1101">
        <v>499.1</v>
      </c>
      <c r="I25" s="1101">
        <v>1631.1869999999999</v>
      </c>
      <c r="J25" s="1101">
        <v>1148.3330000000001</v>
      </c>
      <c r="K25" s="1101">
        <v>454.83100000000002</v>
      </c>
      <c r="L25" s="1101">
        <v>618.71799999999996</v>
      </c>
      <c r="M25" s="1101">
        <v>-1161.75</v>
      </c>
      <c r="N25" s="1101">
        <v>-1014.3896</v>
      </c>
      <c r="O25" s="1101">
        <v>-90.037680000000023</v>
      </c>
      <c r="P25" s="1101">
        <v>-572.1280099999999</v>
      </c>
      <c r="Q25" s="1101">
        <v>-675.71330000000012</v>
      </c>
      <c r="R25" s="1101">
        <v>-526.5475230400001</v>
      </c>
      <c r="S25" s="1101">
        <v>-604.23215105999998</v>
      </c>
      <c r="T25" s="1101">
        <v>234.31600000000003</v>
      </c>
      <c r="U25" s="1101">
        <v>44.12399999999991</v>
      </c>
      <c r="V25" s="1101">
        <v>210.86839999999995</v>
      </c>
      <c r="W25" s="1105">
        <v>68.739468000000102</v>
      </c>
      <c r="X25" s="1101">
        <v>489.71690000000024</v>
      </c>
      <c r="Y25" s="1101">
        <v>-98.579127000000085</v>
      </c>
      <c r="Z25" s="1101">
        <v>-148.0881519552297</v>
      </c>
      <c r="AA25" s="1101">
        <v>196.65299999999999</v>
      </c>
      <c r="AB25" s="1101">
        <v>270.57758637000006</v>
      </c>
      <c r="AC25" s="1089">
        <v>546.42511599999989</v>
      </c>
      <c r="AD25" s="1090">
        <v>249.40493500000002</v>
      </c>
      <c r="AE25" s="1090">
        <v>593.31303917415016</v>
      </c>
      <c r="AF25" s="1090">
        <f>+AF24+AF23</f>
        <v>796.27076013000033</v>
      </c>
      <c r="AG25" s="1104">
        <f>SUM(D25:AF25)</f>
        <v>6148.6756616189232</v>
      </c>
      <c r="AH25" s="405"/>
    </row>
    <row r="26" spans="1:34" ht="15" x14ac:dyDescent="0.3">
      <c r="A26" s="1068"/>
      <c r="B26" s="1467"/>
      <c r="C26" s="1069" t="s">
        <v>35</v>
      </c>
      <c r="D26" s="1101">
        <v>-222.76</v>
      </c>
      <c r="E26" s="1101">
        <v>-269.82</v>
      </c>
      <c r="F26" s="1101">
        <v>-306.5</v>
      </c>
      <c r="G26" s="1101">
        <v>-315.73</v>
      </c>
      <c r="H26" s="1101">
        <v>-337.45499999999998</v>
      </c>
      <c r="I26" s="1101">
        <v>-365.17899999999997</v>
      </c>
      <c r="J26" s="1101">
        <v>-527.42700000000002</v>
      </c>
      <c r="K26" s="1101">
        <v>-702.83199999999999</v>
      </c>
      <c r="L26" s="1101">
        <v>-712.48800000000006</v>
      </c>
      <c r="M26" s="1101">
        <v>-511.66</v>
      </c>
      <c r="N26" s="1101">
        <v>-362.80691999999999</v>
      </c>
      <c r="O26" s="1105">
        <v>-240.76</v>
      </c>
      <c r="P26" s="1105">
        <v>-282.24469999999997</v>
      </c>
      <c r="Q26" s="1105">
        <v>-338.67895499999992</v>
      </c>
      <c r="R26" s="1105">
        <v>-352.04700000000003</v>
      </c>
      <c r="S26" s="1105">
        <v>-252.39179999999999</v>
      </c>
      <c r="T26" s="1105">
        <v>-160.57199999999997</v>
      </c>
      <c r="U26" s="1105">
        <v>-140.40860000000001</v>
      </c>
      <c r="V26" s="1105">
        <v>-130.49514699999997</v>
      </c>
      <c r="W26" s="1105">
        <v>-131.27179799999999</v>
      </c>
      <c r="X26" s="1101">
        <v>-138.87339</v>
      </c>
      <c r="Y26" s="1101">
        <v>-128.7038</v>
      </c>
      <c r="Z26" s="1101">
        <v>-137.67078139770953</v>
      </c>
      <c r="AA26" s="1101">
        <v>-118.517</v>
      </c>
      <c r="AB26" s="1101">
        <v>-140.55459999999999</v>
      </c>
      <c r="AC26" s="1089">
        <v>-177.21893999999998</v>
      </c>
      <c r="AD26" s="1090">
        <v>-239.05193</v>
      </c>
      <c r="AE26" s="1090">
        <v>-177.26288278999991</v>
      </c>
      <c r="AF26" s="1090">
        <v>-113.15212304999997</v>
      </c>
      <c r="AG26" s="1104">
        <f>SUM(D26:AF26)</f>
        <v>-8034.5333672377092</v>
      </c>
      <c r="AH26" s="405"/>
    </row>
    <row r="27" spans="1:34" ht="15" x14ac:dyDescent="0.3">
      <c r="A27" s="1068"/>
      <c r="B27" s="1468"/>
      <c r="C27" s="1076" t="s">
        <v>36</v>
      </c>
      <c r="D27" s="1106">
        <v>1021.4</v>
      </c>
      <c r="E27" s="1106">
        <v>-83.196999999999946</v>
      </c>
      <c r="F27" s="1106">
        <v>429.43</v>
      </c>
      <c r="G27" s="1106">
        <v>505.12</v>
      </c>
      <c r="H27" s="1106">
        <v>161.64500000000001</v>
      </c>
      <c r="I27" s="1106">
        <v>1266.0079999999998</v>
      </c>
      <c r="J27" s="1106">
        <v>620.90600000000006</v>
      </c>
      <c r="K27" s="1106">
        <v>-248.00099999999998</v>
      </c>
      <c r="L27" s="1106">
        <v>-93.770000000000095</v>
      </c>
      <c r="M27" s="1106">
        <v>-1673.41</v>
      </c>
      <c r="N27" s="1106">
        <v>-1377.19652</v>
      </c>
      <c r="O27" s="1106">
        <v>-330.79768000000001</v>
      </c>
      <c r="P27" s="1106">
        <v>-854.37270999999987</v>
      </c>
      <c r="Q27" s="1106">
        <v>-1014.392255</v>
      </c>
      <c r="R27" s="1106">
        <v>-878.59452304000013</v>
      </c>
      <c r="S27" s="1106">
        <v>-856.62395105999997</v>
      </c>
      <c r="T27" s="1106">
        <v>73.744000000000057</v>
      </c>
      <c r="U27" s="1106">
        <v>-96.284600000000097</v>
      </c>
      <c r="V27" s="1106">
        <v>80.373252999999977</v>
      </c>
      <c r="W27" s="1107">
        <v>-62.532329999999888</v>
      </c>
      <c r="X27" s="1106">
        <v>350.84351000000026</v>
      </c>
      <c r="Y27" s="1106">
        <v>-227.28292700000009</v>
      </c>
      <c r="Z27" s="1106">
        <v>-285.75893335293927</v>
      </c>
      <c r="AA27" s="1106">
        <v>78.135999999999996</v>
      </c>
      <c r="AB27" s="1106">
        <v>130.02298637000007</v>
      </c>
      <c r="AC27" s="1089">
        <v>369.20617599999991</v>
      </c>
      <c r="AD27" s="1090">
        <v>10.353005000000024</v>
      </c>
      <c r="AE27" s="1090">
        <v>416.05015638415023</v>
      </c>
      <c r="AF27" s="1090">
        <f>+AF25+AF26</f>
        <v>683.11863708000033</v>
      </c>
      <c r="AG27" s="1104">
        <f>SUM(D27:AF27)</f>
        <v>-1885.8577056187885</v>
      </c>
      <c r="AH27" s="405"/>
    </row>
    <row r="28" spans="1:34" ht="15" x14ac:dyDescent="0.3">
      <c r="A28" s="1068"/>
      <c r="B28" s="1094"/>
      <c r="C28" s="1095"/>
      <c r="D28" s="1096"/>
      <c r="E28" s="1096"/>
      <c r="F28" s="1096"/>
      <c r="G28" s="1096"/>
      <c r="H28" s="1097"/>
      <c r="I28" s="1097"/>
      <c r="J28" s="1097"/>
      <c r="K28" s="1097"/>
      <c r="L28" s="1097"/>
      <c r="M28" s="1097"/>
      <c r="N28" s="1097"/>
      <c r="O28" s="1097"/>
      <c r="P28" s="1097"/>
      <c r="Q28" s="1097"/>
      <c r="R28" s="1097"/>
      <c r="S28" s="1097"/>
      <c r="T28" s="1097"/>
      <c r="U28" s="1097"/>
      <c r="V28" s="1097"/>
      <c r="W28" s="1097"/>
      <c r="X28" s="1098"/>
      <c r="Y28" s="1098"/>
      <c r="Z28" s="1098"/>
      <c r="AA28" s="1098"/>
      <c r="AB28" s="1098"/>
      <c r="AC28" s="1097"/>
      <c r="AD28" s="1098"/>
      <c r="AE28" s="1098"/>
      <c r="AF28" s="1098"/>
      <c r="AG28" s="1108"/>
      <c r="AH28" s="405"/>
    </row>
    <row r="29" spans="1:34" ht="15" x14ac:dyDescent="0.3">
      <c r="A29" s="1068"/>
      <c r="B29" s="1466" t="s">
        <v>274</v>
      </c>
      <c r="C29" s="1062" t="s">
        <v>32</v>
      </c>
      <c r="D29" s="1063">
        <v>1.024</v>
      </c>
      <c r="E29" s="1063">
        <v>2.9470000000000001</v>
      </c>
      <c r="F29" s="1063">
        <v>4.1349999999999998</v>
      </c>
      <c r="G29" s="1063">
        <v>9.7059999999999995</v>
      </c>
      <c r="H29" s="1063">
        <v>20.713999999999999</v>
      </c>
      <c r="I29" s="1063">
        <v>22.091999999999999</v>
      </c>
      <c r="J29" s="1063">
        <v>28.187000000000001</v>
      </c>
      <c r="K29" s="1063">
        <v>4.8129999999999997</v>
      </c>
      <c r="L29" s="1063">
        <v>2.4630000000000001</v>
      </c>
      <c r="M29" s="1063">
        <v>0</v>
      </c>
      <c r="N29" s="1063">
        <v>4.5220000000000002</v>
      </c>
      <c r="O29" s="1063">
        <v>13.612865000000001</v>
      </c>
      <c r="P29" s="1063">
        <v>48.266404000000001</v>
      </c>
      <c r="Q29" s="1063">
        <v>88.828054999999992</v>
      </c>
      <c r="R29" s="1063">
        <v>358.33955900000001</v>
      </c>
      <c r="S29" s="1063">
        <v>304.74419000000006</v>
      </c>
      <c r="T29" s="1063">
        <v>457.54579999999999</v>
      </c>
      <c r="U29" s="1063">
        <v>202.65719999999999</v>
      </c>
      <c r="V29" s="1063">
        <v>469.62361999999996</v>
      </c>
      <c r="W29" s="1064">
        <v>362.02826799999997</v>
      </c>
      <c r="X29" s="1063">
        <v>494.75291100000004</v>
      </c>
      <c r="Y29" s="1063">
        <v>432.48291999999998</v>
      </c>
      <c r="Z29" s="1063">
        <v>474.16258728880769</v>
      </c>
      <c r="AA29" s="1070">
        <v>301.97399999999999</v>
      </c>
      <c r="AB29" s="1070">
        <v>779.26239367000005</v>
      </c>
      <c r="AC29" s="1065">
        <v>936.67882000000009</v>
      </c>
      <c r="AD29" s="1066">
        <v>719.26251999999999</v>
      </c>
      <c r="AE29" s="1066">
        <v>675.00075299727871</v>
      </c>
      <c r="AF29" s="1066">
        <v>942.90137473643404</v>
      </c>
      <c r="AG29" s="1109">
        <f>SUM(D29:AF29)</f>
        <v>8162.7272406925213</v>
      </c>
      <c r="AH29" s="405"/>
    </row>
    <row r="30" spans="1:34" ht="15" x14ac:dyDescent="0.3">
      <c r="A30" s="1068"/>
      <c r="B30" s="1467"/>
      <c r="C30" s="1069" t="s">
        <v>33</v>
      </c>
      <c r="D30" s="1070">
        <v>-1.2709999999999999</v>
      </c>
      <c r="E30" s="1070">
        <v>-2.0059999999999998</v>
      </c>
      <c r="F30" s="1070">
        <v>-2.0709999999999997</v>
      </c>
      <c r="G30" s="1070">
        <v>-2.165</v>
      </c>
      <c r="H30" s="1070">
        <v>-2.2389999999999999</v>
      </c>
      <c r="I30" s="1070">
        <v>-3.548</v>
      </c>
      <c r="J30" s="1070">
        <v>-4.24</v>
      </c>
      <c r="K30" s="1070">
        <v>-6.843</v>
      </c>
      <c r="L30" s="1070">
        <v>-6.8209999999999997</v>
      </c>
      <c r="M30" s="1070">
        <v>-4.5999999999999996</v>
      </c>
      <c r="N30" s="1070">
        <v>-9.861699999999999</v>
      </c>
      <c r="O30" s="1070">
        <v>-13.112</v>
      </c>
      <c r="P30" s="1070">
        <v>-8.3688000000000002</v>
      </c>
      <c r="Q30" s="1070">
        <v>-12.226599999999999</v>
      </c>
      <c r="R30" s="1070">
        <v>-24.59545</v>
      </c>
      <c r="S30" s="1070">
        <v>-33.334631829999999</v>
      </c>
      <c r="T30" s="1070">
        <v>-39.097163700000003</v>
      </c>
      <c r="U30" s="1070">
        <v>-73.833502440000018</v>
      </c>
      <c r="V30" s="1070">
        <v>-93.220416999999998</v>
      </c>
      <c r="W30" s="1071">
        <v>-148.922684</v>
      </c>
      <c r="X30" s="1070">
        <v>-156.91856799999999</v>
      </c>
      <c r="Y30" s="1070">
        <v>-199.43895600000002</v>
      </c>
      <c r="Z30" s="1070">
        <v>-241.95195099730364</v>
      </c>
      <c r="AA30" s="1070">
        <v>-248.59</v>
      </c>
      <c r="AB30" s="1070">
        <v>-320.33198600000003</v>
      </c>
      <c r="AC30" s="1073">
        <v>-364.64214978000001</v>
      </c>
      <c r="AD30" s="1074">
        <v>-414.80220000000003</v>
      </c>
      <c r="AE30" s="1074">
        <v>-564.93662954266881</v>
      </c>
      <c r="AF30" s="1074">
        <v>-610.71168892673143</v>
      </c>
      <c r="AG30" s="1109">
        <f>SUM(D30:AF30)</f>
        <v>-3614.7010782167035</v>
      </c>
      <c r="AH30" s="405"/>
    </row>
    <row r="31" spans="1:34" ht="15" x14ac:dyDescent="0.3">
      <c r="A31" s="1068"/>
      <c r="B31" s="1467"/>
      <c r="C31" s="1069" t="s">
        <v>34</v>
      </c>
      <c r="D31" s="1070">
        <v>-0.24699999999999989</v>
      </c>
      <c r="E31" s="1070">
        <v>0.94100000000000028</v>
      </c>
      <c r="F31" s="1070">
        <v>2.0640000000000001</v>
      </c>
      <c r="G31" s="1070">
        <v>7.5409999999999995</v>
      </c>
      <c r="H31" s="1070">
        <v>18.475000000000001</v>
      </c>
      <c r="I31" s="1070">
        <v>18.543999999999997</v>
      </c>
      <c r="J31" s="1070">
        <v>23.947000000000003</v>
      </c>
      <c r="K31" s="1070">
        <v>-2.0299999999999998</v>
      </c>
      <c r="L31" s="1070">
        <v>-4.3579999999999997</v>
      </c>
      <c r="M31" s="1070">
        <v>-4.5999999999999996</v>
      </c>
      <c r="N31" s="1070">
        <v>-5.3396999999999988</v>
      </c>
      <c r="O31" s="1070">
        <v>0.500865000000001</v>
      </c>
      <c r="P31" s="1070">
        <v>39.897604000000001</v>
      </c>
      <c r="Q31" s="1070">
        <v>76.601454999999987</v>
      </c>
      <c r="R31" s="1070">
        <v>333.74410899999998</v>
      </c>
      <c r="S31" s="1070">
        <v>271.40955817000008</v>
      </c>
      <c r="T31" s="1070">
        <v>418.44863629999998</v>
      </c>
      <c r="U31" s="1070">
        <v>128.82369755999997</v>
      </c>
      <c r="V31" s="1070">
        <v>376.40320299999996</v>
      </c>
      <c r="W31" s="1071">
        <v>213.10558399999996</v>
      </c>
      <c r="X31" s="1070">
        <v>337.83434300000005</v>
      </c>
      <c r="Y31" s="1070">
        <v>233.04396399999996</v>
      </c>
      <c r="Z31" s="1070">
        <v>232.21063629150404</v>
      </c>
      <c r="AA31" s="1070">
        <v>53.384</v>
      </c>
      <c r="AB31" s="1070">
        <v>458.93040767000002</v>
      </c>
      <c r="AC31" s="1089">
        <v>572.03667022000013</v>
      </c>
      <c r="AD31" s="1090">
        <v>304.46031999999997</v>
      </c>
      <c r="AE31" s="1090">
        <v>110.0641234546099</v>
      </c>
      <c r="AF31" s="1090">
        <f>+AF30+AF29</f>
        <v>332.18968580970261</v>
      </c>
      <c r="AG31" s="1109">
        <f>SUM(D31:AF31)</f>
        <v>4548.0261624758168</v>
      </c>
      <c r="AH31" s="405"/>
    </row>
    <row r="32" spans="1:34" ht="15" x14ac:dyDescent="0.3">
      <c r="A32" s="1068"/>
      <c r="B32" s="1467"/>
      <c r="C32" s="1069" t="s">
        <v>35</v>
      </c>
      <c r="D32" s="1070">
        <v>-1.0469999999999999</v>
      </c>
      <c r="E32" s="1070">
        <v>-1.1240000000000001</v>
      </c>
      <c r="F32" s="1070">
        <v>-1.2549999999999999</v>
      </c>
      <c r="G32" s="1070">
        <v>-1.369</v>
      </c>
      <c r="H32" s="1070">
        <v>-2.0230000000000001</v>
      </c>
      <c r="I32" s="1070">
        <v>-3.774</v>
      </c>
      <c r="J32" s="1070">
        <v>-4.351</v>
      </c>
      <c r="K32" s="1070">
        <v>-5.6040000000000001</v>
      </c>
      <c r="L32" s="1070">
        <v>-5.4090000000000007</v>
      </c>
      <c r="M32" s="1070">
        <v>-1.24</v>
      </c>
      <c r="N32" s="1070">
        <v>-1.707055</v>
      </c>
      <c r="O32" s="1070">
        <v>-10.696306</v>
      </c>
      <c r="P32" s="1070">
        <v>-5.9416359999999999</v>
      </c>
      <c r="Q32" s="1070">
        <v>-9.600263</v>
      </c>
      <c r="R32" s="1070">
        <v>-16.974018999999998</v>
      </c>
      <c r="S32" s="1070">
        <v>-28.056669100000001</v>
      </c>
      <c r="T32" s="1070">
        <v>-36.212320890000008</v>
      </c>
      <c r="U32" s="1070">
        <v>-27.375441879999997</v>
      </c>
      <c r="V32" s="1070">
        <v>-34.713676</v>
      </c>
      <c r="W32" s="1071">
        <v>-47.964547999999994</v>
      </c>
      <c r="X32" s="1070">
        <v>-50.396422000000001</v>
      </c>
      <c r="Y32" s="1070">
        <v>-53.478645</v>
      </c>
      <c r="Z32" s="1070">
        <v>-64.561118019588719</v>
      </c>
      <c r="AA32" s="1070">
        <v>-71.102999999999994</v>
      </c>
      <c r="AB32" s="1070">
        <v>-91.668310999999989</v>
      </c>
      <c r="AC32" s="1089">
        <v>-118.81940300000001</v>
      </c>
      <c r="AD32" s="1090">
        <v>-171.835577</v>
      </c>
      <c r="AE32" s="1090">
        <v>-140.03102194363203</v>
      </c>
      <c r="AF32" s="1090">
        <v>-91.584883609281249</v>
      </c>
      <c r="AG32" s="1109">
        <f>SUM(D32:AF32)</f>
        <v>-1099.916316442502</v>
      </c>
      <c r="AH32" s="405"/>
    </row>
    <row r="33" spans="1:34" ht="15" x14ac:dyDescent="0.3">
      <c r="A33" s="1068"/>
      <c r="B33" s="1467"/>
      <c r="C33" s="1091" t="s">
        <v>36</v>
      </c>
      <c r="D33" s="1092">
        <v>-1.2939999999999998</v>
      </c>
      <c r="E33" s="1092">
        <v>-0.18299999999999983</v>
      </c>
      <c r="F33" s="1092">
        <v>0.80900000000000016</v>
      </c>
      <c r="G33" s="1092">
        <v>6.1719999999999997</v>
      </c>
      <c r="H33" s="1092">
        <v>16.451999999999998</v>
      </c>
      <c r="I33" s="1092">
        <v>14.77</v>
      </c>
      <c r="J33" s="1092">
        <v>19.596000000000004</v>
      </c>
      <c r="K33" s="1092">
        <v>-7.6340000000000003</v>
      </c>
      <c r="L33" s="1092">
        <v>-9.7669999999999995</v>
      </c>
      <c r="M33" s="1092">
        <v>-5.84</v>
      </c>
      <c r="N33" s="1092">
        <v>-7.0467549999999992</v>
      </c>
      <c r="O33" s="1092">
        <v>-10.195440999999999</v>
      </c>
      <c r="P33" s="1092">
        <v>33.955967999999999</v>
      </c>
      <c r="Q33" s="1092">
        <v>67.001191999999989</v>
      </c>
      <c r="R33" s="1092">
        <v>316.77008999999998</v>
      </c>
      <c r="S33" s="1092">
        <v>243.35288907000009</v>
      </c>
      <c r="T33" s="1092">
        <v>382.23631540999997</v>
      </c>
      <c r="U33" s="1092">
        <v>101.44825567999997</v>
      </c>
      <c r="V33" s="1092">
        <v>341.68952699999994</v>
      </c>
      <c r="W33" s="1093">
        <v>165.14103599999999</v>
      </c>
      <c r="X33" s="1077">
        <v>287.43792100000007</v>
      </c>
      <c r="Y33" s="1077">
        <v>179.56531899999996</v>
      </c>
      <c r="Z33" s="1077">
        <v>167.64951827191533</v>
      </c>
      <c r="AA33" s="1077">
        <v>-17.719000000000001</v>
      </c>
      <c r="AB33" s="1077">
        <v>367.26209667000001</v>
      </c>
      <c r="AC33" s="1089">
        <v>453.21726722000011</v>
      </c>
      <c r="AD33" s="1090">
        <v>132.62474299999997</v>
      </c>
      <c r="AE33" s="1090">
        <v>-29.966898489022128</v>
      </c>
      <c r="AF33" s="1090">
        <f>+AF31+AF32</f>
        <v>240.60480220042137</v>
      </c>
      <c r="AG33" s="1109">
        <f>SUM(D33:AF33)</f>
        <v>3448.1098460333146</v>
      </c>
      <c r="AH33" s="405"/>
    </row>
    <row r="34" spans="1:34" ht="15" x14ac:dyDescent="0.3">
      <c r="A34" s="1068"/>
      <c r="B34" s="1110"/>
      <c r="C34" s="1096"/>
      <c r="D34" s="1096"/>
      <c r="E34" s="1096"/>
      <c r="F34" s="1096"/>
      <c r="G34" s="1096"/>
      <c r="H34" s="1097"/>
      <c r="I34" s="1097"/>
      <c r="J34" s="1097"/>
      <c r="K34" s="1097"/>
      <c r="L34" s="1097"/>
      <c r="M34" s="1097"/>
      <c r="N34" s="1097"/>
      <c r="O34" s="1097"/>
      <c r="P34" s="1097"/>
      <c r="Q34" s="1097"/>
      <c r="R34" s="1097"/>
      <c r="S34" s="1097"/>
      <c r="T34" s="1097"/>
      <c r="U34" s="1097"/>
      <c r="V34" s="1097"/>
      <c r="W34" s="1097"/>
      <c r="X34" s="1097"/>
      <c r="Y34" s="1097"/>
      <c r="Z34" s="1097"/>
      <c r="AA34" s="1097"/>
      <c r="AB34" s="1097"/>
      <c r="AC34" s="1097"/>
      <c r="AD34" s="1098"/>
      <c r="AE34" s="1098"/>
      <c r="AF34" s="1098"/>
      <c r="AG34" s="1108"/>
      <c r="AH34" s="405"/>
    </row>
    <row r="35" spans="1:34" ht="19.5" customHeight="1" x14ac:dyDescent="0.3">
      <c r="A35" s="1068"/>
      <c r="B35" s="1469" t="s">
        <v>354</v>
      </c>
      <c r="C35" s="1470"/>
      <c r="D35" s="1111">
        <f t="shared" ref="D35:AG39" si="0">+D11+D17+D23+D29</f>
        <v>4169.5439999999999</v>
      </c>
      <c r="E35" s="1111">
        <f t="shared" si="0"/>
        <v>1674.03</v>
      </c>
      <c r="F35" s="1111">
        <f t="shared" si="0"/>
        <v>4413.2350000000006</v>
      </c>
      <c r="G35" s="1111">
        <f t="shared" si="0"/>
        <v>2446.616</v>
      </c>
      <c r="H35" s="1111">
        <f t="shared" si="0"/>
        <v>2167.0590000000002</v>
      </c>
      <c r="I35" s="1111">
        <f t="shared" si="0"/>
        <v>3504.828</v>
      </c>
      <c r="J35" s="1111">
        <f t="shared" si="0"/>
        <v>2856.6289999999999</v>
      </c>
      <c r="K35" s="1111">
        <f t="shared" si="0"/>
        <v>4026.5010000000002</v>
      </c>
      <c r="L35" s="1111">
        <f t="shared" si="0"/>
        <v>13384.635</v>
      </c>
      <c r="M35" s="1111">
        <f t="shared" si="0"/>
        <v>595.29999999999995</v>
      </c>
      <c r="N35" s="1111">
        <f t="shared" si="0"/>
        <v>10238.230700000002</v>
      </c>
      <c r="O35" s="1111">
        <f t="shared" si="0"/>
        <v>4577.743665</v>
      </c>
      <c r="P35" s="1111">
        <f t="shared" si="0"/>
        <v>1007.4482939999998</v>
      </c>
      <c r="Q35" s="1111">
        <f t="shared" si="0"/>
        <v>1688.9953949999999</v>
      </c>
      <c r="R35" s="1111">
        <f t="shared" si="0"/>
        <v>2383.9015639999998</v>
      </c>
      <c r="S35" s="1111">
        <f t="shared" si="0"/>
        <v>1871.1380659400002</v>
      </c>
      <c r="T35" s="1111">
        <f t="shared" si="0"/>
        <v>3183.7038000000002</v>
      </c>
      <c r="U35" s="1111">
        <f t="shared" si="0"/>
        <v>2430.7392000000004</v>
      </c>
      <c r="V35" s="1111">
        <f t="shared" si="0"/>
        <v>2578.3072189999998</v>
      </c>
      <c r="W35" s="1111">
        <f t="shared" si="0"/>
        <v>2132.202436</v>
      </c>
      <c r="X35" s="1111">
        <f t="shared" si="0"/>
        <v>2770.4889109999999</v>
      </c>
      <c r="Y35" s="1111">
        <f t="shared" si="0"/>
        <v>2280.2355010000001</v>
      </c>
      <c r="Z35" s="1111">
        <f t="shared" si="0"/>
        <v>1885.7279706388076</v>
      </c>
      <c r="AA35" s="1111">
        <f t="shared" si="0"/>
        <v>2448.3389999999999</v>
      </c>
      <c r="AB35" s="1111">
        <f t="shared" si="0"/>
        <v>2925.8831700400001</v>
      </c>
      <c r="AC35" s="1111">
        <f t="shared" si="0"/>
        <v>31837.790300000001</v>
      </c>
      <c r="AD35" s="1112">
        <f t="shared" si="0"/>
        <v>18893.230295000001</v>
      </c>
      <c r="AE35" s="1112">
        <f t="shared" ref="AE35" si="1">+AE11+AE17+AE23+AE29</f>
        <v>3308.3689916872786</v>
      </c>
      <c r="AF35" s="1112">
        <f t="shared" si="0"/>
        <v>3684.0340195864337</v>
      </c>
      <c r="AG35" s="1113">
        <f t="shared" si="0"/>
        <v>141364.88549789251</v>
      </c>
      <c r="AH35" s="405"/>
    </row>
    <row r="36" spans="1:34" ht="23.25" customHeight="1" x14ac:dyDescent="0.3">
      <c r="A36" s="1068"/>
      <c r="B36" s="1471" t="s">
        <v>355</v>
      </c>
      <c r="C36" s="1472"/>
      <c r="D36" s="1111">
        <f t="shared" si="0"/>
        <v>-813.471</v>
      </c>
      <c r="E36" s="1111">
        <f t="shared" si="0"/>
        <v>-863.42599999999993</v>
      </c>
      <c r="F36" s="1111">
        <f t="shared" si="0"/>
        <v>-793.90099999999995</v>
      </c>
      <c r="G36" s="1111">
        <f t="shared" si="0"/>
        <v>-1047.4850000000001</v>
      </c>
      <c r="H36" s="1111">
        <f t="shared" si="0"/>
        <v>-1091.1570000000002</v>
      </c>
      <c r="I36" s="1111">
        <f t="shared" si="0"/>
        <v>-1365.3579999999999</v>
      </c>
      <c r="J36" s="1111">
        <f t="shared" si="0"/>
        <v>-1648.45</v>
      </c>
      <c r="K36" s="1111">
        <f t="shared" si="0"/>
        <v>-2199.5589999999997</v>
      </c>
      <c r="L36" s="1111">
        <f t="shared" si="0"/>
        <v>-2205.9290000000001</v>
      </c>
      <c r="M36" s="1111">
        <f t="shared" si="0"/>
        <v>-3011.32</v>
      </c>
      <c r="N36" s="1111">
        <f t="shared" si="0"/>
        <v>-11060.6613</v>
      </c>
      <c r="O36" s="1111">
        <f t="shared" si="0"/>
        <v>-6871.1496800000004</v>
      </c>
      <c r="P36" s="1111">
        <f t="shared" si="0"/>
        <v>-5066.7495000000008</v>
      </c>
      <c r="Q36" s="1111">
        <f t="shared" si="0"/>
        <v>-11911.209779999999</v>
      </c>
      <c r="R36" s="1111">
        <f t="shared" si="0"/>
        <v>-2594.0950980400003</v>
      </c>
      <c r="S36" s="1111">
        <f t="shared" si="0"/>
        <v>-2271.5969318299994</v>
      </c>
      <c r="T36" s="1111">
        <f t="shared" si="0"/>
        <v>-1691.8605636999998</v>
      </c>
      <c r="U36" s="1111">
        <f t="shared" si="0"/>
        <v>-1680.0644024400001</v>
      </c>
      <c r="V36" s="1111">
        <f t="shared" si="0"/>
        <v>-1618.3839170000001</v>
      </c>
      <c r="W36" s="1111">
        <f t="shared" si="0"/>
        <v>-1742.030784</v>
      </c>
      <c r="X36" s="1111">
        <f t="shared" si="0"/>
        <v>-1722.7117680000001</v>
      </c>
      <c r="Y36" s="1111">
        <f t="shared" si="0"/>
        <v>-1805.3771299999999</v>
      </c>
      <c r="Z36" s="1111">
        <f t="shared" si="0"/>
        <v>-2022.0518260819752</v>
      </c>
      <c r="AA36" s="1111">
        <f t="shared" si="0"/>
        <v>-1857.454</v>
      </c>
      <c r="AB36" s="1111">
        <f t="shared" si="0"/>
        <v>-1840.29223379</v>
      </c>
      <c r="AC36" s="1111">
        <f t="shared" si="0"/>
        <v>-1927.96454978</v>
      </c>
      <c r="AD36" s="1112">
        <f t="shared" si="0"/>
        <v>-1783.0829000000001</v>
      </c>
      <c r="AE36" s="1112">
        <f t="shared" ref="AE36" si="2">+AE12+AE18+AE24+AE30</f>
        <v>-1883.8646282985187</v>
      </c>
      <c r="AF36" s="1112">
        <f t="shared" si="0"/>
        <v>-5609.5570806654787</v>
      </c>
      <c r="AG36" s="1113">
        <f t="shared" si="0"/>
        <v>-82000.214073625961</v>
      </c>
      <c r="AH36" s="405"/>
    </row>
    <row r="37" spans="1:34" ht="23.25" customHeight="1" x14ac:dyDescent="0.3">
      <c r="A37" s="1068"/>
      <c r="B37" s="1471" t="s">
        <v>356</v>
      </c>
      <c r="C37" s="1472"/>
      <c r="D37" s="1111">
        <f t="shared" si="0"/>
        <v>3356.0729999999999</v>
      </c>
      <c r="E37" s="1111">
        <f t="shared" si="0"/>
        <v>810.60400000000016</v>
      </c>
      <c r="F37" s="1111">
        <f t="shared" si="0"/>
        <v>3619.3339999999998</v>
      </c>
      <c r="G37" s="1111">
        <f t="shared" si="0"/>
        <v>1399.1309999999999</v>
      </c>
      <c r="H37" s="1111">
        <f t="shared" si="0"/>
        <v>1075.902</v>
      </c>
      <c r="I37" s="1111">
        <f t="shared" si="0"/>
        <v>2139.4699999999993</v>
      </c>
      <c r="J37" s="1111">
        <f t="shared" si="0"/>
        <v>1208.1790000000001</v>
      </c>
      <c r="K37" s="1111">
        <f t="shared" si="0"/>
        <v>1826.9420000000002</v>
      </c>
      <c r="L37" s="1111">
        <f t="shared" si="0"/>
        <v>11178.706</v>
      </c>
      <c r="M37" s="1111">
        <f t="shared" si="0"/>
        <v>-2416.02</v>
      </c>
      <c r="N37" s="1111">
        <f t="shared" si="0"/>
        <v>-822.43059999999969</v>
      </c>
      <c r="O37" s="1111">
        <f t="shared" si="0"/>
        <v>-2293.406015</v>
      </c>
      <c r="P37" s="1111">
        <f t="shared" si="0"/>
        <v>-4059.301206000001</v>
      </c>
      <c r="Q37" s="1111">
        <f t="shared" si="0"/>
        <v>-10222.214384999999</v>
      </c>
      <c r="R37" s="1111">
        <f t="shared" si="0"/>
        <v>-210.19353404000037</v>
      </c>
      <c r="S37" s="1111">
        <f t="shared" si="0"/>
        <v>-400.45886588999952</v>
      </c>
      <c r="T37" s="1111">
        <f t="shared" si="0"/>
        <v>1491.8432363000002</v>
      </c>
      <c r="U37" s="1111">
        <f t="shared" si="0"/>
        <v>750.67479755999989</v>
      </c>
      <c r="V37" s="1111">
        <f t="shared" si="0"/>
        <v>959.92330199999981</v>
      </c>
      <c r="W37" s="1111">
        <f t="shared" si="0"/>
        <v>390.17165200000017</v>
      </c>
      <c r="X37" s="1111">
        <f t="shared" si="0"/>
        <v>1047.7771430000003</v>
      </c>
      <c r="Y37" s="1111">
        <f t="shared" si="0"/>
        <v>474.85837100000015</v>
      </c>
      <c r="Z37" s="1111">
        <f t="shared" si="0"/>
        <v>-136.32385544316747</v>
      </c>
      <c r="AA37" s="1111">
        <f t="shared" si="0"/>
        <v>590.88499999999999</v>
      </c>
      <c r="AB37" s="1111">
        <f t="shared" si="0"/>
        <v>1085.5909362500001</v>
      </c>
      <c r="AC37" s="1111">
        <f t="shared" si="0"/>
        <v>29909.825750219999</v>
      </c>
      <c r="AD37" s="1112">
        <f t="shared" si="0"/>
        <v>17110.147394999996</v>
      </c>
      <c r="AE37" s="1112">
        <f t="shared" ref="AE37" si="3">+AE13+AE19+AE25+AE31</f>
        <v>1424.5043633887601</v>
      </c>
      <c r="AF37" s="1112">
        <f t="shared" si="0"/>
        <v>-1925.5230610790445</v>
      </c>
      <c r="AG37" s="1113">
        <f t="shared" si="0"/>
        <v>59364.671424266548</v>
      </c>
      <c r="AH37" s="405"/>
    </row>
    <row r="38" spans="1:34" ht="21" customHeight="1" x14ac:dyDescent="0.3">
      <c r="A38" s="1068"/>
      <c r="B38" s="1471" t="s">
        <v>39</v>
      </c>
      <c r="C38" s="1472"/>
      <c r="D38" s="1111">
        <f t="shared" si="0"/>
        <v>-762.18700000000001</v>
      </c>
      <c r="E38" s="1111">
        <f t="shared" si="0"/>
        <v>-765.98399999999992</v>
      </c>
      <c r="F38" s="1111">
        <f t="shared" si="0"/>
        <v>-889.6149999999999</v>
      </c>
      <c r="G38" s="1111">
        <f t="shared" si="0"/>
        <v>-965.10900000000004</v>
      </c>
      <c r="H38" s="1111">
        <f t="shared" si="0"/>
        <v>-949.28499999999997</v>
      </c>
      <c r="I38" s="1111">
        <f t="shared" si="0"/>
        <v>-961.51099999999997</v>
      </c>
      <c r="J38" s="1111">
        <f t="shared" si="0"/>
        <v>-1166.223</v>
      </c>
      <c r="K38" s="1111">
        <f t="shared" si="0"/>
        <v>-1406.0690000000002</v>
      </c>
      <c r="L38" s="1111">
        <f t="shared" si="0"/>
        <v>-1610.2900000000002</v>
      </c>
      <c r="M38" s="1111">
        <f t="shared" si="0"/>
        <v>-1687.3100000000002</v>
      </c>
      <c r="N38" s="1111">
        <f t="shared" si="0"/>
        <v>-1586.6162750000001</v>
      </c>
      <c r="O38" s="1111">
        <f t="shared" si="0"/>
        <v>-1227.4950059999999</v>
      </c>
      <c r="P38" s="1111">
        <f t="shared" si="0"/>
        <v>-1254.5962950000001</v>
      </c>
      <c r="Q38" s="1111">
        <f t="shared" si="0"/>
        <v>-912.78031800000008</v>
      </c>
      <c r="R38" s="1111">
        <f t="shared" si="0"/>
        <v>-847.82981900000004</v>
      </c>
      <c r="S38" s="1111">
        <f t="shared" si="0"/>
        <v>-705.58286910000004</v>
      </c>
      <c r="T38" s="1111">
        <f t="shared" si="0"/>
        <v>-562.56332089</v>
      </c>
      <c r="U38" s="1111">
        <f t="shared" si="0"/>
        <v>-533.86784188000013</v>
      </c>
      <c r="V38" s="1111">
        <f t="shared" si="0"/>
        <v>-487.493923</v>
      </c>
      <c r="W38" s="1111">
        <f t="shared" si="0"/>
        <v>-489.42686699999996</v>
      </c>
      <c r="X38" s="1111">
        <f t="shared" si="0"/>
        <v>-555.42711199999997</v>
      </c>
      <c r="Y38" s="1111">
        <f t="shared" si="0"/>
        <v>-548.34751500000004</v>
      </c>
      <c r="Z38" s="1111">
        <f t="shared" si="0"/>
        <v>-621.79396033337594</v>
      </c>
      <c r="AA38" s="1111">
        <f t="shared" si="0"/>
        <v>-618.89</v>
      </c>
      <c r="AB38" s="1111">
        <f t="shared" si="0"/>
        <v>-619.75356099999999</v>
      </c>
      <c r="AC38" s="1111">
        <f t="shared" si="0"/>
        <v>-842.37704299999996</v>
      </c>
      <c r="AD38" s="1112">
        <f t="shared" si="0"/>
        <v>-2077.6741769999999</v>
      </c>
      <c r="AE38" s="1112">
        <f t="shared" ref="AE38" si="4">+AE14+AE20+AE26+AE32</f>
        <v>-1972.0495809727163</v>
      </c>
      <c r="AF38" s="1112">
        <f t="shared" si="0"/>
        <v>-1854.8124163387029</v>
      </c>
      <c r="AG38" s="1113">
        <f t="shared" si="0"/>
        <v>-29482.960900514798</v>
      </c>
      <c r="AH38" s="405"/>
    </row>
    <row r="39" spans="1:34" ht="27" customHeight="1" thickBot="1" x14ac:dyDescent="0.35">
      <c r="A39" s="1068"/>
      <c r="B39" s="1457" t="s">
        <v>40</v>
      </c>
      <c r="C39" s="1458"/>
      <c r="D39" s="1114">
        <f t="shared" si="0"/>
        <v>2593.886</v>
      </c>
      <c r="E39" s="1114">
        <f t="shared" si="0"/>
        <v>44.620000000000054</v>
      </c>
      <c r="F39" s="1114">
        <f t="shared" si="0"/>
        <v>2729.7190000000001</v>
      </c>
      <c r="G39" s="1114">
        <f t="shared" si="0"/>
        <v>434.02200000000005</v>
      </c>
      <c r="H39" s="1114">
        <f t="shared" si="0"/>
        <v>126.61700000000005</v>
      </c>
      <c r="I39" s="1114">
        <f t="shared" si="0"/>
        <v>1177.9589999999998</v>
      </c>
      <c r="J39" s="1114">
        <f t="shared" si="0"/>
        <v>41.956000000000245</v>
      </c>
      <c r="K39" s="1114">
        <f t="shared" si="0"/>
        <v>420.87300000000027</v>
      </c>
      <c r="L39" s="1114">
        <f t="shared" si="0"/>
        <v>9568.4159999999993</v>
      </c>
      <c r="M39" s="1114">
        <f t="shared" si="0"/>
        <v>-4103.33</v>
      </c>
      <c r="N39" s="1114">
        <f t="shared" si="0"/>
        <v>-2409.0468749999995</v>
      </c>
      <c r="O39" s="1114">
        <f t="shared" si="0"/>
        <v>-3520.9010210000001</v>
      </c>
      <c r="P39" s="1114">
        <f t="shared" si="0"/>
        <v>-5313.8975010000004</v>
      </c>
      <c r="Q39" s="1114">
        <f t="shared" si="0"/>
        <v>-11134.994703000002</v>
      </c>
      <c r="R39" s="1114">
        <f t="shared" si="0"/>
        <v>-1058.0233530400003</v>
      </c>
      <c r="S39" s="1114">
        <f t="shared" si="0"/>
        <v>-1106.0417349899994</v>
      </c>
      <c r="T39" s="1114">
        <f t="shared" si="0"/>
        <v>929.27991541000017</v>
      </c>
      <c r="U39" s="1114">
        <f t="shared" si="0"/>
        <v>216.80695567999987</v>
      </c>
      <c r="V39" s="1114">
        <f t="shared" si="0"/>
        <v>472.42937899999981</v>
      </c>
      <c r="W39" s="1114">
        <f t="shared" si="0"/>
        <v>-99.255214999999794</v>
      </c>
      <c r="X39" s="1114">
        <f t="shared" si="0"/>
        <v>492.35003100000029</v>
      </c>
      <c r="Y39" s="1114">
        <f t="shared" si="0"/>
        <v>-73.489143999999868</v>
      </c>
      <c r="Z39" s="1114">
        <f t="shared" si="0"/>
        <v>-758.11781577654335</v>
      </c>
      <c r="AA39" s="1114">
        <f t="shared" si="0"/>
        <v>-28.005000000000003</v>
      </c>
      <c r="AB39" s="1114">
        <f t="shared" si="0"/>
        <v>465.83737525000004</v>
      </c>
      <c r="AC39" s="1114">
        <f t="shared" si="0"/>
        <v>29067.448707219999</v>
      </c>
      <c r="AD39" s="1115">
        <f t="shared" si="0"/>
        <v>15032.473217999999</v>
      </c>
      <c r="AE39" s="1115">
        <f t="shared" ref="AE39" si="5">+AE15+AE21+AE27+AE33</f>
        <v>-547.5452175839564</v>
      </c>
      <c r="AF39" s="1115">
        <f>+AF15+AF21+AF27+AF33</f>
        <v>-3780.3354774177478</v>
      </c>
      <c r="AG39" s="1116">
        <f t="shared" si="0"/>
        <v>29881.71052375175</v>
      </c>
      <c r="AH39" s="405"/>
    </row>
    <row r="40" spans="1:34" ht="15" thickTop="1" x14ac:dyDescent="0.3"/>
    <row r="41" spans="1:34" x14ac:dyDescent="0.3">
      <c r="AA41" s="1117"/>
    </row>
    <row r="42" spans="1:34" x14ac:dyDescent="0.3">
      <c r="D42" s="1117"/>
      <c r="E42" s="1117"/>
      <c r="F42" s="1117"/>
      <c r="G42" s="1117"/>
      <c r="H42" s="1117"/>
      <c r="I42" s="1117"/>
      <c r="J42" s="1117"/>
      <c r="K42" s="1117"/>
      <c r="L42" s="1117"/>
      <c r="M42" s="1117"/>
      <c r="N42" s="1117"/>
      <c r="O42" s="1117"/>
      <c r="P42" s="1117"/>
      <c r="Q42" s="1117"/>
      <c r="R42" s="1117"/>
      <c r="S42" s="1117"/>
      <c r="T42" s="1117"/>
      <c r="U42" s="1117"/>
      <c r="V42" s="1117"/>
      <c r="W42" s="1117"/>
      <c r="X42" s="1117"/>
      <c r="Y42" s="1117"/>
      <c r="Z42" s="1117"/>
      <c r="AA42" s="1117"/>
      <c r="AB42" s="1117"/>
      <c r="AC42" s="405"/>
      <c r="AD42" s="405"/>
      <c r="AE42" s="405"/>
      <c r="AF42" s="405"/>
      <c r="AG42" s="1117"/>
    </row>
    <row r="43" spans="1:34" x14ac:dyDescent="0.3">
      <c r="D43" s="1117"/>
      <c r="E43" s="1117"/>
      <c r="F43" s="1117"/>
      <c r="G43" s="1117"/>
      <c r="H43" s="1117"/>
      <c r="I43" s="1117"/>
      <c r="J43" s="1117"/>
      <c r="K43" s="1117"/>
      <c r="L43" s="1117"/>
      <c r="M43" s="1117"/>
      <c r="N43" s="1117"/>
      <c r="O43" s="1117"/>
      <c r="P43" s="1117"/>
      <c r="Q43" s="1117"/>
      <c r="R43" s="1117"/>
      <c r="S43" s="1117"/>
      <c r="T43" s="1117"/>
      <c r="U43" s="1117"/>
      <c r="V43" s="1117"/>
      <c r="W43" s="1117"/>
      <c r="X43" s="1117"/>
      <c r="Y43" s="1117"/>
      <c r="Z43" s="1117"/>
      <c r="AA43" s="1117"/>
      <c r="AB43" s="1117"/>
      <c r="AC43" s="1117"/>
      <c r="AD43" s="1117"/>
      <c r="AE43" s="1117"/>
      <c r="AG43" s="1117"/>
    </row>
    <row r="44" spans="1:34" x14ac:dyDescent="0.3">
      <c r="D44" s="1117"/>
      <c r="E44" s="1117"/>
      <c r="F44" s="1117"/>
      <c r="G44" s="1117"/>
      <c r="H44" s="1117"/>
      <c r="I44" s="1117"/>
      <c r="J44" s="1117"/>
      <c r="K44" s="1117"/>
      <c r="L44" s="1117"/>
      <c r="M44" s="1117"/>
      <c r="N44" s="1117"/>
      <c r="O44" s="1117"/>
      <c r="P44" s="1117"/>
      <c r="Q44" s="1117"/>
      <c r="R44" s="1117"/>
      <c r="S44" s="1117"/>
      <c r="T44" s="1117"/>
      <c r="U44" s="1117"/>
      <c r="V44" s="1117"/>
      <c r="W44" s="1117"/>
      <c r="X44" s="1117"/>
      <c r="Y44" s="1117"/>
      <c r="Z44" s="1117"/>
      <c r="AA44" s="1117"/>
      <c r="AB44" s="1117"/>
      <c r="AC44" s="1117"/>
      <c r="AD44" s="1117"/>
      <c r="AE44" s="1117"/>
      <c r="AG44" s="1117"/>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J119"/>
  <sheetViews>
    <sheetView showGridLines="0" zoomScale="85" zoomScaleNormal="85" zoomScaleSheetLayoutView="85" workbookViewId="0"/>
  </sheetViews>
  <sheetFormatPr baseColWidth="10" defaultColWidth="11.44140625" defaultRowHeight="14.4" x14ac:dyDescent="0.25"/>
  <cols>
    <col min="1" max="1" width="6.44140625" style="290" bestFit="1" customWidth="1"/>
    <col min="2" max="2" width="28.5546875" style="1119" customWidth="1"/>
    <col min="3" max="3" width="19.44140625" style="1119" bestFit="1" customWidth="1"/>
    <col min="4" max="6" width="13.21875" style="1119" customWidth="1"/>
    <col min="7" max="16384" width="11.44140625" style="1119"/>
  </cols>
  <sheetData>
    <row r="1" spans="1:7" ht="15" x14ac:dyDescent="0.25">
      <c r="A1" s="54" t="s">
        <v>216</v>
      </c>
      <c r="B1" s="1118"/>
    </row>
    <row r="2" spans="1:7" ht="15" customHeight="1" x14ac:dyDescent="0.25">
      <c r="A2" s="1120"/>
      <c r="B2" s="4" t="str">
        <f>+INDICE!B2</f>
        <v>MINISTERIO DE ECONOMÍA</v>
      </c>
      <c r="C2" s="1121"/>
      <c r="D2" s="1121"/>
      <c r="E2" s="1121"/>
      <c r="F2" s="1121"/>
    </row>
    <row r="3" spans="1:7" ht="15" customHeight="1" x14ac:dyDescent="0.25">
      <c r="A3" s="1120"/>
      <c r="B3" s="4" t="str">
        <f>+INDICE!B3</f>
        <v>SECRETARÍA DE FINANZAS</v>
      </c>
      <c r="C3" s="1121"/>
      <c r="D3" s="1121"/>
      <c r="E3" s="1121"/>
      <c r="F3" s="1121"/>
    </row>
    <row r="4" spans="1:7" x14ac:dyDescent="0.25">
      <c r="B4" s="1122"/>
      <c r="C4" s="1121"/>
      <c r="D4" s="1121"/>
      <c r="E4" s="1121"/>
      <c r="F4" s="1121"/>
    </row>
    <row r="5" spans="1:7" x14ac:dyDescent="0.25">
      <c r="B5" s="1122"/>
      <c r="C5" s="1121"/>
      <c r="D5" s="1121"/>
      <c r="E5" s="1121"/>
      <c r="F5" s="1121"/>
    </row>
    <row r="6" spans="1:7" ht="51" customHeight="1" x14ac:dyDescent="0.25">
      <c r="B6" s="1473" t="s">
        <v>657</v>
      </c>
      <c r="C6" s="1473"/>
      <c r="D6" s="1473"/>
      <c r="E6" s="1473"/>
      <c r="F6" s="1473"/>
    </row>
    <row r="7" spans="1:7" ht="15" x14ac:dyDescent="0.25">
      <c r="B7" s="1474" t="s">
        <v>484</v>
      </c>
      <c r="C7" s="1474"/>
      <c r="D7" s="1474"/>
      <c r="E7" s="1474"/>
      <c r="F7" s="1474"/>
    </row>
    <row r="8" spans="1:7" x14ac:dyDescent="0.25">
      <c r="B8" s="1121"/>
      <c r="C8" s="1121"/>
      <c r="D8" s="1121"/>
      <c r="E8" s="1121"/>
      <c r="F8" s="1121"/>
    </row>
    <row r="9" spans="1:7" ht="15" thickBot="1" x14ac:dyDescent="0.3">
      <c r="B9" s="59" t="s">
        <v>485</v>
      </c>
      <c r="C9" s="59"/>
      <c r="D9" s="59"/>
      <c r="E9" s="59"/>
      <c r="F9" s="59"/>
    </row>
    <row r="10" spans="1:7" ht="31.2" thickTop="1" thickBot="1" x14ac:dyDescent="0.3">
      <c r="B10" s="1123" t="s">
        <v>486</v>
      </c>
      <c r="C10" s="1124" t="s">
        <v>487</v>
      </c>
      <c r="D10" s="1124" t="s">
        <v>488</v>
      </c>
      <c r="E10" s="1124" t="s">
        <v>489</v>
      </c>
      <c r="F10" s="1125" t="s">
        <v>490</v>
      </c>
    </row>
    <row r="11" spans="1:7" ht="15" thickTop="1" x14ac:dyDescent="0.25">
      <c r="B11" s="1126">
        <v>34669</v>
      </c>
      <c r="C11" s="1127">
        <f>+D11+E11</f>
        <v>80.67880000000001</v>
      </c>
      <c r="D11" s="1128">
        <v>60.890779999999999</v>
      </c>
      <c r="E11" s="1128">
        <v>19.78802000000001</v>
      </c>
      <c r="F11" s="1129">
        <f t="shared" ref="F11:F30" si="0">+D11/C11</f>
        <v>0.75473085866423384</v>
      </c>
      <c r="G11" s="1130"/>
    </row>
    <row r="12" spans="1:7" x14ac:dyDescent="0.25">
      <c r="A12" s="1131"/>
      <c r="B12" s="1126">
        <v>35034</v>
      </c>
      <c r="C12" s="1127">
        <f t="shared" ref="C12:C75" si="1">+D12+E12</f>
        <v>87.090999999999994</v>
      </c>
      <c r="D12" s="1128">
        <v>66.360939999999999</v>
      </c>
      <c r="E12" s="1128">
        <v>20.730059999999995</v>
      </c>
      <c r="F12" s="1129">
        <f t="shared" si="0"/>
        <v>0.76197241965300666</v>
      </c>
      <c r="G12" s="1130"/>
    </row>
    <row r="13" spans="1:7" x14ac:dyDescent="0.25">
      <c r="B13" s="1126">
        <v>35400</v>
      </c>
      <c r="C13" s="1127">
        <f t="shared" si="1"/>
        <v>97.105034000000003</v>
      </c>
      <c r="D13" s="1128">
        <v>72.907479999999993</v>
      </c>
      <c r="E13" s="1128">
        <v>24.197554000000011</v>
      </c>
      <c r="F13" s="1129">
        <f t="shared" si="0"/>
        <v>0.75081050895878365</v>
      </c>
      <c r="G13" s="1130"/>
    </row>
    <row r="14" spans="1:7" x14ac:dyDescent="0.25">
      <c r="B14" s="1126">
        <v>35765</v>
      </c>
      <c r="C14" s="1127">
        <f t="shared" si="1"/>
        <v>101.10097</v>
      </c>
      <c r="D14" s="1128">
        <v>72.871874685562389</v>
      </c>
      <c r="E14" s="1128">
        <v>28.229095314437615</v>
      </c>
      <c r="F14" s="1129">
        <f t="shared" si="0"/>
        <v>0.72078314071133431</v>
      </c>
      <c r="G14" s="1130"/>
    </row>
    <row r="15" spans="1:7" x14ac:dyDescent="0.25">
      <c r="B15" s="1126">
        <v>35855</v>
      </c>
      <c r="C15" s="1127">
        <f t="shared" si="1"/>
        <v>103.138215</v>
      </c>
      <c r="D15" s="1128">
        <v>73.147054036038583</v>
      </c>
      <c r="E15" s="1128">
        <v>29.99116096396142</v>
      </c>
      <c r="F15" s="1129">
        <f t="shared" si="0"/>
        <v>0.70921388387455209</v>
      </c>
      <c r="G15" s="1130"/>
    </row>
    <row r="16" spans="1:7" x14ac:dyDescent="0.25">
      <c r="B16" s="1126">
        <v>35947</v>
      </c>
      <c r="C16" s="1127">
        <f t="shared" si="1"/>
        <v>105.11323899999999</v>
      </c>
      <c r="D16" s="1128">
        <v>74.463901863181434</v>
      </c>
      <c r="E16" s="1128">
        <v>30.649337136818559</v>
      </c>
      <c r="F16" s="1129">
        <f t="shared" si="0"/>
        <v>0.70841601468661275</v>
      </c>
      <c r="G16" s="1130"/>
    </row>
    <row r="17" spans="2:7" s="1119" customFormat="1" x14ac:dyDescent="0.25">
      <c r="B17" s="1126">
        <v>36039</v>
      </c>
      <c r="C17" s="1127">
        <f t="shared" si="1"/>
        <v>109.37621899999999</v>
      </c>
      <c r="D17" s="1128">
        <v>77.487813953657636</v>
      </c>
      <c r="E17" s="1128">
        <v>31.888405046342356</v>
      </c>
      <c r="F17" s="1129">
        <f t="shared" si="0"/>
        <v>0.70845211749052728</v>
      </c>
      <c r="G17" s="1130"/>
    </row>
    <row r="18" spans="2:7" s="1119" customFormat="1" x14ac:dyDescent="0.25">
      <c r="B18" s="1126">
        <v>36130</v>
      </c>
      <c r="C18" s="1127">
        <f t="shared" si="1"/>
        <v>112.35724600000002</v>
      </c>
      <c r="D18" s="1128">
        <v>81.152901187211896</v>
      </c>
      <c r="E18" s="1128">
        <v>31.204344812788122</v>
      </c>
      <c r="F18" s="1129">
        <f t="shared" si="0"/>
        <v>0.72227563487282243</v>
      </c>
      <c r="G18" s="1130"/>
    </row>
    <row r="19" spans="2:7" s="1119" customFormat="1" x14ac:dyDescent="0.25">
      <c r="B19" s="1126">
        <v>36220</v>
      </c>
      <c r="C19" s="1127">
        <f t="shared" si="1"/>
        <v>113.600734</v>
      </c>
      <c r="D19" s="1128">
        <v>79.350036887688091</v>
      </c>
      <c r="E19" s="1128">
        <v>34.250697112311911</v>
      </c>
      <c r="F19" s="1129">
        <f t="shared" si="0"/>
        <v>0.69849933265121411</v>
      </c>
      <c r="G19" s="1130"/>
    </row>
    <row r="20" spans="2:7" s="1119" customFormat="1" x14ac:dyDescent="0.25">
      <c r="B20" s="1126">
        <v>36312</v>
      </c>
      <c r="C20" s="1127">
        <f t="shared" si="1"/>
        <v>115.366322</v>
      </c>
      <c r="D20" s="1128">
        <v>79.789514525655477</v>
      </c>
      <c r="E20" s="1128">
        <v>35.57680747434452</v>
      </c>
      <c r="F20" s="1129">
        <f t="shared" si="0"/>
        <v>0.69161877697423235</v>
      </c>
      <c r="G20" s="1130"/>
    </row>
    <row r="21" spans="2:7" s="1119" customFormat="1" x14ac:dyDescent="0.25">
      <c r="B21" s="1126">
        <v>36404</v>
      </c>
      <c r="C21" s="1127">
        <f t="shared" si="1"/>
        <v>118.79364100000001</v>
      </c>
      <c r="D21" s="1128">
        <v>80.823510011480138</v>
      </c>
      <c r="E21" s="1128">
        <v>37.97013098851987</v>
      </c>
      <c r="F21" s="1129">
        <f t="shared" si="0"/>
        <v>0.68036899392182226</v>
      </c>
      <c r="G21" s="1130"/>
    </row>
    <row r="22" spans="2:7" s="1119" customFormat="1" x14ac:dyDescent="0.25">
      <c r="B22" s="1126">
        <v>36525</v>
      </c>
      <c r="C22" s="1127">
        <f t="shared" si="1"/>
        <v>121.87698899999998</v>
      </c>
      <c r="D22" s="1128">
        <v>82.473843121517334</v>
      </c>
      <c r="E22" s="1128">
        <v>39.403145878482647</v>
      </c>
      <c r="F22" s="1129">
        <f t="shared" si="0"/>
        <v>0.67669741267990591</v>
      </c>
      <c r="G22" s="1130"/>
    </row>
    <row r="23" spans="2:7" s="1119" customFormat="1" x14ac:dyDescent="0.25">
      <c r="B23" s="1126">
        <v>36616</v>
      </c>
      <c r="C23" s="1127">
        <f t="shared" si="1"/>
        <v>122.92013499999999</v>
      </c>
      <c r="D23" s="1128">
        <v>81.941096864934934</v>
      </c>
      <c r="E23" s="1128">
        <v>40.979038135065053</v>
      </c>
      <c r="F23" s="1129">
        <f t="shared" si="0"/>
        <v>0.66662062212130624</v>
      </c>
      <c r="G23" s="1130"/>
    </row>
    <row r="24" spans="2:7" s="1119" customFormat="1" x14ac:dyDescent="0.25">
      <c r="B24" s="1126">
        <v>36707</v>
      </c>
      <c r="C24" s="1127">
        <f t="shared" si="1"/>
        <v>123.52233585799999</v>
      </c>
      <c r="D24" s="1128">
        <v>81.622402065135688</v>
      </c>
      <c r="E24" s="1128">
        <v>41.899933792864303</v>
      </c>
      <c r="F24" s="1129">
        <f t="shared" si="0"/>
        <v>0.66079062946937761</v>
      </c>
      <c r="G24" s="1130"/>
    </row>
    <row r="25" spans="2:7" s="1119" customFormat="1" x14ac:dyDescent="0.25">
      <c r="B25" s="1126">
        <v>36799</v>
      </c>
      <c r="C25" s="1127">
        <f t="shared" si="1"/>
        <v>123.66611999999999</v>
      </c>
      <c r="D25" s="1128">
        <v>78.41624640084504</v>
      </c>
      <c r="E25" s="1128">
        <v>45.249873599154952</v>
      </c>
      <c r="F25" s="1129">
        <f t="shared" si="0"/>
        <v>0.63409643967842644</v>
      </c>
      <c r="G25" s="1130"/>
    </row>
    <row r="26" spans="2:7" s="1119" customFormat="1" x14ac:dyDescent="0.25">
      <c r="B26" s="1126">
        <v>36891</v>
      </c>
      <c r="C26" s="1127">
        <f t="shared" si="1"/>
        <v>128.018462</v>
      </c>
      <c r="D26" s="1128">
        <v>81.396831382396854</v>
      </c>
      <c r="E26" s="1128">
        <v>46.621630617603145</v>
      </c>
      <c r="F26" s="1129">
        <f t="shared" si="0"/>
        <v>0.63582103792495848</v>
      </c>
      <c r="G26" s="1130"/>
    </row>
    <row r="27" spans="2:7" s="1119" customFormat="1" x14ac:dyDescent="0.25">
      <c r="B27" s="1126">
        <v>36981</v>
      </c>
      <c r="C27" s="1127">
        <f t="shared" si="1"/>
        <v>127.40131300000002</v>
      </c>
      <c r="D27" s="1128">
        <v>79.863905308167318</v>
      </c>
      <c r="E27" s="1128">
        <v>47.537407691832698</v>
      </c>
      <c r="F27" s="1129">
        <f t="shared" si="0"/>
        <v>0.62686877731132418</v>
      </c>
      <c r="G27" s="1130"/>
    </row>
    <row r="28" spans="2:7" s="1119" customFormat="1" x14ac:dyDescent="0.25">
      <c r="B28" s="1126">
        <v>37072</v>
      </c>
      <c r="C28" s="1127">
        <f t="shared" si="1"/>
        <v>132.14300400000002</v>
      </c>
      <c r="D28" s="1128">
        <v>79.440651091643872</v>
      </c>
      <c r="E28" s="1128">
        <v>52.702352908356147</v>
      </c>
      <c r="F28" s="1129">
        <f t="shared" si="0"/>
        <v>0.60117182663445323</v>
      </c>
      <c r="G28" s="1130"/>
    </row>
    <row r="29" spans="2:7" s="1119" customFormat="1" x14ac:dyDescent="0.25">
      <c r="B29" s="1126">
        <v>37164</v>
      </c>
      <c r="C29" s="1127">
        <f t="shared" si="1"/>
        <v>141.252377</v>
      </c>
      <c r="D29" s="1128">
        <v>88.025936751179486</v>
      </c>
      <c r="E29" s="1128">
        <v>53.226440248820509</v>
      </c>
      <c r="F29" s="1129">
        <f t="shared" si="0"/>
        <v>0.62318198546973469</v>
      </c>
      <c r="G29" s="1130"/>
    </row>
    <row r="30" spans="2:7" s="1119" customFormat="1" x14ac:dyDescent="0.25">
      <c r="B30" s="1126">
        <v>37256</v>
      </c>
      <c r="C30" s="1127">
        <f t="shared" si="1"/>
        <v>144.45264800000001</v>
      </c>
      <c r="D30" s="1128">
        <v>84.564217810528916</v>
      </c>
      <c r="E30" s="1128">
        <v>59.888430189471094</v>
      </c>
      <c r="F30" s="1129">
        <f t="shared" si="0"/>
        <v>0.58541133708070836</v>
      </c>
      <c r="G30" s="1130"/>
    </row>
    <row r="31" spans="2:7" s="1119" customFormat="1" x14ac:dyDescent="0.25">
      <c r="B31" s="1126">
        <v>37346</v>
      </c>
      <c r="C31" s="1127">
        <v>112.616083</v>
      </c>
      <c r="D31" s="1128" t="s">
        <v>491</v>
      </c>
      <c r="E31" s="1128" t="s">
        <v>491</v>
      </c>
      <c r="F31" s="1132" t="s">
        <v>491</v>
      </c>
      <c r="G31" s="1130"/>
    </row>
    <row r="32" spans="2:7" s="1119" customFormat="1" x14ac:dyDescent="0.25">
      <c r="B32" s="1126">
        <v>37437</v>
      </c>
      <c r="C32" s="1127">
        <f t="shared" si="1"/>
        <v>114.55845100000001</v>
      </c>
      <c r="D32" s="1128">
        <v>84.341264316442448</v>
      </c>
      <c r="E32" s="1128">
        <v>30.217186683557557</v>
      </c>
      <c r="F32" s="1129">
        <f t="shared" ref="F32:F53" si="2">+D32/C32</f>
        <v>0.73622909161404815</v>
      </c>
      <c r="G32" s="1130"/>
    </row>
    <row r="33" spans="2:7" s="1119" customFormat="1" x14ac:dyDescent="0.25">
      <c r="B33" s="1126">
        <v>37529</v>
      </c>
      <c r="C33" s="1127">
        <f t="shared" si="1"/>
        <v>129.79418899999999</v>
      </c>
      <c r="D33" s="1128">
        <v>84.516563636719056</v>
      </c>
      <c r="E33" s="1128">
        <v>45.277625363280933</v>
      </c>
      <c r="F33" s="1129">
        <f t="shared" si="2"/>
        <v>0.65115830136832287</v>
      </c>
      <c r="G33" s="1130"/>
    </row>
    <row r="34" spans="2:7" s="1119" customFormat="1" x14ac:dyDescent="0.25">
      <c r="B34" s="1126">
        <v>37621</v>
      </c>
      <c r="C34" s="1127">
        <f t="shared" si="1"/>
        <v>137.31977900000001</v>
      </c>
      <c r="D34" s="1128">
        <v>87.604484465061049</v>
      </c>
      <c r="E34" s="1128">
        <v>49.715294534938963</v>
      </c>
      <c r="F34" s="1129">
        <f t="shared" si="2"/>
        <v>0.63795969599587721</v>
      </c>
      <c r="G34" s="1130"/>
    </row>
    <row r="35" spans="2:7" s="1119" customFormat="1" x14ac:dyDescent="0.25">
      <c r="B35" s="1126">
        <v>37711</v>
      </c>
      <c r="C35" s="1127">
        <f t="shared" si="1"/>
        <v>145.50357500000001</v>
      </c>
      <c r="D35" s="1128">
        <v>90.491554544571002</v>
      </c>
      <c r="E35" s="1128">
        <v>55.01202045542901</v>
      </c>
      <c r="F35" s="1129">
        <f t="shared" si="2"/>
        <v>0.62191980193318963</v>
      </c>
      <c r="G35" s="1130"/>
    </row>
    <row r="36" spans="2:7" s="1119" customFormat="1" x14ac:dyDescent="0.25">
      <c r="B36" s="1126">
        <v>37802</v>
      </c>
      <c r="C36" s="1127">
        <f t="shared" si="1"/>
        <v>152.58703199999999</v>
      </c>
      <c r="D36" s="1128">
        <v>94.250496187949466</v>
      </c>
      <c r="E36" s="1128">
        <v>58.336535812050528</v>
      </c>
      <c r="F36" s="1129">
        <f t="shared" si="2"/>
        <v>0.61768352757493483</v>
      </c>
      <c r="G36" s="1130"/>
    </row>
    <row r="37" spans="2:7" s="1119" customFormat="1" x14ac:dyDescent="0.25">
      <c r="B37" s="1126">
        <v>37894</v>
      </c>
      <c r="C37" s="1127">
        <f t="shared" si="1"/>
        <v>169.61590200000001</v>
      </c>
      <c r="D37" s="1128">
        <v>96.848236750227755</v>
      </c>
      <c r="E37" s="1128">
        <v>72.76766524977225</v>
      </c>
      <c r="F37" s="1129">
        <f t="shared" si="2"/>
        <v>0.57098559514913738</v>
      </c>
      <c r="G37" s="1130"/>
    </row>
    <row r="38" spans="2:7" s="1119" customFormat="1" x14ac:dyDescent="0.25">
      <c r="B38" s="1126">
        <v>37986</v>
      </c>
      <c r="C38" s="1127">
        <f t="shared" si="1"/>
        <v>178.820536</v>
      </c>
      <c r="D38" s="1128">
        <v>102.00756463778067</v>
      </c>
      <c r="E38" s="1128">
        <v>76.812971362219329</v>
      </c>
      <c r="F38" s="1129">
        <f t="shared" si="2"/>
        <v>0.57044658806850168</v>
      </c>
      <c r="G38" s="1130"/>
    </row>
    <row r="39" spans="2:7" s="1119" customFormat="1" x14ac:dyDescent="0.25">
      <c r="B39" s="1126">
        <v>38077</v>
      </c>
      <c r="C39" s="1127">
        <f t="shared" si="1"/>
        <v>180.035403</v>
      </c>
      <c r="D39" s="1128">
        <v>103.42609623326902</v>
      </c>
      <c r="E39" s="1128">
        <v>76.609306766730981</v>
      </c>
      <c r="F39" s="1129">
        <f t="shared" si="2"/>
        <v>0.5744764335782836</v>
      </c>
      <c r="G39" s="1130"/>
    </row>
    <row r="40" spans="2:7" s="1119" customFormat="1" x14ac:dyDescent="0.25">
      <c r="B40" s="1126">
        <v>38168</v>
      </c>
      <c r="C40" s="1127">
        <f t="shared" si="1"/>
        <v>181.202279</v>
      </c>
      <c r="D40" s="1128">
        <v>104.08178586257442</v>
      </c>
      <c r="E40" s="1128">
        <v>77.120493137425584</v>
      </c>
      <c r="F40" s="1129">
        <f t="shared" si="2"/>
        <v>0.57439556741212083</v>
      </c>
      <c r="G40" s="1130"/>
    </row>
    <row r="41" spans="2:7" s="1119" customFormat="1" x14ac:dyDescent="0.25">
      <c r="B41" s="1126">
        <v>38260</v>
      </c>
      <c r="C41" s="1127">
        <f t="shared" si="1"/>
        <v>182.506699</v>
      </c>
      <c r="D41" s="1128">
        <v>106.50334934992678</v>
      </c>
      <c r="E41" s="1128">
        <v>76.003349650073218</v>
      </c>
      <c r="F41" s="1129">
        <f t="shared" si="2"/>
        <v>0.58355857584124504</v>
      </c>
      <c r="G41" s="1130"/>
    </row>
    <row r="42" spans="2:7" s="1119" customFormat="1" x14ac:dyDescent="0.25">
      <c r="B42" s="1126">
        <v>38352</v>
      </c>
      <c r="C42" s="1127">
        <f t="shared" si="1"/>
        <v>191.29553300000001</v>
      </c>
      <c r="D42" s="1128">
        <v>111.62778927551111</v>
      </c>
      <c r="E42" s="1128">
        <v>79.667743724488901</v>
      </c>
      <c r="F42" s="1129">
        <f t="shared" si="2"/>
        <v>0.58353578635582204</v>
      </c>
      <c r="G42" s="1130"/>
    </row>
    <row r="43" spans="2:7" s="1119" customFormat="1" x14ac:dyDescent="0.25">
      <c r="B43" s="1126">
        <v>38442</v>
      </c>
      <c r="C43" s="1127">
        <f t="shared" si="1"/>
        <v>189.75363200000001</v>
      </c>
      <c r="D43" s="1128">
        <v>110.10381750059611</v>
      </c>
      <c r="E43" s="1128">
        <v>79.649814499403902</v>
      </c>
      <c r="F43" s="1129">
        <f t="shared" si="2"/>
        <v>0.58024616625307124</v>
      </c>
      <c r="G43" s="1130"/>
    </row>
    <row r="44" spans="2:7" s="1119" customFormat="1" x14ac:dyDescent="0.25">
      <c r="B44" s="1126">
        <v>38533</v>
      </c>
      <c r="C44" s="1127">
        <f t="shared" si="1"/>
        <v>126.46626000000001</v>
      </c>
      <c r="D44" s="1128">
        <v>59.686259563410907</v>
      </c>
      <c r="E44" s="1128">
        <v>66.780000436589091</v>
      </c>
      <c r="F44" s="1129">
        <f t="shared" si="2"/>
        <v>0.47195401811843651</v>
      </c>
      <c r="G44" s="1130"/>
    </row>
    <row r="45" spans="2:7" s="1119" customFormat="1" x14ac:dyDescent="0.25">
      <c r="B45" s="1126">
        <v>38625</v>
      </c>
      <c r="C45" s="1127">
        <f t="shared" si="1"/>
        <v>125.405686</v>
      </c>
      <c r="D45" s="1128">
        <v>59.817819940629946</v>
      </c>
      <c r="E45" s="1128">
        <v>65.587866059370057</v>
      </c>
      <c r="F45" s="1129">
        <f t="shared" si="2"/>
        <v>0.47699447966521985</v>
      </c>
      <c r="G45" s="1130"/>
    </row>
    <row r="46" spans="2:7" s="1119" customFormat="1" x14ac:dyDescent="0.25">
      <c r="B46" s="1126">
        <v>38717</v>
      </c>
      <c r="C46" s="1127">
        <f t="shared" si="1"/>
        <v>128.629603</v>
      </c>
      <c r="D46" s="1128">
        <v>60.925680243151497</v>
      </c>
      <c r="E46" s="1128">
        <v>67.703922756848499</v>
      </c>
      <c r="F46" s="1129">
        <f t="shared" si="2"/>
        <v>0.473652089582765</v>
      </c>
      <c r="G46" s="1130"/>
    </row>
    <row r="47" spans="2:7" s="1119" customFormat="1" x14ac:dyDescent="0.25">
      <c r="B47" s="1126">
        <v>38807</v>
      </c>
      <c r="C47" s="1127">
        <f t="shared" si="1"/>
        <v>127.93821</v>
      </c>
      <c r="D47" s="1128">
        <v>52.331824420450552</v>
      </c>
      <c r="E47" s="1128">
        <v>75.606385579549453</v>
      </c>
      <c r="F47" s="1129">
        <f t="shared" si="2"/>
        <v>0.40903983587429082</v>
      </c>
      <c r="G47" s="1130"/>
    </row>
    <row r="48" spans="2:7" s="1119" customFormat="1" x14ac:dyDescent="0.25">
      <c r="B48" s="1126">
        <v>38898</v>
      </c>
      <c r="C48" s="1127">
        <f t="shared" si="1"/>
        <v>130.64958899999999</v>
      </c>
      <c r="D48" s="1128">
        <v>53.963679480984588</v>
      </c>
      <c r="E48" s="1128">
        <v>76.685909519015411</v>
      </c>
      <c r="F48" s="1129">
        <f t="shared" si="2"/>
        <v>0.41304132599287852</v>
      </c>
      <c r="G48" s="1130"/>
    </row>
    <row r="49" spans="2:7" s="1119" customFormat="1" x14ac:dyDescent="0.25">
      <c r="B49" s="1126">
        <v>38990</v>
      </c>
      <c r="C49" s="1127">
        <f t="shared" si="1"/>
        <v>129.60414299999999</v>
      </c>
      <c r="D49" s="1128">
        <v>54.52413563741969</v>
      </c>
      <c r="E49" s="1128">
        <v>75.080007362580304</v>
      </c>
      <c r="F49" s="1129">
        <f t="shared" si="2"/>
        <v>0.42069747444277067</v>
      </c>
      <c r="G49" s="1130"/>
    </row>
    <row r="50" spans="2:7" s="1119" customFormat="1" x14ac:dyDescent="0.25">
      <c r="B50" s="1126">
        <v>39082</v>
      </c>
      <c r="C50" s="1127">
        <f t="shared" si="1"/>
        <v>136.72540499999999</v>
      </c>
      <c r="D50" s="1128">
        <v>56.247088280471573</v>
      </c>
      <c r="E50" s="1128">
        <v>80.478316719528422</v>
      </c>
      <c r="F50" s="1129">
        <f t="shared" si="2"/>
        <v>0.41138724935919241</v>
      </c>
      <c r="G50" s="1130"/>
    </row>
    <row r="51" spans="2:7" s="1119" customFormat="1" x14ac:dyDescent="0.25">
      <c r="B51" s="1126">
        <v>39172</v>
      </c>
      <c r="C51" s="1127">
        <f t="shared" si="1"/>
        <v>136.34812600000001</v>
      </c>
      <c r="D51" s="1128">
        <v>57.73210143012561</v>
      </c>
      <c r="E51" s="1128">
        <v>78.616024569874398</v>
      </c>
      <c r="F51" s="1129">
        <f t="shared" si="2"/>
        <v>0.42341690438873802</v>
      </c>
      <c r="G51" s="1130"/>
    </row>
    <row r="52" spans="2:7" s="1119" customFormat="1" x14ac:dyDescent="0.25">
      <c r="B52" s="1126">
        <v>39263</v>
      </c>
      <c r="C52" s="1127">
        <f t="shared" si="1"/>
        <v>138.31477100000001</v>
      </c>
      <c r="D52" s="1128">
        <v>59.629681830493965</v>
      </c>
      <c r="E52" s="1128">
        <v>78.685089169506043</v>
      </c>
      <c r="F52" s="1129">
        <f t="shared" si="2"/>
        <v>0.43111579044940879</v>
      </c>
      <c r="G52" s="1130"/>
    </row>
    <row r="53" spans="2:7" s="1119" customFormat="1" x14ac:dyDescent="0.25">
      <c r="B53" s="1126">
        <v>39355</v>
      </c>
      <c r="C53" s="1127">
        <f t="shared" si="1"/>
        <v>137.11382109000002</v>
      </c>
      <c r="D53" s="1128">
        <v>59.98795116580186</v>
      </c>
      <c r="E53" s="1128">
        <v>77.125869924198156</v>
      </c>
      <c r="F53" s="1129">
        <f t="shared" si="2"/>
        <v>0.43750477296104545</v>
      </c>
      <c r="G53" s="1130"/>
    </row>
    <row r="54" spans="2:7" s="1119" customFormat="1" x14ac:dyDescent="0.25">
      <c r="B54" s="1126">
        <v>39447</v>
      </c>
      <c r="C54" s="1127">
        <f t="shared" si="1"/>
        <v>144.72864003000001</v>
      </c>
      <c r="D54" s="1133">
        <v>62.131510512779442</v>
      </c>
      <c r="E54" s="1134">
        <v>82.597129517220566</v>
      </c>
      <c r="F54" s="1129">
        <f t="shared" ref="F54:F80" si="3">+D54/C54</f>
        <v>0.42929658220999339</v>
      </c>
      <c r="G54" s="1130"/>
    </row>
    <row r="55" spans="2:7" s="1119" customFormat="1" x14ac:dyDescent="0.25">
      <c r="B55" s="1126">
        <v>39538</v>
      </c>
      <c r="C55" s="1127">
        <f t="shared" si="1"/>
        <v>144.49257474000001</v>
      </c>
      <c r="D55" s="1128">
        <v>63.133045943058804</v>
      </c>
      <c r="E55" s="1128">
        <v>81.359528796941206</v>
      </c>
      <c r="F55" s="1129">
        <f t="shared" si="3"/>
        <v>0.43692934433939201</v>
      </c>
      <c r="G55" s="1130"/>
    </row>
    <row r="56" spans="2:7" s="1119" customFormat="1" x14ac:dyDescent="0.25">
      <c r="B56" s="1126">
        <v>39629</v>
      </c>
      <c r="C56" s="1127">
        <f t="shared" si="1"/>
        <v>149.84739615999999</v>
      </c>
      <c r="D56" s="1128">
        <v>62.453819970845139</v>
      </c>
      <c r="E56" s="1128">
        <v>87.393576189154857</v>
      </c>
      <c r="F56" s="1129">
        <f t="shared" si="3"/>
        <v>0.41678281752830654</v>
      </c>
      <c r="G56" s="1130"/>
    </row>
    <row r="57" spans="2:7" s="1119" customFormat="1" x14ac:dyDescent="0.25">
      <c r="B57" s="1126">
        <v>39721</v>
      </c>
      <c r="C57" s="1127">
        <f t="shared" si="1"/>
        <v>145.70672671</v>
      </c>
      <c r="D57" s="1128">
        <v>58.462893574402649</v>
      </c>
      <c r="E57" s="1128">
        <v>87.243833135597356</v>
      </c>
      <c r="F57" s="1129">
        <f t="shared" si="3"/>
        <v>0.40123675065984638</v>
      </c>
      <c r="G57" s="1130"/>
    </row>
    <row r="58" spans="2:7" s="1119" customFormat="1" x14ac:dyDescent="0.25">
      <c r="B58" s="1126">
        <v>39813</v>
      </c>
      <c r="C58" s="1127">
        <f t="shared" si="1"/>
        <v>145.97508858</v>
      </c>
      <c r="D58" s="1128">
        <v>55.73349107044973</v>
      </c>
      <c r="E58" s="1128">
        <v>90.241597509550274</v>
      </c>
      <c r="F58" s="1129">
        <f t="shared" si="3"/>
        <v>0.38180138551452647</v>
      </c>
      <c r="G58" s="1130"/>
    </row>
    <row r="59" spans="2:7" s="1119" customFormat="1" x14ac:dyDescent="0.25">
      <c r="B59" s="1126">
        <v>39903</v>
      </c>
      <c r="C59" s="1127">
        <f t="shared" si="1"/>
        <v>136.66247458000001</v>
      </c>
      <c r="D59" s="1128">
        <v>54.397842589030468</v>
      </c>
      <c r="E59" s="1128">
        <v>82.264631990969548</v>
      </c>
      <c r="F59" s="1129">
        <f t="shared" si="3"/>
        <v>0.3980452041148051</v>
      </c>
      <c r="G59" s="1130"/>
    </row>
    <row r="60" spans="2:7" s="1119" customFormat="1" x14ac:dyDescent="0.25">
      <c r="B60" s="1126">
        <v>39994</v>
      </c>
      <c r="C60" s="1127">
        <f t="shared" si="1"/>
        <v>140.63438029</v>
      </c>
      <c r="D60" s="1128">
        <v>55.297362409070118</v>
      </c>
      <c r="E60" s="1128">
        <v>85.337017880929878</v>
      </c>
      <c r="F60" s="1129">
        <f t="shared" si="3"/>
        <v>0.39319946015364293</v>
      </c>
      <c r="G60" s="1130"/>
    </row>
    <row r="61" spans="2:7" s="1119" customFormat="1" x14ac:dyDescent="0.25">
      <c r="B61" s="1126">
        <v>40086</v>
      </c>
      <c r="C61" s="1127">
        <f t="shared" si="1"/>
        <v>141.66514039</v>
      </c>
      <c r="D61" s="1128">
        <v>54.843934988739946</v>
      </c>
      <c r="E61" s="1128">
        <v>86.821205401260059</v>
      </c>
      <c r="F61" s="1129">
        <f t="shared" si="3"/>
        <v>0.38713782965771387</v>
      </c>
      <c r="G61" s="1130"/>
    </row>
    <row r="62" spans="2:7" s="1119" customFormat="1" x14ac:dyDescent="0.25">
      <c r="B62" s="1126">
        <v>40178</v>
      </c>
      <c r="C62" s="1127">
        <f t="shared" si="1"/>
        <v>147.11943170000001</v>
      </c>
      <c r="D62" s="1128">
        <v>55.007258454723356</v>
      </c>
      <c r="E62" s="1128">
        <v>92.112173245276651</v>
      </c>
      <c r="F62" s="1129">
        <f t="shared" si="3"/>
        <v>0.37389526195895001</v>
      </c>
      <c r="G62" s="1130"/>
    </row>
    <row r="63" spans="2:7" s="1119" customFormat="1" x14ac:dyDescent="0.25">
      <c r="B63" s="1126">
        <v>40268</v>
      </c>
      <c r="C63" s="1127">
        <f t="shared" si="1"/>
        <v>151.76645673999997</v>
      </c>
      <c r="D63" s="1128">
        <v>54.50867429239424</v>
      </c>
      <c r="E63" s="1128">
        <v>97.257782447605734</v>
      </c>
      <c r="F63" s="1129">
        <f t="shared" si="3"/>
        <v>0.35916153979779769</v>
      </c>
      <c r="G63" s="1130"/>
    </row>
    <row r="64" spans="2:7" s="1119" customFormat="1" x14ac:dyDescent="0.25">
      <c r="B64" s="1126">
        <v>40359</v>
      </c>
      <c r="C64" s="1127">
        <f t="shared" si="1"/>
        <v>156.69058941</v>
      </c>
      <c r="D64" s="1128">
        <v>60.403629089132195</v>
      </c>
      <c r="E64" s="1128">
        <v>96.286960320867806</v>
      </c>
      <c r="F64" s="1129">
        <f t="shared" si="3"/>
        <v>0.38549621465191342</v>
      </c>
      <c r="G64" s="1130"/>
    </row>
    <row r="65" spans="2:7" s="1119" customFormat="1" x14ac:dyDescent="0.25">
      <c r="B65" s="1126">
        <v>40451</v>
      </c>
      <c r="C65" s="1127">
        <f t="shared" si="1"/>
        <v>160.88983315000002</v>
      </c>
      <c r="D65" s="1128">
        <v>62.645530253010563</v>
      </c>
      <c r="E65" s="1128">
        <v>98.244302896989453</v>
      </c>
      <c r="F65" s="1129">
        <f t="shared" si="3"/>
        <v>0.38936910447663398</v>
      </c>
      <c r="G65" s="1130"/>
    </row>
    <row r="66" spans="2:7" s="1119" customFormat="1" x14ac:dyDescent="0.25">
      <c r="B66" s="1126">
        <v>40543</v>
      </c>
      <c r="C66" s="1135">
        <f t="shared" si="1"/>
        <v>164.33071950700128</v>
      </c>
      <c r="D66" s="1128">
        <v>61.14531976374758</v>
      </c>
      <c r="E66" s="1128">
        <v>103.18539974325371</v>
      </c>
      <c r="F66" s="1129">
        <f t="shared" si="3"/>
        <v>0.37208697160936177</v>
      </c>
      <c r="G66" s="1130"/>
    </row>
    <row r="67" spans="2:7" s="1119" customFormat="1" x14ac:dyDescent="0.25">
      <c r="B67" s="1126">
        <v>40633</v>
      </c>
      <c r="C67" s="1135">
        <f t="shared" si="1"/>
        <v>173.14708378400002</v>
      </c>
      <c r="D67" s="1128">
        <v>63.310839178734525</v>
      </c>
      <c r="E67" s="1128">
        <v>109.83624460526549</v>
      </c>
      <c r="F67" s="1129">
        <f t="shared" si="3"/>
        <v>0.3656477359890995</v>
      </c>
      <c r="G67" s="1130"/>
    </row>
    <row r="68" spans="2:7" s="1119" customFormat="1" x14ac:dyDescent="0.25">
      <c r="B68" s="1126">
        <v>40724</v>
      </c>
      <c r="C68" s="1135">
        <f t="shared" si="1"/>
        <v>176.59050977000001</v>
      </c>
      <c r="D68" s="1128">
        <v>63.860658110826115</v>
      </c>
      <c r="E68" s="1128">
        <v>112.7298516591739</v>
      </c>
      <c r="F68" s="1129">
        <f t="shared" si="3"/>
        <v>0.361631314128949</v>
      </c>
      <c r="G68" s="1130"/>
    </row>
    <row r="69" spans="2:7" s="1119" customFormat="1" x14ac:dyDescent="0.25">
      <c r="B69" s="1126">
        <v>40816</v>
      </c>
      <c r="C69" s="1135">
        <f t="shared" si="1"/>
        <v>175.32372226037342</v>
      </c>
      <c r="D69" s="1128">
        <v>61.792297426113713</v>
      </c>
      <c r="E69" s="1128">
        <v>113.5314248342597</v>
      </c>
      <c r="F69" s="1129">
        <f t="shared" si="3"/>
        <v>0.3524468715896068</v>
      </c>
      <c r="G69" s="1130"/>
    </row>
    <row r="70" spans="2:7" s="1119" customFormat="1" x14ac:dyDescent="0.25">
      <c r="B70" s="1126">
        <v>40908</v>
      </c>
      <c r="C70" s="1135">
        <f t="shared" si="1"/>
        <v>178.96286493399998</v>
      </c>
      <c r="D70" s="1128">
        <v>60.584757622236616</v>
      </c>
      <c r="E70" s="1128">
        <v>118.37810731176336</v>
      </c>
      <c r="F70" s="1129">
        <f t="shared" si="3"/>
        <v>0.3385325645327581</v>
      </c>
      <c r="G70" s="1130"/>
    </row>
    <row r="71" spans="2:7" s="1119" customFormat="1" x14ac:dyDescent="0.25">
      <c r="B71" s="1126">
        <v>40999</v>
      </c>
      <c r="C71" s="1135">
        <f t="shared" si="1"/>
        <v>181.15742401066902</v>
      </c>
      <c r="D71" s="1128">
        <v>61.657594513731944</v>
      </c>
      <c r="E71" s="1128">
        <v>119.49982949693708</v>
      </c>
      <c r="F71" s="1129">
        <f t="shared" si="3"/>
        <v>0.34035367222985408</v>
      </c>
      <c r="G71" s="1130"/>
    </row>
    <row r="72" spans="2:7" s="1119" customFormat="1" x14ac:dyDescent="0.25">
      <c r="B72" s="1126">
        <v>41090</v>
      </c>
      <c r="C72" s="1135">
        <f t="shared" si="1"/>
        <v>182.74112246530518</v>
      </c>
      <c r="D72" s="1128">
        <v>60.770358667155584</v>
      </c>
      <c r="E72" s="1128">
        <v>121.97076379814959</v>
      </c>
      <c r="F72" s="1129">
        <f t="shared" si="3"/>
        <v>0.33254889675252658</v>
      </c>
      <c r="G72" s="1130"/>
    </row>
    <row r="73" spans="2:7" s="1119" customFormat="1" x14ac:dyDescent="0.25">
      <c r="B73" s="1126">
        <v>41182</v>
      </c>
      <c r="C73" s="1135">
        <f t="shared" si="1"/>
        <v>187.14503860107831</v>
      </c>
      <c r="D73" s="1128">
        <v>59.551144723443009</v>
      </c>
      <c r="E73" s="1128">
        <v>127.59389387763531</v>
      </c>
      <c r="F73" s="1129">
        <f t="shared" si="3"/>
        <v>0.31820851446873399</v>
      </c>
      <c r="G73" s="1130"/>
    </row>
    <row r="74" spans="2:7" s="1119" customFormat="1" x14ac:dyDescent="0.25">
      <c r="B74" s="1126">
        <v>41274</v>
      </c>
      <c r="C74" s="1135">
        <f t="shared" si="1"/>
        <v>197.46363866242811</v>
      </c>
      <c r="D74" s="1128">
        <v>60.17083007190616</v>
      </c>
      <c r="E74" s="1128">
        <v>137.29280859052196</v>
      </c>
      <c r="F74" s="1129">
        <f t="shared" si="3"/>
        <v>0.30471853187497761</v>
      </c>
      <c r="G74" s="1130"/>
    </row>
    <row r="75" spans="2:7" s="1119" customFormat="1" x14ac:dyDescent="0.25">
      <c r="B75" s="1126">
        <v>41364</v>
      </c>
      <c r="C75" s="1135">
        <f t="shared" si="1"/>
        <v>195.29406859585492</v>
      </c>
      <c r="D75" s="1128">
        <v>58.978732360476606</v>
      </c>
      <c r="E75" s="1128">
        <v>136.31533623537831</v>
      </c>
      <c r="F75" s="1129">
        <f t="shared" si="3"/>
        <v>0.30199960902308948</v>
      </c>
      <c r="G75" s="1130"/>
    </row>
    <row r="76" spans="2:7" s="1119" customFormat="1" x14ac:dyDescent="0.25">
      <c r="B76" s="1126">
        <v>41455</v>
      </c>
      <c r="C76" s="1136">
        <f t="shared" ref="C76:C106" si="4">+D76+E76</f>
        <v>196.14265831295535</v>
      </c>
      <c r="D76" s="1133">
        <v>58.36137501565463</v>
      </c>
      <c r="E76" s="1128">
        <v>137.78128329730072</v>
      </c>
      <c r="F76" s="1129">
        <f t="shared" si="3"/>
        <v>0.29754554933448574</v>
      </c>
      <c r="G76" s="1130"/>
    </row>
    <row r="77" spans="2:7" s="1119" customFormat="1" x14ac:dyDescent="0.25">
      <c r="B77" s="1126">
        <v>41547</v>
      </c>
      <c r="C77" s="1136">
        <f t="shared" si="4"/>
        <v>201.00929955202142</v>
      </c>
      <c r="D77" s="1133">
        <v>59.198610135793196</v>
      </c>
      <c r="E77" s="1133">
        <v>141.81068941622823</v>
      </c>
      <c r="F77" s="1129">
        <f t="shared" si="3"/>
        <v>0.2945068226580857</v>
      </c>
      <c r="G77" s="1130"/>
    </row>
    <row r="78" spans="2:7" s="1119" customFormat="1" ht="12.75" customHeight="1" x14ac:dyDescent="0.25">
      <c r="B78" s="1126">
        <v>41639</v>
      </c>
      <c r="C78" s="1136">
        <f t="shared" si="4"/>
        <v>202.62957234026987</v>
      </c>
      <c r="D78" s="1133">
        <v>60.757754698400262</v>
      </c>
      <c r="E78" s="1133">
        <v>141.8718176418696</v>
      </c>
      <c r="F78" s="1129">
        <f t="shared" si="3"/>
        <v>0.29984643404552791</v>
      </c>
      <c r="G78" s="1130"/>
    </row>
    <row r="79" spans="2:7" s="1119" customFormat="1" ht="12.75" customHeight="1" x14ac:dyDescent="0.25">
      <c r="B79" s="1126">
        <v>41729</v>
      </c>
      <c r="C79" s="1136">
        <f t="shared" si="4"/>
        <v>186.54821481347389</v>
      </c>
      <c r="D79" s="1133">
        <v>61.252786169714689</v>
      </c>
      <c r="E79" s="1133">
        <v>125.29542864375921</v>
      </c>
      <c r="F79" s="1129">
        <f t="shared" si="3"/>
        <v>0.3283482837450909</v>
      </c>
      <c r="G79" s="1130"/>
    </row>
    <row r="80" spans="2:7" s="1119" customFormat="1" ht="12.75" customHeight="1" x14ac:dyDescent="0.25">
      <c r="B80" s="1126">
        <v>41820</v>
      </c>
      <c r="C80" s="1136">
        <f t="shared" si="4"/>
        <v>198.86298128853687</v>
      </c>
      <c r="D80" s="1133">
        <v>70.376211399655148</v>
      </c>
      <c r="E80" s="1133">
        <v>128.48676988888172</v>
      </c>
      <c r="F80" s="1129">
        <f t="shared" si="3"/>
        <v>0.35389297165139033</v>
      </c>
      <c r="G80" s="1130"/>
    </row>
    <row r="81" spans="1:8" ht="12.75" customHeight="1" x14ac:dyDescent="0.25">
      <c r="A81" s="1119"/>
      <c r="B81" s="1126">
        <v>41912</v>
      </c>
      <c r="C81" s="1136">
        <f t="shared" si="4"/>
        <v>200.37291708504785</v>
      </c>
      <c r="D81" s="1133">
        <v>67.686505305126289</v>
      </c>
      <c r="E81" s="1133">
        <v>132.68641177992157</v>
      </c>
      <c r="F81" s="1129">
        <f t="shared" ref="F81:F89" si="5">+D81/C81</f>
        <v>0.33780266460061015</v>
      </c>
      <c r="G81" s="1130"/>
    </row>
    <row r="82" spans="1:8" ht="12.75" customHeight="1" x14ac:dyDescent="0.25">
      <c r="A82" s="1119"/>
      <c r="B82" s="1126">
        <v>42004</v>
      </c>
      <c r="C82" s="1136">
        <f t="shared" si="4"/>
        <v>221.74798248516498</v>
      </c>
      <c r="D82" s="1133">
        <v>67.302545716501257</v>
      </c>
      <c r="E82" s="1133">
        <v>154.44543676866374</v>
      </c>
      <c r="F82" s="1129">
        <f t="shared" si="5"/>
        <v>0.30350916821082607</v>
      </c>
      <c r="G82" s="1130"/>
    </row>
    <row r="83" spans="1:8" ht="12.75" customHeight="1" x14ac:dyDescent="0.25">
      <c r="A83" s="1119"/>
      <c r="B83" s="1126">
        <v>42094</v>
      </c>
      <c r="C83" s="1136">
        <f t="shared" si="4"/>
        <v>220.00194471723927</v>
      </c>
      <c r="D83" s="1133">
        <v>64.876682048903618</v>
      </c>
      <c r="E83" s="1133">
        <v>155.12526266833567</v>
      </c>
      <c r="F83" s="1129">
        <f t="shared" si="5"/>
        <v>0.29489140258413316</v>
      </c>
      <c r="G83" s="1130"/>
    </row>
    <row r="84" spans="1:8" ht="12.75" customHeight="1" x14ac:dyDescent="0.25">
      <c r="A84" s="1119"/>
      <c r="B84" s="1126">
        <v>42185</v>
      </c>
      <c r="C84" s="1136">
        <f t="shared" si="4"/>
        <v>226.328289369077</v>
      </c>
      <c r="D84" s="1133">
        <v>65.074479624806429</v>
      </c>
      <c r="E84" s="1133">
        <v>161.25380974427057</v>
      </c>
      <c r="F84" s="1129">
        <f t="shared" si="5"/>
        <v>0.28752251787088129</v>
      </c>
      <c r="G84" s="1130"/>
    </row>
    <row r="85" spans="1:8" x14ac:dyDescent="0.25">
      <c r="A85" s="1119"/>
      <c r="B85" s="1126">
        <v>42277</v>
      </c>
      <c r="C85" s="1136">
        <f t="shared" si="4"/>
        <v>239.95910150014572</v>
      </c>
      <c r="D85" s="1133">
        <v>65.714359509804225</v>
      </c>
      <c r="E85" s="1133">
        <v>174.24474199034148</v>
      </c>
      <c r="F85" s="1129">
        <f t="shared" si="5"/>
        <v>0.27385649929083566</v>
      </c>
    </row>
    <row r="86" spans="1:8" x14ac:dyDescent="0.25">
      <c r="A86" s="1119"/>
      <c r="B86" s="1126">
        <v>42369</v>
      </c>
      <c r="C86" s="1136">
        <f t="shared" si="4"/>
        <v>222.70320381381762</v>
      </c>
      <c r="D86" s="1133">
        <v>63.57977233925746</v>
      </c>
      <c r="E86" s="1133">
        <v>159.12343147456016</v>
      </c>
      <c r="F86" s="1129">
        <f t="shared" si="5"/>
        <v>0.28549105379018641</v>
      </c>
    </row>
    <row r="87" spans="1:8" x14ac:dyDescent="0.25">
      <c r="A87" s="1119"/>
      <c r="B87" s="1126">
        <v>42460</v>
      </c>
      <c r="C87" s="1136">
        <f t="shared" si="4"/>
        <v>217.15335326883917</v>
      </c>
      <c r="D87" s="1133">
        <v>65.471940513756337</v>
      </c>
      <c r="E87" s="1133">
        <v>151.68141275508282</v>
      </c>
      <c r="F87" s="1129">
        <f t="shared" si="5"/>
        <v>0.30150094174553721</v>
      </c>
    </row>
    <row r="88" spans="1:8" x14ac:dyDescent="0.25">
      <c r="A88" s="1119"/>
      <c r="B88" s="1126">
        <v>42551</v>
      </c>
      <c r="C88" s="1136">
        <f t="shared" si="4"/>
        <v>236.06479849291421</v>
      </c>
      <c r="D88" s="1133">
        <v>80.936870152719337</v>
      </c>
      <c r="E88" s="1133">
        <v>155.12792834019487</v>
      </c>
      <c r="F88" s="1129">
        <f t="shared" si="5"/>
        <v>0.34285870095599519</v>
      </c>
    </row>
    <row r="89" spans="1:8" x14ac:dyDescent="0.25">
      <c r="A89" s="1119"/>
      <c r="B89" s="1126">
        <v>42643</v>
      </c>
      <c r="C89" s="1136">
        <f t="shared" si="4"/>
        <v>242.34130642220271</v>
      </c>
      <c r="D89" s="1133">
        <v>83.902195751841916</v>
      </c>
      <c r="E89" s="1133">
        <v>158.43911067036078</v>
      </c>
      <c r="F89" s="1129">
        <f t="shared" si="5"/>
        <v>0.34621500143961842</v>
      </c>
    </row>
    <row r="90" spans="1:8" x14ac:dyDescent="0.25">
      <c r="A90" s="1119"/>
      <c r="B90" s="1126">
        <v>42735</v>
      </c>
      <c r="C90" s="1136">
        <f t="shared" si="4"/>
        <v>266.97805160015997</v>
      </c>
      <c r="D90" s="1133">
        <v>92.021823370224752</v>
      </c>
      <c r="E90" s="1133">
        <v>174.95622822993522</v>
      </c>
      <c r="F90" s="1129">
        <f t="shared" ref="F90:F102" si="6">+D90/C90</f>
        <v>0.34467935779245762</v>
      </c>
    </row>
    <row r="91" spans="1:8" x14ac:dyDescent="0.25">
      <c r="A91" s="1119"/>
      <c r="B91" s="1126">
        <v>42825</v>
      </c>
      <c r="C91" s="1136">
        <f t="shared" si="4"/>
        <v>281.88041416995196</v>
      </c>
      <c r="D91" s="1133">
        <v>97.397499481625715</v>
      </c>
      <c r="E91" s="1133">
        <v>184.48291468832625</v>
      </c>
      <c r="F91" s="1129">
        <f t="shared" si="6"/>
        <v>0.34552772943955801</v>
      </c>
    </row>
    <row r="92" spans="1:8" x14ac:dyDescent="0.25">
      <c r="A92" s="1119"/>
      <c r="B92" s="1126">
        <v>42916</v>
      </c>
      <c r="C92" s="1136">
        <f t="shared" si="4"/>
        <v>290.9566612652182</v>
      </c>
      <c r="D92" s="1133">
        <v>110.6658308686365</v>
      </c>
      <c r="E92" s="1133">
        <v>180.2908303965817</v>
      </c>
      <c r="F92" s="1129">
        <f t="shared" si="6"/>
        <v>0.38035159733896018</v>
      </c>
    </row>
    <row r="93" spans="1:8" x14ac:dyDescent="0.25">
      <c r="A93" s="1119"/>
      <c r="B93" s="1126">
        <v>43008</v>
      </c>
      <c r="C93" s="1136">
        <f t="shared" si="4"/>
        <v>302.84312753818449</v>
      </c>
      <c r="D93" s="1133">
        <v>120.13872317222948</v>
      </c>
      <c r="E93" s="1133">
        <v>182.70440436595501</v>
      </c>
      <c r="F93" s="1129">
        <f t="shared" si="6"/>
        <v>0.39670282151963837</v>
      </c>
    </row>
    <row r="94" spans="1:8" x14ac:dyDescent="0.25">
      <c r="A94" s="1119"/>
      <c r="B94" s="1126">
        <v>43100</v>
      </c>
      <c r="C94" s="1136">
        <f t="shared" si="4"/>
        <v>318.05827282073471</v>
      </c>
      <c r="D94" s="1133">
        <v>129.65275626587174</v>
      </c>
      <c r="E94" s="1133">
        <v>188.40551655486297</v>
      </c>
      <c r="F94" s="1129">
        <f t="shared" si="6"/>
        <v>0.4076383711576877</v>
      </c>
      <c r="H94" s="781"/>
    </row>
    <row r="95" spans="1:8" x14ac:dyDescent="0.25">
      <c r="A95" s="1119"/>
      <c r="B95" s="1126">
        <v>43190</v>
      </c>
      <c r="C95" s="1136">
        <f t="shared" si="4"/>
        <v>328.57726437934718</v>
      </c>
      <c r="D95" s="1133">
        <v>140.95221945767497</v>
      </c>
      <c r="E95" s="1133">
        <v>187.62504492167221</v>
      </c>
      <c r="F95" s="1129">
        <f t="shared" si="6"/>
        <v>0.42897739660691681</v>
      </c>
      <c r="H95" s="781"/>
    </row>
    <row r="96" spans="1:8" x14ac:dyDescent="0.25">
      <c r="A96" s="1119"/>
      <c r="B96" s="1126">
        <v>43281</v>
      </c>
      <c r="C96" s="1136">
        <f t="shared" si="4"/>
        <v>324.33919768592051</v>
      </c>
      <c r="D96" s="1133">
        <v>149.90583742159129</v>
      </c>
      <c r="E96" s="1133">
        <v>174.43336026432922</v>
      </c>
      <c r="F96" s="1129">
        <f t="shared" si="6"/>
        <v>0.46218846963651677</v>
      </c>
      <c r="H96" s="781"/>
    </row>
    <row r="97" spans="1:8" x14ac:dyDescent="0.25">
      <c r="A97" s="1119"/>
      <c r="B97" s="1126">
        <v>43373</v>
      </c>
      <c r="C97" s="1136">
        <f t="shared" si="4"/>
        <v>304.85119799336769</v>
      </c>
      <c r="D97" s="1133">
        <v>144.82936980998838</v>
      </c>
      <c r="E97" s="1133">
        <v>160.02182818337931</v>
      </c>
      <c r="F97" s="1129">
        <f t="shared" si="6"/>
        <v>0.47508217374018413</v>
      </c>
      <c r="H97" s="781"/>
    </row>
    <row r="98" spans="1:8" x14ac:dyDescent="0.25">
      <c r="A98" s="1119"/>
      <c r="B98" s="1126">
        <v>43465</v>
      </c>
      <c r="C98" s="1136">
        <f t="shared" si="4"/>
        <v>329.38638143572138</v>
      </c>
      <c r="D98" s="1133">
        <v>161.18043009985394</v>
      </c>
      <c r="E98" s="1133">
        <v>168.20595133586744</v>
      </c>
      <c r="F98" s="1129">
        <f t="shared" si="6"/>
        <v>0.4893354406375412</v>
      </c>
      <c r="H98" s="781"/>
    </row>
    <row r="99" spans="1:8" x14ac:dyDescent="0.25">
      <c r="A99" s="1119"/>
      <c r="B99" s="1126">
        <v>43555</v>
      </c>
      <c r="C99" s="1136">
        <f t="shared" si="4"/>
        <v>322.42111217810316</v>
      </c>
      <c r="D99" s="1137">
        <v>161.12297276855077</v>
      </c>
      <c r="E99" s="1137">
        <v>161.29813940955242</v>
      </c>
      <c r="F99" s="1129">
        <f t="shared" si="6"/>
        <v>0.49972835736497173</v>
      </c>
    </row>
    <row r="100" spans="1:8" x14ac:dyDescent="0.25">
      <c r="A100" s="1119"/>
      <c r="B100" s="1126">
        <v>43646</v>
      </c>
      <c r="C100" s="1136">
        <f t="shared" si="4"/>
        <v>334.81107367095217</v>
      </c>
      <c r="D100" s="1137">
        <v>167.51385907901164</v>
      </c>
      <c r="E100" s="1137">
        <v>167.29721459194053</v>
      </c>
      <c r="F100" s="1129">
        <f t="shared" si="6"/>
        <v>0.50032353243979621</v>
      </c>
    </row>
    <row r="101" spans="1:8" x14ac:dyDescent="0.25">
      <c r="A101" s="1119"/>
      <c r="B101" s="1126">
        <v>43738</v>
      </c>
      <c r="C101" s="1136">
        <f t="shared" si="4"/>
        <v>308.84552168155875</v>
      </c>
      <c r="D101" s="1137">
        <v>154.36838070603847</v>
      </c>
      <c r="E101" s="1137">
        <v>154.47714097552029</v>
      </c>
      <c r="F101" s="1129">
        <f t="shared" si="6"/>
        <v>0.49982392448352553</v>
      </c>
    </row>
    <row r="102" spans="1:8" x14ac:dyDescent="0.25">
      <c r="A102" s="1119"/>
      <c r="B102" s="1126">
        <v>43830</v>
      </c>
      <c r="C102" s="1136">
        <f t="shared" si="4"/>
        <v>320.62940873855183</v>
      </c>
      <c r="D102" s="1137">
        <v>155.87171899039521</v>
      </c>
      <c r="E102" s="1137">
        <v>164.75768974815662</v>
      </c>
      <c r="F102" s="1129">
        <f t="shared" si="6"/>
        <v>0.48614292620143396</v>
      </c>
    </row>
    <row r="103" spans="1:8" x14ac:dyDescent="0.25">
      <c r="A103" s="1119"/>
      <c r="B103" s="1126">
        <v>43921</v>
      </c>
      <c r="C103" s="1138">
        <f t="shared" si="4"/>
        <v>320.95888717747113</v>
      </c>
      <c r="D103" s="1139">
        <v>153.30643377458406</v>
      </c>
      <c r="E103" s="1139">
        <v>167.65245340288706</v>
      </c>
      <c r="F103" s="1140">
        <f t="shared" ref="F103:F108" si="7">+D103/C103</f>
        <v>0.4776513126736221</v>
      </c>
    </row>
    <row r="104" spans="1:8" x14ac:dyDescent="0.25">
      <c r="A104" s="1119"/>
      <c r="B104" s="1126">
        <v>44012</v>
      </c>
      <c r="C104" s="1138">
        <f t="shared" si="4"/>
        <v>322.11852321481956</v>
      </c>
      <c r="D104" s="1139">
        <v>151.34187565747914</v>
      </c>
      <c r="E104" s="1139">
        <v>170.77664755734043</v>
      </c>
      <c r="F104" s="1140">
        <f t="shared" si="7"/>
        <v>0.4698328868115102</v>
      </c>
    </row>
    <row r="105" spans="1:8" x14ac:dyDescent="0.25">
      <c r="A105" s="1119"/>
      <c r="B105" s="1126">
        <v>44104</v>
      </c>
      <c r="C105" s="1138">
        <f t="shared" si="4"/>
        <v>329.77781929875425</v>
      </c>
      <c r="D105" s="1139">
        <v>158.05224625564477</v>
      </c>
      <c r="E105" s="1139">
        <v>171.72557304310948</v>
      </c>
      <c r="F105" s="1140">
        <f t="shared" si="7"/>
        <v>0.47926888045936517</v>
      </c>
    </row>
    <row r="106" spans="1:8" x14ac:dyDescent="0.25">
      <c r="A106" s="1119"/>
      <c r="B106" s="1126">
        <v>44196</v>
      </c>
      <c r="C106" s="1138">
        <f t="shared" si="4"/>
        <v>333.08175528792634</v>
      </c>
      <c r="D106" s="1139">
        <v>152.122947542324</v>
      </c>
      <c r="E106" s="1139">
        <v>180.95880774560234</v>
      </c>
      <c r="F106" s="1140">
        <f t="shared" si="7"/>
        <v>0.45671353992602848</v>
      </c>
    </row>
    <row r="107" spans="1:8" x14ac:dyDescent="0.25">
      <c r="A107" s="1119"/>
      <c r="B107" s="1126">
        <v>44286</v>
      </c>
      <c r="C107" s="1138">
        <v>333.0948770035597</v>
      </c>
      <c r="D107" s="1139">
        <v>148.81332589426148</v>
      </c>
      <c r="E107" s="1139">
        <v>184.28155110929822</v>
      </c>
      <c r="F107" s="1140">
        <f t="shared" si="7"/>
        <v>0.44675957562887147</v>
      </c>
    </row>
    <row r="108" spans="1:8" x14ac:dyDescent="0.25">
      <c r="A108" s="1119"/>
      <c r="B108" s="1126">
        <v>44377</v>
      </c>
      <c r="C108" s="1138">
        <f t="shared" ref="C108" si="8">+D108+E108</f>
        <v>341.05006024082968</v>
      </c>
      <c r="D108" s="1139">
        <v>147.42480624592963</v>
      </c>
      <c r="E108" s="1139">
        <v>193.62525399490002</v>
      </c>
      <c r="F108" s="1140">
        <f t="shared" si="7"/>
        <v>0.43226735143171308</v>
      </c>
    </row>
    <row r="109" spans="1:8" x14ac:dyDescent="0.25">
      <c r="A109" s="1119"/>
      <c r="B109" s="1126">
        <v>44469</v>
      </c>
      <c r="C109" s="1138">
        <f t="shared" ref="C109" si="9">+D109+E109</f>
        <v>340.16638764356708</v>
      </c>
      <c r="D109" s="1139">
        <v>144.20912606581976</v>
      </c>
      <c r="E109" s="1139">
        <v>195.95726157774732</v>
      </c>
      <c r="F109" s="1140">
        <f t="shared" ref="F109" si="10">+D109/C109</f>
        <v>0.42393702406871803</v>
      </c>
    </row>
    <row r="110" spans="1:8" ht="15" thickBot="1" x14ac:dyDescent="0.3">
      <c r="A110" s="1119"/>
      <c r="B110" s="1126">
        <v>44561</v>
      </c>
      <c r="C110" s="1138">
        <f t="shared" ref="C110" si="11">+D110+E110</f>
        <v>360.79330600987907</v>
      </c>
      <c r="D110" s="1139">
        <v>144.46521464255159</v>
      </c>
      <c r="E110" s="1139">
        <v>216.32809136732749</v>
      </c>
      <c r="F110" s="1140">
        <f t="shared" ref="F110" si="12">+D110/C110</f>
        <v>0.40040990848814667</v>
      </c>
    </row>
    <row r="111" spans="1:8" ht="12.75" customHeight="1" thickTop="1" x14ac:dyDescent="0.25">
      <c r="A111" s="1119"/>
      <c r="B111" s="1475"/>
      <c r="C111" s="1475"/>
      <c r="D111" s="1475"/>
      <c r="E111" s="1475"/>
      <c r="F111" s="1475"/>
    </row>
    <row r="112" spans="1:8" x14ac:dyDescent="0.25">
      <c r="B112" s="1476" t="s">
        <v>495</v>
      </c>
      <c r="C112" s="1476"/>
      <c r="D112" s="1476"/>
      <c r="E112" s="1476"/>
      <c r="F112" s="1476"/>
    </row>
    <row r="113" spans="1:10" x14ac:dyDescent="0.25">
      <c r="A113" s="1119"/>
      <c r="B113" s="1476"/>
      <c r="C113" s="1476"/>
      <c r="D113" s="1476"/>
      <c r="E113" s="1476"/>
      <c r="F113" s="1476"/>
      <c r="G113" s="781"/>
      <c r="H113" s="781"/>
      <c r="I113" s="781"/>
      <c r="J113" s="781"/>
    </row>
    <row r="114" spans="1:10" x14ac:dyDescent="0.25">
      <c r="A114" s="1119"/>
      <c r="C114" s="781"/>
      <c r="D114" s="1141"/>
      <c r="E114" s="1141"/>
      <c r="F114" s="1141"/>
      <c r="G114" s="781"/>
      <c r="H114" s="781"/>
      <c r="I114" s="781"/>
      <c r="J114" s="781"/>
    </row>
    <row r="115" spans="1:10" x14ac:dyDescent="0.25">
      <c r="C115" s="781"/>
      <c r="E115" s="781"/>
      <c r="G115" s="781"/>
      <c r="H115" s="781"/>
      <c r="I115" s="781"/>
      <c r="J115" s="781"/>
    </row>
    <row r="116" spans="1:10" x14ac:dyDescent="0.25">
      <c r="C116" s="781"/>
    </row>
    <row r="117" spans="1:10" x14ac:dyDescent="0.25">
      <c r="C117" s="781"/>
      <c r="D117" s="1142"/>
      <c r="E117" s="1142"/>
      <c r="F117" s="1142"/>
    </row>
    <row r="118" spans="1:10" x14ac:dyDescent="0.25">
      <c r="C118" s="781"/>
      <c r="F118" s="781"/>
    </row>
    <row r="119" spans="1:10" x14ac:dyDescent="0.25">
      <c r="C119" s="1143"/>
    </row>
  </sheetData>
  <mergeCells count="4">
    <mergeCell ref="B6:F6"/>
    <mergeCell ref="B7:F7"/>
    <mergeCell ref="B111:F111"/>
    <mergeCell ref="B112:F113"/>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L65"/>
  <sheetViews>
    <sheetView showGridLines="0" zoomScale="85" zoomScaleNormal="85" zoomScaleSheetLayoutView="85" workbookViewId="0"/>
  </sheetViews>
  <sheetFormatPr baseColWidth="10" defaultColWidth="9.21875" defaultRowHeight="14.4" x14ac:dyDescent="0.25"/>
  <cols>
    <col min="1" max="1" width="6.44140625" style="290" bestFit="1" customWidth="1"/>
    <col min="2" max="2" width="49.77734375" style="290" customWidth="1"/>
    <col min="3" max="3" width="15.5546875" style="290" bestFit="1" customWidth="1"/>
    <col min="4" max="9" width="15" style="290" customWidth="1"/>
    <col min="10" max="10" width="16.44140625" style="290" bestFit="1" customWidth="1"/>
    <col min="11" max="11" width="35.44140625" style="290" bestFit="1" customWidth="1"/>
    <col min="12" max="13" width="11.44140625" style="290" bestFit="1" customWidth="1"/>
    <col min="14" max="14" width="9.21875" style="290" customWidth="1"/>
    <col min="15" max="15" width="11.44140625" style="290" bestFit="1" customWidth="1"/>
    <col min="16" max="16" width="12.44140625" style="290" bestFit="1" customWidth="1"/>
    <col min="17" max="16384" width="9.21875" style="290"/>
  </cols>
  <sheetData>
    <row r="1" spans="1:10" ht="15" x14ac:dyDescent="0.25">
      <c r="A1" s="54" t="s">
        <v>216</v>
      </c>
      <c r="B1" s="1120"/>
      <c r="C1" s="1144"/>
    </row>
    <row r="2" spans="1:10" ht="15" customHeight="1" x14ac:dyDescent="0.25">
      <c r="A2" s="1120"/>
      <c r="B2" s="4" t="str">
        <f>+INDICE!B2</f>
        <v>MINISTERIO DE ECONOMÍA</v>
      </c>
      <c r="C2" s="781"/>
      <c r="D2" s="1119"/>
      <c r="E2" s="1119"/>
      <c r="F2" s="1119"/>
      <c r="G2" s="1119"/>
      <c r="H2" s="1119"/>
      <c r="I2" s="1119"/>
      <c r="J2" s="1119"/>
    </row>
    <row r="3" spans="1:10" ht="15" customHeight="1" x14ac:dyDescent="0.25">
      <c r="A3" s="1120"/>
      <c r="B3" s="4" t="str">
        <f>+INDICE!B3</f>
        <v>SECRETARÍA DE FINANZAS</v>
      </c>
      <c r="C3" s="845"/>
      <c r="D3" s="1145"/>
      <c r="E3" s="1145"/>
      <c r="F3" s="1145"/>
      <c r="G3" s="1145"/>
      <c r="H3" s="1145"/>
      <c r="I3" s="1145"/>
      <c r="J3" s="1145"/>
    </row>
    <row r="4" spans="1:10" x14ac:dyDescent="0.25">
      <c r="B4" s="1145"/>
      <c r="C4" s="845"/>
      <c r="D4" s="1145"/>
      <c r="E4" s="1145"/>
      <c r="F4" s="1145"/>
      <c r="G4" s="1145"/>
      <c r="H4" s="1145"/>
      <c r="I4" s="1145"/>
      <c r="J4" s="1145"/>
    </row>
    <row r="5" spans="1:10" ht="41.25" customHeight="1" x14ac:dyDescent="0.25">
      <c r="B5" s="1477" t="s">
        <v>658</v>
      </c>
      <c r="C5" s="1477"/>
      <c r="D5" s="1477"/>
      <c r="E5" s="1477"/>
      <c r="F5" s="1477"/>
      <c r="G5" s="1477"/>
      <c r="H5" s="1477"/>
      <c r="I5" s="1477"/>
      <c r="J5" s="1146"/>
    </row>
    <row r="6" spans="1:10" x14ac:dyDescent="0.25">
      <c r="B6" s="777"/>
      <c r="C6" s="777"/>
      <c r="D6" s="777"/>
      <c r="E6" s="777"/>
      <c r="F6" s="777"/>
      <c r="G6" s="777"/>
      <c r="H6" s="777"/>
      <c r="I6" s="777"/>
      <c r="J6" s="777"/>
    </row>
    <row r="7" spans="1:10" ht="15" thickBot="1" x14ac:dyDescent="0.3">
      <c r="B7" s="59" t="s">
        <v>943</v>
      </c>
      <c r="C7" s="1147"/>
      <c r="D7" s="1147"/>
      <c r="E7" s="1148"/>
      <c r="F7" s="1148"/>
      <c r="G7" s="1148"/>
      <c r="H7" s="1148"/>
      <c r="I7" s="1148"/>
      <c r="J7" s="1148"/>
    </row>
    <row r="8" spans="1:10" ht="37.5" customHeight="1" thickTop="1" thickBot="1" x14ac:dyDescent="0.3">
      <c r="B8" s="1149"/>
      <c r="C8" s="1150" t="s">
        <v>944</v>
      </c>
      <c r="D8" s="1151">
        <v>2022</v>
      </c>
      <c r="E8" s="1150">
        <f>+D8+1</f>
        <v>2023</v>
      </c>
      <c r="F8" s="1150">
        <f t="shared" ref="F8:H8" si="0">+E8+1</f>
        <v>2024</v>
      </c>
      <c r="G8" s="1150">
        <f t="shared" si="0"/>
        <v>2025</v>
      </c>
      <c r="H8" s="1150">
        <f t="shared" si="0"/>
        <v>2026</v>
      </c>
      <c r="I8" s="1151" t="s">
        <v>942</v>
      </c>
    </row>
    <row r="9" spans="1:10" ht="6" customHeight="1" thickTop="1" thickBot="1" x14ac:dyDescent="0.3">
      <c r="B9" s="1152"/>
      <c r="C9" s="1152"/>
      <c r="D9" s="1153"/>
      <c r="E9" s="1153"/>
      <c r="F9" s="1153"/>
      <c r="G9" s="1152"/>
      <c r="H9" s="1152"/>
      <c r="I9" s="1152"/>
    </row>
    <row r="10" spans="1:10" ht="24.75" customHeight="1" thickTop="1" thickBot="1" x14ac:dyDescent="0.3">
      <c r="B10" s="1154" t="s">
        <v>275</v>
      </c>
      <c r="C10" s="1155">
        <f>+SUM(C11:C24)</f>
        <v>144465</v>
      </c>
      <c r="D10" s="1156">
        <f t="shared" ref="D10:H10" si="1">+SUM(D11:D24)</f>
        <v>23432</v>
      </c>
      <c r="E10" s="1156">
        <f t="shared" si="1"/>
        <v>22129</v>
      </c>
      <c r="F10" s="1156">
        <f t="shared" si="1"/>
        <v>8569</v>
      </c>
      <c r="G10" s="1156">
        <f t="shared" si="1"/>
        <v>5770</v>
      </c>
      <c r="H10" s="1156">
        <f t="shared" si="1"/>
        <v>6403</v>
      </c>
      <c r="I10" s="1156">
        <f>+SUM(I11:I24)</f>
        <v>78120</v>
      </c>
      <c r="J10" s="781"/>
    </row>
    <row r="11" spans="1:10" ht="12" customHeight="1" thickTop="1" x14ac:dyDescent="0.25">
      <c r="B11" s="1157"/>
      <c r="C11" s="1158"/>
      <c r="D11" s="1159"/>
      <c r="E11" s="1159"/>
      <c r="F11" s="1159"/>
      <c r="G11" s="1159"/>
      <c r="H11" s="1159"/>
      <c r="I11" s="1159"/>
      <c r="J11" s="781"/>
    </row>
    <row r="12" spans="1:10" ht="15" x14ac:dyDescent="0.25">
      <c r="B12" s="1160" t="s">
        <v>518</v>
      </c>
      <c r="C12" s="1161">
        <f>SUM(D12:I12)</f>
        <v>70182</v>
      </c>
      <c r="D12" s="1162">
        <v>948</v>
      </c>
      <c r="E12" s="1162">
        <v>1347</v>
      </c>
      <c r="F12" s="1162">
        <v>1517</v>
      </c>
      <c r="G12" s="1162">
        <v>3550</v>
      </c>
      <c r="H12" s="1162">
        <v>4319</v>
      </c>
      <c r="I12" s="1162">
        <v>58501</v>
      </c>
      <c r="J12" s="781"/>
    </row>
    <row r="13" spans="1:10" x14ac:dyDescent="0.25">
      <c r="B13" s="1163"/>
      <c r="C13" s="1164"/>
      <c r="D13" s="1165"/>
      <c r="E13" s="1165"/>
      <c r="F13" s="1165"/>
      <c r="G13" s="1165"/>
      <c r="H13" s="1165"/>
      <c r="I13" s="1165"/>
      <c r="J13" s="781"/>
    </row>
    <row r="14" spans="1:10" ht="15" x14ac:dyDescent="0.25">
      <c r="B14" s="1160" t="s">
        <v>492</v>
      </c>
      <c r="C14" s="1161">
        <f>SUM(D14:I14)</f>
        <v>68065</v>
      </c>
      <c r="D14" s="1162">
        <v>19334</v>
      </c>
      <c r="E14" s="1162">
        <v>20331</v>
      </c>
      <c r="F14" s="1162">
        <v>6630</v>
      </c>
      <c r="G14" s="1162">
        <v>1816</v>
      </c>
      <c r="H14" s="1162">
        <v>1691</v>
      </c>
      <c r="I14" s="1162">
        <v>18263</v>
      </c>
      <c r="J14" s="781"/>
    </row>
    <row r="15" spans="1:10" x14ac:dyDescent="0.25">
      <c r="B15" s="1166"/>
      <c r="C15" s="1164"/>
      <c r="D15" s="1165"/>
      <c r="E15" s="1165"/>
      <c r="F15" s="1165"/>
      <c r="G15" s="1165"/>
      <c r="H15" s="1165"/>
      <c r="I15" s="1165"/>
      <c r="J15" s="781"/>
    </row>
    <row r="16" spans="1:10" ht="15" x14ac:dyDescent="0.25">
      <c r="B16" s="1160" t="s">
        <v>493</v>
      </c>
      <c r="C16" s="1161">
        <f>SUM(D16:I16)</f>
        <v>4711</v>
      </c>
      <c r="D16" s="1162">
        <v>2080</v>
      </c>
      <c r="E16" s="1162">
        <v>370</v>
      </c>
      <c r="F16" s="1162">
        <v>341</v>
      </c>
      <c r="G16" s="1162">
        <v>340</v>
      </c>
      <c r="H16" s="1162">
        <v>331</v>
      </c>
      <c r="I16" s="1162">
        <v>1249</v>
      </c>
      <c r="J16" s="781"/>
    </row>
    <row r="17" spans="2:12" x14ac:dyDescent="0.25">
      <c r="B17" s="1167"/>
      <c r="C17" s="1164"/>
      <c r="D17" s="1165"/>
      <c r="E17" s="1165"/>
      <c r="F17" s="1165"/>
      <c r="G17" s="1165"/>
      <c r="H17" s="1165"/>
      <c r="I17" s="1165"/>
      <c r="J17" s="781"/>
    </row>
    <row r="18" spans="2:12" ht="15" x14ac:dyDescent="0.25">
      <c r="B18" s="1160" t="s">
        <v>494</v>
      </c>
      <c r="C18" s="1161">
        <f>SUM(D18:I18)</f>
        <v>437</v>
      </c>
      <c r="D18" s="1162">
        <v>68</v>
      </c>
      <c r="E18" s="1162">
        <v>68</v>
      </c>
      <c r="F18" s="1162">
        <v>68</v>
      </c>
      <c r="G18" s="1162">
        <v>64</v>
      </c>
      <c r="H18" s="1162">
        <v>62</v>
      </c>
      <c r="I18" s="1162">
        <v>107</v>
      </c>
      <c r="J18" s="781"/>
    </row>
    <row r="19" spans="2:12" x14ac:dyDescent="0.25">
      <c r="B19" s="1166"/>
      <c r="C19" s="1164"/>
      <c r="D19" s="1165"/>
      <c r="E19" s="1165"/>
      <c r="F19" s="1165"/>
      <c r="G19" s="1165"/>
      <c r="H19" s="1165"/>
      <c r="I19" s="1165"/>
      <c r="J19" s="781"/>
    </row>
    <row r="20" spans="2:12" ht="15" x14ac:dyDescent="0.25">
      <c r="B20" s="1160" t="s">
        <v>679</v>
      </c>
      <c r="C20" s="1161">
        <f>SUM(D20:I20)</f>
        <v>962</v>
      </c>
      <c r="D20" s="1162">
        <v>962</v>
      </c>
      <c r="E20" s="1162">
        <v>0</v>
      </c>
      <c r="F20" s="1162">
        <v>0</v>
      </c>
      <c r="G20" s="1162">
        <v>0</v>
      </c>
      <c r="H20" s="1162">
        <v>0</v>
      </c>
      <c r="I20" s="1162">
        <v>0</v>
      </c>
      <c r="J20" s="781"/>
    </row>
    <row r="21" spans="2:12" x14ac:dyDescent="0.25">
      <c r="B21" s="1166"/>
      <c r="C21" s="1164"/>
      <c r="D21" s="1165"/>
      <c r="E21" s="1165"/>
      <c r="F21" s="1165"/>
      <c r="G21" s="1165"/>
      <c r="H21" s="1165"/>
      <c r="I21" s="1165"/>
      <c r="J21" s="781"/>
    </row>
    <row r="22" spans="2:12" ht="15" x14ac:dyDescent="0.25">
      <c r="B22" s="1160" t="s">
        <v>680</v>
      </c>
      <c r="C22" s="1161">
        <f>SUM(D22:I22)</f>
        <v>66</v>
      </c>
      <c r="D22" s="1162">
        <v>40</v>
      </c>
      <c r="E22" s="1162">
        <v>13</v>
      </c>
      <c r="F22" s="1162">
        <v>13</v>
      </c>
      <c r="G22" s="1162">
        <v>0</v>
      </c>
      <c r="H22" s="1162">
        <v>0</v>
      </c>
      <c r="I22" s="1162">
        <v>0</v>
      </c>
      <c r="J22" s="781"/>
    </row>
    <row r="23" spans="2:12" x14ac:dyDescent="0.25">
      <c r="B23" s="1167"/>
      <c r="C23" s="1164"/>
      <c r="D23" s="1165"/>
      <c r="E23" s="1165"/>
      <c r="F23" s="1165"/>
      <c r="G23" s="1165"/>
      <c r="H23" s="1165"/>
      <c r="I23" s="1165"/>
      <c r="J23" s="788"/>
    </row>
    <row r="24" spans="2:12" ht="15" x14ac:dyDescent="0.25">
      <c r="B24" s="1160" t="s">
        <v>681</v>
      </c>
      <c r="C24" s="1162">
        <v>42</v>
      </c>
      <c r="D24" s="1162">
        <v>0</v>
      </c>
      <c r="E24" s="1162">
        <v>0</v>
      </c>
      <c r="F24" s="1162">
        <v>0</v>
      </c>
      <c r="G24" s="1162">
        <v>0</v>
      </c>
      <c r="H24" s="1162">
        <v>0</v>
      </c>
      <c r="I24" s="1162">
        <v>0</v>
      </c>
    </row>
    <row r="25" spans="2:12" ht="15" thickBot="1" x14ac:dyDescent="0.3">
      <c r="B25" s="1168"/>
      <c r="C25" s="1169"/>
      <c r="D25" s="1169"/>
      <c r="E25" s="1169"/>
      <c r="F25" s="1169"/>
      <c r="G25" s="1169"/>
      <c r="H25" s="1169"/>
      <c r="I25" s="1169"/>
      <c r="J25" s="1170"/>
    </row>
    <row r="26" spans="2:12" ht="15" thickTop="1" x14ac:dyDescent="0.25">
      <c r="J26" s="1170"/>
    </row>
    <row r="27" spans="2:12" x14ac:dyDescent="0.25">
      <c r="B27" s="1478" t="s">
        <v>495</v>
      </c>
      <c r="C27" s="1478"/>
      <c r="D27" s="1478"/>
      <c r="E27" s="1478"/>
      <c r="F27" s="1478"/>
      <c r="G27" s="1478"/>
      <c r="H27" s="1478"/>
      <c r="I27" s="1478"/>
    </row>
    <row r="28" spans="2:12" x14ac:dyDescent="0.25">
      <c r="B28" s="1170"/>
      <c r="C28" s="1170"/>
      <c r="D28" s="1170"/>
      <c r="E28" s="1170"/>
      <c r="F28" s="1170"/>
      <c r="G28" s="1170"/>
      <c r="H28" s="1170"/>
      <c r="I28" s="1170"/>
      <c r="L28" s="781"/>
    </row>
    <row r="29" spans="2:12" x14ac:dyDescent="0.25">
      <c r="D29" s="788"/>
    </row>
    <row r="30" spans="2:12" x14ac:dyDescent="0.25">
      <c r="D30" s="1171"/>
      <c r="G30" s="788"/>
    </row>
    <row r="31" spans="2:12" x14ac:dyDescent="0.25">
      <c r="C31" s="781"/>
      <c r="D31" s="781"/>
      <c r="E31" s="781"/>
      <c r="F31" s="781"/>
      <c r="G31" s="781"/>
      <c r="H31" s="781"/>
      <c r="I31" s="781"/>
    </row>
    <row r="32" spans="2:12" x14ac:dyDescent="0.25">
      <c r="C32" s="781"/>
      <c r="D32" s="781"/>
      <c r="E32" s="781"/>
      <c r="F32" s="781"/>
      <c r="G32" s="781"/>
      <c r="H32" s="781"/>
      <c r="I32" s="781"/>
    </row>
    <row r="33" spans="3:9" x14ac:dyDescent="0.25">
      <c r="C33" s="781"/>
      <c r="D33" s="781"/>
      <c r="E33" s="781"/>
      <c r="F33" s="781"/>
      <c r="G33" s="781"/>
      <c r="H33" s="781"/>
      <c r="I33" s="781"/>
    </row>
    <row r="34" spans="3:9" x14ac:dyDescent="0.25">
      <c r="C34" s="781"/>
      <c r="D34" s="781"/>
      <c r="E34" s="781"/>
      <c r="F34" s="781"/>
      <c r="G34" s="781"/>
      <c r="H34" s="781"/>
      <c r="I34" s="781"/>
    </row>
    <row r="35" spans="3:9" x14ac:dyDescent="0.25">
      <c r="C35" s="781"/>
      <c r="D35" s="781"/>
      <c r="E35" s="781"/>
      <c r="G35" s="781"/>
      <c r="H35" s="781"/>
      <c r="I35" s="781"/>
    </row>
    <row r="36" spans="3:9" x14ac:dyDescent="0.25">
      <c r="C36" s="781"/>
      <c r="D36" s="781"/>
      <c r="E36" s="781"/>
      <c r="F36" s="781"/>
      <c r="G36" s="781"/>
      <c r="H36" s="781"/>
      <c r="I36" s="781"/>
    </row>
    <row r="37" spans="3:9" x14ac:dyDescent="0.25">
      <c r="C37" s="781"/>
      <c r="D37" s="781"/>
      <c r="E37" s="781"/>
      <c r="F37" s="781"/>
      <c r="G37" s="781"/>
      <c r="H37" s="781"/>
      <c r="I37" s="781"/>
    </row>
    <row r="38" spans="3:9" x14ac:dyDescent="0.25">
      <c r="C38" s="781"/>
      <c r="D38" s="781"/>
      <c r="E38" s="781"/>
      <c r="F38" s="781"/>
      <c r="G38" s="781"/>
      <c r="H38" s="781"/>
      <c r="I38" s="781"/>
    </row>
    <row r="39" spans="3:9" x14ac:dyDescent="0.25">
      <c r="C39" s="781"/>
      <c r="D39" s="781"/>
      <c r="E39" s="781"/>
      <c r="F39" s="781"/>
      <c r="G39" s="781"/>
      <c r="H39" s="781"/>
      <c r="I39" s="781"/>
    </row>
    <row r="40" spans="3:9" x14ac:dyDescent="0.25">
      <c r="C40" s="781"/>
      <c r="D40" s="781"/>
      <c r="E40" s="781"/>
      <c r="F40" s="781"/>
      <c r="G40" s="781"/>
      <c r="H40" s="781"/>
      <c r="I40" s="781"/>
    </row>
    <row r="41" spans="3:9" x14ac:dyDescent="0.25">
      <c r="C41" s="781"/>
      <c r="D41" s="781"/>
      <c r="E41" s="781"/>
      <c r="F41" s="781"/>
      <c r="G41" s="781"/>
      <c r="H41" s="781"/>
      <c r="I41" s="781"/>
    </row>
    <row r="42" spans="3:9" x14ac:dyDescent="0.25">
      <c r="C42" s="781"/>
      <c r="D42" s="781"/>
      <c r="E42" s="781"/>
      <c r="F42" s="781"/>
      <c r="G42" s="781"/>
      <c r="H42" s="781"/>
      <c r="I42" s="781"/>
    </row>
    <row r="43" spans="3:9" x14ac:dyDescent="0.25">
      <c r="C43" s="781"/>
      <c r="D43" s="781"/>
      <c r="E43" s="781"/>
      <c r="F43" s="781"/>
      <c r="G43" s="781"/>
      <c r="H43" s="781"/>
      <c r="I43" s="781"/>
    </row>
    <row r="44" spans="3:9" x14ac:dyDescent="0.25">
      <c r="C44" s="781"/>
      <c r="D44" s="781"/>
      <c r="E44" s="781"/>
      <c r="F44" s="781"/>
      <c r="G44" s="781"/>
      <c r="H44" s="781"/>
      <c r="I44" s="781"/>
    </row>
    <row r="45" spans="3:9" x14ac:dyDescent="0.25">
      <c r="C45" s="781"/>
      <c r="D45" s="781"/>
      <c r="E45" s="781"/>
      <c r="F45" s="781"/>
      <c r="G45" s="781"/>
      <c r="H45" s="781"/>
      <c r="I45" s="781"/>
    </row>
    <row r="46" spans="3:9" x14ac:dyDescent="0.25">
      <c r="C46" s="781"/>
      <c r="D46" s="781"/>
      <c r="E46" s="781"/>
      <c r="F46" s="781"/>
      <c r="G46" s="781"/>
      <c r="H46" s="781"/>
      <c r="I46" s="781"/>
    </row>
    <row r="47" spans="3:9" x14ac:dyDescent="0.25">
      <c r="C47" s="781"/>
      <c r="D47" s="781"/>
      <c r="E47" s="781"/>
      <c r="F47" s="781"/>
      <c r="G47" s="781"/>
      <c r="H47" s="781"/>
      <c r="I47" s="781"/>
    </row>
    <row r="48" spans="3:9" x14ac:dyDescent="0.25">
      <c r="C48" s="781"/>
      <c r="D48" s="781"/>
      <c r="E48" s="781"/>
      <c r="F48" s="781"/>
      <c r="G48" s="781"/>
      <c r="H48" s="781"/>
      <c r="I48" s="781"/>
    </row>
    <row r="49" spans="3:9" x14ac:dyDescent="0.25">
      <c r="C49" s="781"/>
      <c r="D49" s="781"/>
      <c r="E49" s="781"/>
      <c r="F49" s="781"/>
      <c r="G49" s="781"/>
      <c r="H49" s="781"/>
      <c r="I49" s="781"/>
    </row>
    <row r="50" spans="3:9" x14ac:dyDescent="0.25">
      <c r="C50" s="781"/>
      <c r="D50" s="781"/>
      <c r="E50" s="781"/>
      <c r="F50" s="781"/>
      <c r="G50" s="781"/>
      <c r="H50" s="781"/>
      <c r="I50" s="781"/>
    </row>
    <row r="51" spans="3:9" x14ac:dyDescent="0.25">
      <c r="C51" s="781"/>
      <c r="D51" s="781"/>
      <c r="E51" s="781"/>
      <c r="F51" s="781"/>
      <c r="G51" s="781"/>
      <c r="H51" s="781"/>
      <c r="I51" s="781"/>
    </row>
    <row r="52" spans="3:9" x14ac:dyDescent="0.25">
      <c r="C52" s="781"/>
      <c r="D52" s="781"/>
      <c r="E52" s="781"/>
      <c r="F52" s="781"/>
      <c r="G52" s="781"/>
      <c r="H52" s="781"/>
      <c r="I52" s="781"/>
    </row>
    <row r="53" spans="3:9" x14ac:dyDescent="0.25">
      <c r="C53" s="781"/>
      <c r="D53" s="781"/>
      <c r="E53" s="781"/>
      <c r="F53" s="781"/>
      <c r="G53" s="781"/>
      <c r="H53" s="781"/>
      <c r="I53" s="781"/>
    </row>
    <row r="54" spans="3:9" x14ac:dyDescent="0.25">
      <c r="C54" s="781"/>
      <c r="D54" s="781"/>
      <c r="E54" s="781"/>
      <c r="F54" s="781"/>
      <c r="G54" s="781"/>
      <c r="H54" s="781"/>
      <c r="I54" s="781"/>
    </row>
    <row r="55" spans="3:9" x14ac:dyDescent="0.25">
      <c r="C55" s="781"/>
      <c r="D55" s="781"/>
      <c r="E55" s="781"/>
      <c r="F55" s="781"/>
      <c r="G55" s="781"/>
      <c r="H55" s="781"/>
      <c r="I55" s="781"/>
    </row>
    <row r="56" spans="3:9" x14ac:dyDescent="0.25">
      <c r="C56" s="781"/>
      <c r="D56" s="781"/>
      <c r="E56" s="781"/>
      <c r="F56" s="781"/>
      <c r="G56" s="781"/>
      <c r="H56" s="781"/>
      <c r="I56" s="781"/>
    </row>
    <row r="57" spans="3:9" x14ac:dyDescent="0.25">
      <c r="C57" s="781"/>
      <c r="D57" s="781"/>
      <c r="E57" s="781"/>
      <c r="F57" s="781"/>
      <c r="G57" s="781"/>
      <c r="H57" s="781"/>
      <c r="I57" s="781"/>
    </row>
    <row r="58" spans="3:9" x14ac:dyDescent="0.25">
      <c r="C58" s="781"/>
      <c r="D58" s="781"/>
      <c r="E58" s="781"/>
      <c r="F58" s="781"/>
      <c r="G58" s="781"/>
      <c r="H58" s="781"/>
      <c r="I58" s="781"/>
    </row>
    <row r="59" spans="3:9" x14ac:dyDescent="0.25">
      <c r="C59" s="781"/>
      <c r="D59" s="781"/>
      <c r="E59" s="781"/>
      <c r="F59" s="781"/>
      <c r="G59" s="781"/>
      <c r="H59" s="781"/>
      <c r="I59" s="781"/>
    </row>
    <row r="60" spans="3:9" x14ac:dyDescent="0.25">
      <c r="C60" s="781"/>
      <c r="D60" s="781"/>
      <c r="E60" s="781"/>
      <c r="F60" s="781"/>
      <c r="G60" s="781"/>
      <c r="H60" s="781"/>
      <c r="I60" s="781"/>
    </row>
    <row r="61" spans="3:9" x14ac:dyDescent="0.25">
      <c r="C61" s="781"/>
      <c r="D61" s="781"/>
      <c r="E61" s="781"/>
      <c r="F61" s="781"/>
      <c r="G61" s="781"/>
      <c r="H61" s="781"/>
      <c r="I61" s="781"/>
    </row>
    <row r="62" spans="3:9" x14ac:dyDescent="0.25">
      <c r="C62" s="781"/>
      <c r="D62" s="781"/>
      <c r="E62" s="781"/>
      <c r="F62" s="781"/>
      <c r="G62" s="781"/>
      <c r="H62" s="781"/>
      <c r="I62" s="781"/>
    </row>
    <row r="63" spans="3:9" x14ac:dyDescent="0.25">
      <c r="C63" s="781"/>
      <c r="D63" s="781"/>
      <c r="E63" s="781"/>
      <c r="F63" s="781"/>
      <c r="G63" s="781"/>
      <c r="H63" s="781"/>
      <c r="I63" s="781"/>
    </row>
    <row r="64" spans="3:9" x14ac:dyDescent="0.25">
      <c r="C64" s="781"/>
      <c r="D64" s="781"/>
      <c r="E64" s="781"/>
      <c r="F64" s="781"/>
      <c r="G64" s="781"/>
      <c r="H64" s="781"/>
      <c r="I64" s="781"/>
    </row>
    <row r="65" spans="3:9" x14ac:dyDescent="0.25">
      <c r="C65" s="781"/>
      <c r="D65" s="781"/>
      <c r="E65" s="781"/>
      <c r="F65" s="781"/>
      <c r="G65" s="781"/>
      <c r="H65" s="781"/>
      <c r="I65" s="781"/>
    </row>
  </sheetData>
  <mergeCells count="2">
    <mergeCell ref="B5:I5"/>
    <mergeCell ref="B27:I27"/>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autoPageBreaks="0" fitToPage="1"/>
  </sheetPr>
  <dimension ref="A1:Y40"/>
  <sheetViews>
    <sheetView showGridLines="0" zoomScale="85" zoomScaleNormal="85" zoomScaleSheetLayoutView="85" workbookViewId="0"/>
  </sheetViews>
  <sheetFormatPr baseColWidth="10" defaultColWidth="11.44140625" defaultRowHeight="14.4" x14ac:dyDescent="0.3"/>
  <cols>
    <col min="1" max="1" width="6.5546875" style="9" bestFit="1" customWidth="1"/>
    <col min="2" max="2" width="25.44140625" style="9" customWidth="1"/>
    <col min="3" max="3" width="84.77734375" style="9" customWidth="1"/>
    <col min="4" max="16" width="11.21875" style="9" customWidth="1"/>
    <col min="17" max="16384" width="11.44140625" style="9"/>
  </cols>
  <sheetData>
    <row r="1" spans="1:25" x14ac:dyDescent="0.3">
      <c r="A1" s="1172" t="s">
        <v>216</v>
      </c>
    </row>
    <row r="2" spans="1:25" ht="15" x14ac:dyDescent="0.3">
      <c r="B2" s="4" t="str">
        <f>+INDICE!B2</f>
        <v>MINISTERIO DE ECONOMÍA</v>
      </c>
      <c r="C2" s="1173"/>
      <c r="D2" s="1174"/>
      <c r="E2" s="1174"/>
      <c r="F2" s="1174"/>
      <c r="G2" s="1174"/>
      <c r="H2" s="1174"/>
      <c r="I2" s="1174"/>
      <c r="J2" s="1174"/>
      <c r="K2" s="1173"/>
      <c r="L2" s="1173"/>
      <c r="M2" s="1173"/>
      <c r="N2" s="1173"/>
    </row>
    <row r="3" spans="1:25" ht="15" x14ac:dyDescent="0.3">
      <c r="B3" s="4" t="str">
        <f>+INDICE!B3</f>
        <v>SECRETARÍA DE FINANZAS</v>
      </c>
      <c r="C3" s="1173"/>
      <c r="D3" s="1174"/>
      <c r="E3" s="1174"/>
      <c r="F3" s="1174"/>
      <c r="G3" s="1174"/>
      <c r="H3" s="1174"/>
      <c r="I3" s="1174"/>
      <c r="J3" s="1174"/>
      <c r="K3" s="1173"/>
      <c r="L3" s="1173"/>
      <c r="M3" s="1173"/>
      <c r="N3" s="1173"/>
    </row>
    <row r="4" spans="1:25" ht="15" x14ac:dyDescent="0.3">
      <c r="B4" s="310"/>
      <c r="C4" s="1173"/>
      <c r="D4" s="1174"/>
      <c r="E4" s="1174"/>
      <c r="F4" s="1174"/>
      <c r="G4" s="1174"/>
      <c r="H4" s="1174"/>
      <c r="I4" s="1174"/>
      <c r="J4" s="1174"/>
      <c r="K4" s="1173"/>
      <c r="L4" s="1173"/>
      <c r="M4" s="1173"/>
      <c r="N4" s="1173"/>
    </row>
    <row r="5" spans="1:25" ht="15" x14ac:dyDescent="0.3">
      <c r="B5" s="1173"/>
      <c r="C5" s="312"/>
      <c r="D5" s="1174"/>
      <c r="E5" s="1174"/>
      <c r="F5" s="1174"/>
      <c r="G5" s="1174"/>
      <c r="H5" s="1174"/>
      <c r="I5" s="1174"/>
      <c r="J5" s="1174"/>
      <c r="K5" s="1173"/>
      <c r="L5" s="1173"/>
      <c r="M5" s="1173"/>
      <c r="N5" s="1173"/>
    </row>
    <row r="6" spans="1:25" ht="18" x14ac:dyDescent="0.3">
      <c r="B6" s="1305" t="s">
        <v>659</v>
      </c>
      <c r="C6" s="1305"/>
      <c r="D6" s="1305"/>
      <c r="E6" s="1305"/>
      <c r="F6" s="1305"/>
      <c r="G6" s="1305"/>
      <c r="H6" s="1305"/>
      <c r="I6" s="1305"/>
      <c r="J6" s="1305"/>
      <c r="K6" s="1305"/>
      <c r="L6" s="1305"/>
      <c r="M6" s="1305"/>
      <c r="N6" s="1305"/>
    </row>
    <row r="7" spans="1:25" s="1175" customFormat="1" ht="15" thickBot="1" x14ac:dyDescent="0.35">
      <c r="A7" s="9"/>
      <c r="B7" s="1173"/>
      <c r="C7" s="1173"/>
      <c r="D7" s="1174"/>
      <c r="E7" s="1174"/>
      <c r="F7" s="1174"/>
      <c r="G7" s="1174"/>
      <c r="H7" s="1174"/>
      <c r="I7" s="1174"/>
      <c r="J7" s="1174"/>
      <c r="K7" s="1173"/>
      <c r="L7" s="1173"/>
      <c r="M7" s="1173"/>
      <c r="N7" s="1173"/>
    </row>
    <row r="8" spans="1:25" s="1176" customFormat="1" ht="15" thickBot="1" x14ac:dyDescent="0.3">
      <c r="B8" s="1177"/>
      <c r="C8" s="1178" t="s">
        <v>526</v>
      </c>
      <c r="D8" s="1179">
        <v>2000</v>
      </c>
      <c r="E8" s="1179">
        <v>2001</v>
      </c>
      <c r="F8" s="1178">
        <v>2002</v>
      </c>
      <c r="G8" s="1179">
        <v>2003</v>
      </c>
      <c r="H8" s="1180">
        <v>2004</v>
      </c>
      <c r="I8" s="1179" t="s">
        <v>527</v>
      </c>
      <c r="J8" s="1179" t="s">
        <v>528</v>
      </c>
      <c r="K8" s="1179" t="s">
        <v>529</v>
      </c>
      <c r="L8" s="1179" t="s">
        <v>530</v>
      </c>
      <c r="M8" s="1179" t="s">
        <v>531</v>
      </c>
      <c r="N8" s="1181" t="s">
        <v>544</v>
      </c>
      <c r="O8" s="1181" t="s">
        <v>545</v>
      </c>
      <c r="P8" s="1181" t="s">
        <v>546</v>
      </c>
      <c r="Q8" s="1181" t="s">
        <v>547</v>
      </c>
      <c r="R8" s="1181" t="s">
        <v>548</v>
      </c>
      <c r="S8" s="1181" t="s">
        <v>549</v>
      </c>
      <c r="T8" s="1181" t="s">
        <v>550</v>
      </c>
      <c r="U8" s="1181" t="s">
        <v>553</v>
      </c>
      <c r="V8" s="1181" t="s">
        <v>598</v>
      </c>
      <c r="W8" s="1181" t="s">
        <v>695</v>
      </c>
      <c r="X8" s="1181" t="s">
        <v>806</v>
      </c>
      <c r="Y8" s="1181" t="s">
        <v>923</v>
      </c>
    </row>
    <row r="9" spans="1:25" s="1176" customFormat="1" x14ac:dyDescent="0.25">
      <c r="B9" s="1481" t="s">
        <v>588</v>
      </c>
      <c r="C9" s="1182" t="s">
        <v>630</v>
      </c>
      <c r="D9" s="1183">
        <v>0.45653868000787612</v>
      </c>
      <c r="E9" s="1183">
        <v>0.5367464329045557</v>
      </c>
      <c r="F9" s="1183">
        <v>1.6665327778232204</v>
      </c>
      <c r="G9" s="1183">
        <v>1.3916783577803526</v>
      </c>
      <c r="H9" s="1183">
        <v>1.1800291877305504</v>
      </c>
      <c r="I9" s="1183">
        <v>0.67976659279741058</v>
      </c>
      <c r="J9" s="1183">
        <v>0.59066390851541961</v>
      </c>
      <c r="K9" s="1183">
        <v>0.51434886320254025</v>
      </c>
      <c r="L9" s="1183">
        <v>0.44468298014696622</v>
      </c>
      <c r="M9" s="1183">
        <v>0.45539395465060262</v>
      </c>
      <c r="N9" s="1184">
        <v>0.39973209090089568</v>
      </c>
      <c r="O9" s="1184">
        <v>0.3594611560337293</v>
      </c>
      <c r="P9" s="1184">
        <v>0.37423604431624091</v>
      </c>
      <c r="Q9" s="1184">
        <v>0.40145853073801563</v>
      </c>
      <c r="R9" s="1184">
        <v>0.41414131986603875</v>
      </c>
      <c r="S9" s="1184">
        <v>0.48639682021472663</v>
      </c>
      <c r="T9" s="1184">
        <v>0.51428943306176322</v>
      </c>
      <c r="U9" s="1184">
        <v>0.56014649484286994</v>
      </c>
      <c r="V9" s="1184">
        <v>0.84460488491979002</v>
      </c>
      <c r="W9" s="1201">
        <v>0.88083078055743858</v>
      </c>
      <c r="X9" s="1201">
        <v>1.0198579232544369</v>
      </c>
      <c r="Y9" s="1201">
        <v>0.79403956247039209</v>
      </c>
    </row>
    <row r="10" spans="1:25" x14ac:dyDescent="0.3">
      <c r="B10" s="1482"/>
      <c r="C10" s="1185" t="s">
        <v>632</v>
      </c>
      <c r="D10" s="1184">
        <v>0.45653868000787612</v>
      </c>
      <c r="E10" s="1184">
        <v>0.5367464329045557</v>
      </c>
      <c r="F10" s="1184">
        <v>1.6665871638753542</v>
      </c>
      <c r="G10" s="1184">
        <v>1.3919965661366318</v>
      </c>
      <c r="H10" s="1184">
        <v>1.1808397745855408</v>
      </c>
      <c r="I10" s="1184">
        <v>0.80506900797125647</v>
      </c>
      <c r="J10" s="1184">
        <v>0.70619715404234296</v>
      </c>
      <c r="K10" s="1184">
        <v>0.62093275743288956</v>
      </c>
      <c r="L10" s="1184">
        <v>0.53787363497327956</v>
      </c>
      <c r="M10" s="1184">
        <v>0.55445229319448963</v>
      </c>
      <c r="N10" s="1184">
        <v>0.43456502048388052</v>
      </c>
      <c r="O10" s="1184">
        <v>0.38942093109597975</v>
      </c>
      <c r="P10" s="1184">
        <v>0.4044180390974042</v>
      </c>
      <c r="Q10" s="1184">
        <v>0.43516089281031894</v>
      </c>
      <c r="R10" s="1184">
        <v>0.44696850197945293</v>
      </c>
      <c r="S10" s="1184">
        <v>0.52562643344295823</v>
      </c>
      <c r="T10" s="1184">
        <v>0.53060179510240391</v>
      </c>
      <c r="U10" s="1184">
        <v>0.56521244472281518</v>
      </c>
      <c r="V10" s="1184">
        <v>0.85179848194364716</v>
      </c>
      <c r="W10" s="1201">
        <v>0.88752077044430178</v>
      </c>
      <c r="X10" s="1201">
        <v>1.0275140514695809</v>
      </c>
      <c r="Y10" s="1201">
        <v>0.7994080191171572</v>
      </c>
    </row>
    <row r="11" spans="1:25" x14ac:dyDescent="0.3">
      <c r="B11" s="1482"/>
      <c r="C11" s="1186" t="s">
        <v>633</v>
      </c>
      <c r="D11" s="1184">
        <v>0.28640309792788549</v>
      </c>
      <c r="E11" s="1184">
        <v>0.31471996131772745</v>
      </c>
      <c r="F11" s="1184">
        <v>0.95289241185538076</v>
      </c>
      <c r="G11" s="1184">
        <v>0.79169901149841071</v>
      </c>
      <c r="H11" s="1184">
        <v>0.68548498968461324</v>
      </c>
      <c r="I11" s="1184">
        <v>0.31794322937721653</v>
      </c>
      <c r="J11" s="1184">
        <v>0.24057488007116307</v>
      </c>
      <c r="K11" s="1184">
        <v>0.21812313388886428</v>
      </c>
      <c r="L11" s="1184">
        <v>0.16734890219782483</v>
      </c>
      <c r="M11" s="1184">
        <v>0.16749954290919669</v>
      </c>
      <c r="N11" s="1184">
        <v>0.14630241912760761</v>
      </c>
      <c r="O11" s="1184">
        <v>0.11966677944113743</v>
      </c>
      <c r="P11" s="1184">
        <v>0.11217960832716861</v>
      </c>
      <c r="Q11" s="1184">
        <v>0.11832879789342253</v>
      </c>
      <c r="R11" s="1184">
        <v>0.12569567758616204</v>
      </c>
      <c r="S11" s="1184">
        <v>0.13886194076329791</v>
      </c>
      <c r="T11" s="1184">
        <v>0.177264951507176</v>
      </c>
      <c r="U11" s="1184">
        <v>0.22833720476743558</v>
      </c>
      <c r="V11" s="1184">
        <v>0.41329510352684518</v>
      </c>
      <c r="W11" s="1201">
        <v>0.42820965314849213</v>
      </c>
      <c r="X11" s="1201">
        <v>0.46578292235114094</v>
      </c>
      <c r="Y11" s="1201">
        <v>0.31794130854473762</v>
      </c>
    </row>
    <row r="12" spans="1:25" x14ac:dyDescent="0.3">
      <c r="B12" s="1482"/>
      <c r="C12" s="1186" t="s">
        <v>532</v>
      </c>
      <c r="D12" s="1184">
        <v>3.3975626159198857E-2</v>
      </c>
      <c r="E12" s="1184">
        <v>3.7866485392177976E-2</v>
      </c>
      <c r="F12" s="1187" t="s">
        <v>533</v>
      </c>
      <c r="G12" s="1187" t="s">
        <v>533</v>
      </c>
      <c r="H12" s="1187" t="s">
        <v>533</v>
      </c>
      <c r="I12" s="1184">
        <v>1.7583568727096852E-2</v>
      </c>
      <c r="J12" s="1184">
        <v>1.6121987890988433E-2</v>
      </c>
      <c r="K12" s="1184">
        <v>1.8308654388032832E-2</v>
      </c>
      <c r="L12" s="1184">
        <v>1.5547306380980295E-2</v>
      </c>
      <c r="M12" s="1184">
        <v>1.9565772362269238E-2</v>
      </c>
      <c r="N12" s="1184">
        <v>1.3267691136204223E-2</v>
      </c>
      <c r="O12" s="1184">
        <v>1.6330016699085313E-2</v>
      </c>
      <c r="P12" s="1184">
        <v>1.9405410087455281E-2</v>
      </c>
      <c r="Q12" s="1184">
        <v>1.2543169229379E-2</v>
      </c>
      <c r="R12" s="1184">
        <v>1.5539780949565098E-2</v>
      </c>
      <c r="S12" s="1184">
        <v>2.0293791063077694E-2</v>
      </c>
      <c r="T12" s="1184">
        <v>2.251456096920668E-2</v>
      </c>
      <c r="U12" s="1184">
        <v>2.8896941575878961E-2</v>
      </c>
      <c r="V12" s="1184">
        <v>3.4851122286182472E-2</v>
      </c>
      <c r="W12" s="1201">
        <v>4.195705652338836E-2</v>
      </c>
      <c r="X12" s="1201">
        <v>2.3722446882158271E-2</v>
      </c>
      <c r="Y12" s="1201">
        <v>1.6609413444618953E-2</v>
      </c>
    </row>
    <row r="13" spans="1:25" ht="15" thickBot="1" x14ac:dyDescent="0.35">
      <c r="A13" s="1188"/>
      <c r="B13" s="1482"/>
      <c r="C13" s="1189" t="s">
        <v>534</v>
      </c>
      <c r="D13" s="1190">
        <v>0.11427189550116214</v>
      </c>
      <c r="E13" s="1190">
        <v>0.15277522444577518</v>
      </c>
      <c r="F13" s="1191" t="s">
        <v>533</v>
      </c>
      <c r="G13" s="1191" t="s">
        <v>533</v>
      </c>
      <c r="H13" s="1191" t="s">
        <v>533</v>
      </c>
      <c r="I13" s="1190">
        <v>0.10832680660533268</v>
      </c>
      <c r="J13" s="1190">
        <v>9.5564732187314969E-2</v>
      </c>
      <c r="K13" s="1190">
        <v>9.2030796651011285E-2</v>
      </c>
      <c r="L13" s="1190">
        <v>7.2794750215272278E-2</v>
      </c>
      <c r="M13" s="1190">
        <v>9.0493109515155712E-2</v>
      </c>
      <c r="N13" s="1184">
        <v>8.0739249235689314E-2</v>
      </c>
      <c r="O13" s="1184">
        <v>8.0928154813050421E-2</v>
      </c>
      <c r="P13" s="1184">
        <v>7.9264036671039401E-2</v>
      </c>
      <c r="Q13" s="1184">
        <v>7.8893238460193832E-2</v>
      </c>
      <c r="R13" s="1184">
        <v>9.9030255791555138E-2</v>
      </c>
      <c r="S13" s="1184">
        <v>0.1004721647974143</v>
      </c>
      <c r="T13" s="1184">
        <v>0.11026768425744043</v>
      </c>
      <c r="U13" s="1184">
        <v>0.15908793144780267</v>
      </c>
      <c r="V13" s="1184">
        <v>0.1706253308412449</v>
      </c>
      <c r="W13" s="1201">
        <v>0.19605008953178094</v>
      </c>
      <c r="X13" s="1201">
        <v>0.13151822843261213</v>
      </c>
      <c r="Y13" s="1201">
        <v>0.14203731605386397</v>
      </c>
    </row>
    <row r="14" spans="1:25" x14ac:dyDescent="0.3">
      <c r="B14" s="1483" t="s">
        <v>631</v>
      </c>
      <c r="C14" s="1192" t="s">
        <v>535</v>
      </c>
      <c r="D14" s="1183">
        <v>0.94328323699421968</v>
      </c>
      <c r="E14" s="1183">
        <v>0.96935280331710838</v>
      </c>
      <c r="F14" s="1183">
        <v>0.79085988468628654</v>
      </c>
      <c r="G14" s="1183">
        <v>0.75785934842924907</v>
      </c>
      <c r="H14" s="1183">
        <v>0.75607435597189698</v>
      </c>
      <c r="I14" s="1183">
        <v>0.51441262274911592</v>
      </c>
      <c r="J14" s="1183">
        <v>0.52057780215761562</v>
      </c>
      <c r="K14" s="1183">
        <v>0.5275675635739614</v>
      </c>
      <c r="L14" s="1183">
        <v>0.52513721201127406</v>
      </c>
      <c r="M14" s="1183">
        <v>0.540555321459538</v>
      </c>
      <c r="N14" s="1183">
        <v>0.58772450633933981</v>
      </c>
      <c r="O14" s="1183">
        <v>0.60083000303219147</v>
      </c>
      <c r="P14" s="1183">
        <v>0.58950070540947841</v>
      </c>
      <c r="Q14" s="1183">
        <v>0.61922217852343919</v>
      </c>
      <c r="R14" s="1183">
        <v>0.64878971865919721</v>
      </c>
      <c r="S14" s="1183">
        <v>0.66851769500632441</v>
      </c>
      <c r="T14" s="1183">
        <v>0.67386337947480635</v>
      </c>
      <c r="U14" s="1183">
        <v>0.68472213942781812</v>
      </c>
      <c r="V14" s="1183">
        <v>0.76189278390972004</v>
      </c>
      <c r="W14" s="1202">
        <v>0.77674376685529134</v>
      </c>
      <c r="X14" s="1202">
        <v>0.76288029877873298</v>
      </c>
      <c r="Y14" s="1202">
        <v>0.70118769813060489</v>
      </c>
    </row>
    <row r="15" spans="1:25" x14ac:dyDescent="0.3">
      <c r="B15" s="1484"/>
      <c r="C15" s="1186" t="s">
        <v>536</v>
      </c>
      <c r="D15" s="1184" t="s">
        <v>537</v>
      </c>
      <c r="E15" s="1184" t="s">
        <v>537</v>
      </c>
      <c r="F15" s="1184">
        <v>0.19224335700261252</v>
      </c>
      <c r="G15" s="1184">
        <v>0.2182700967436571</v>
      </c>
      <c r="H15" s="1184">
        <v>0.20972122690887063</v>
      </c>
      <c r="I15" s="1184">
        <v>0.41483509434438703</v>
      </c>
      <c r="J15" s="1184">
        <v>0.41252068091243599</v>
      </c>
      <c r="K15" s="1184">
        <v>0.39348652753315028</v>
      </c>
      <c r="L15" s="1184">
        <v>0.36607115248102284</v>
      </c>
      <c r="M15" s="1184">
        <v>0.2544166312726967</v>
      </c>
      <c r="N15" s="1184">
        <v>0.2315864995524104</v>
      </c>
      <c r="O15" s="1184">
        <v>0.20711111946978128</v>
      </c>
      <c r="P15" s="1184">
        <v>0.17787603682954853</v>
      </c>
      <c r="Q15" s="1184">
        <v>0.14028195159698145</v>
      </c>
      <c r="R15" s="1184">
        <v>9.6625302596149196E-2</v>
      </c>
      <c r="S15" s="1184">
        <v>7.1718114448889772E-2</v>
      </c>
      <c r="T15" s="1184">
        <v>7.3148206113804945E-2</v>
      </c>
      <c r="U15" s="1184">
        <v>8.085425449361186E-2</v>
      </c>
      <c r="V15" s="1184">
        <v>6.6169258364690189E-2</v>
      </c>
      <c r="W15" s="1201">
        <v>7.6264334956420474E-2</v>
      </c>
      <c r="X15" s="1201">
        <v>0.12646527375324093</v>
      </c>
      <c r="Y15" s="1201">
        <v>0.17241116431403761</v>
      </c>
    </row>
    <row r="16" spans="1:25" x14ac:dyDescent="0.3">
      <c r="B16" s="1484"/>
      <c r="C16" s="1186" t="s">
        <v>532</v>
      </c>
      <c r="D16" s="1184">
        <v>7.4420038535645466E-2</v>
      </c>
      <c r="E16" s="1184">
        <v>7.0548182662839243E-2</v>
      </c>
      <c r="F16" s="1184" t="s">
        <v>533</v>
      </c>
      <c r="G16" s="1184" t="s">
        <v>533</v>
      </c>
      <c r="H16" s="1184" t="s">
        <v>533</v>
      </c>
      <c r="I16" s="1184">
        <v>2.6073814214318092E-2</v>
      </c>
      <c r="J16" s="1184">
        <v>2.7568896863141654E-2</v>
      </c>
      <c r="K16" s="1184">
        <v>3.6033971333142296E-2</v>
      </c>
      <c r="L16" s="1184">
        <v>3.5470702462452534E-2</v>
      </c>
      <c r="M16" s="1184">
        <v>4.3675042067342712E-2</v>
      </c>
      <c r="N16" s="1184">
        <v>3.3743422787631455E-2</v>
      </c>
      <c r="O16" s="1184">
        <v>4.6196968430351953E-2</v>
      </c>
      <c r="P16" s="1184">
        <v>5.2711791017822821E-2</v>
      </c>
      <c r="Q16" s="1184">
        <v>3.1784524410079791E-2</v>
      </c>
      <c r="R16" s="1184">
        <v>3.7522894249218383E-2</v>
      </c>
      <c r="S16" s="1184">
        <v>4.1722705041777865E-2</v>
      </c>
      <c r="T16" s="1184">
        <v>4.3777996439026218E-2</v>
      </c>
      <c r="U16" s="1184">
        <v>5.1588186022631481E-2</v>
      </c>
      <c r="V16" s="1184">
        <v>4.1263226046214727E-2</v>
      </c>
      <c r="W16" s="1201">
        <v>4.7633504016328328E-2</v>
      </c>
      <c r="X16" s="1201">
        <v>2.3260540847158697E-2</v>
      </c>
      <c r="Y16" s="1201">
        <v>2.0917614473697312E-2</v>
      </c>
    </row>
    <row r="17" spans="2:25" x14ac:dyDescent="0.3">
      <c r="B17" s="1484"/>
      <c r="C17" s="1186" t="s">
        <v>538</v>
      </c>
      <c r="D17" s="1184">
        <v>0.3756146435452794</v>
      </c>
      <c r="E17" s="1184">
        <v>0.32128246730734561</v>
      </c>
      <c r="F17" s="1184">
        <v>0.34779766496267339</v>
      </c>
      <c r="G17" s="1184">
        <v>0.3186308511590441</v>
      </c>
      <c r="H17" s="1184">
        <v>0.30481034626965542</v>
      </c>
      <c r="I17" s="1184">
        <v>0.35747947410370895</v>
      </c>
      <c r="J17" s="1184">
        <v>0.34739074785152679</v>
      </c>
      <c r="K17" s="1184">
        <v>0.26351821582856338</v>
      </c>
      <c r="L17" s="1184">
        <v>0.27015239951978381</v>
      </c>
      <c r="M17" s="1184">
        <v>0.29244703121351284</v>
      </c>
      <c r="N17" s="1184">
        <v>0.30929623271647155</v>
      </c>
      <c r="O17" s="1184">
        <v>0.33728674356096183</v>
      </c>
      <c r="P17" s="1184">
        <v>0.30854785764637122</v>
      </c>
      <c r="Q17" s="1184">
        <v>0.35279480103858374</v>
      </c>
      <c r="R17" s="1184">
        <v>0.3843126947301303</v>
      </c>
      <c r="S17" s="1184">
        <v>0.36247722194623672</v>
      </c>
      <c r="T17" s="1184">
        <v>0.31936627264127382</v>
      </c>
      <c r="U17" s="1184">
        <v>0.29723060098326598</v>
      </c>
      <c r="V17" s="1184">
        <v>0.31720041899278179</v>
      </c>
      <c r="W17" s="1201">
        <v>0.38101297461951</v>
      </c>
      <c r="X17" s="1201">
        <v>0.37579052527707857</v>
      </c>
      <c r="Y17" s="1201">
        <v>0.34450249134932759</v>
      </c>
    </row>
    <row r="18" spans="2:25" x14ac:dyDescent="0.3">
      <c r="B18" s="1484"/>
      <c r="C18" s="1186" t="s">
        <v>633</v>
      </c>
      <c r="D18" s="1184">
        <v>0.62733588734024581</v>
      </c>
      <c r="E18" s="1184">
        <v>0.58634756008465361</v>
      </c>
      <c r="F18" s="1184">
        <v>0.57267564726725462</v>
      </c>
      <c r="G18" s="1184">
        <v>0.57061422982737964</v>
      </c>
      <c r="H18" s="1184">
        <v>0.58353436180323159</v>
      </c>
      <c r="I18" s="1184">
        <v>0.47146246715586915</v>
      </c>
      <c r="J18" s="1184">
        <v>0.41138846795005724</v>
      </c>
      <c r="K18" s="1184">
        <v>0.42929658220999334</v>
      </c>
      <c r="L18" s="1184">
        <v>0.38180138567631383</v>
      </c>
      <c r="M18" s="1184">
        <v>0.37389526204493173</v>
      </c>
      <c r="N18" s="1184">
        <v>0.37208767771243773</v>
      </c>
      <c r="O18" s="1184">
        <v>0.3385325645327581</v>
      </c>
      <c r="P18" s="1184">
        <v>0.30471853178849012</v>
      </c>
      <c r="Q18" s="1184">
        <v>0.29984643404552797</v>
      </c>
      <c r="R18" s="1184">
        <v>0.30350914423805991</v>
      </c>
      <c r="S18" s="1184">
        <v>0.28549105379018597</v>
      </c>
      <c r="T18" s="1184">
        <v>0.34467935779245829</v>
      </c>
      <c r="U18" s="1184">
        <v>0.40763837115768764</v>
      </c>
      <c r="V18" s="1184">
        <v>0.48933544063754109</v>
      </c>
      <c r="W18" s="1201">
        <v>0.48614292620144062</v>
      </c>
      <c r="X18" s="1201">
        <v>0.45671353992602765</v>
      </c>
      <c r="Y18" s="1201">
        <v>0.4004099084881465</v>
      </c>
    </row>
    <row r="19" spans="2:25" ht="15" thickBot="1" x14ac:dyDescent="0.35">
      <c r="B19" s="1485"/>
      <c r="C19" s="1189" t="s">
        <v>539</v>
      </c>
      <c r="D19" s="1190">
        <v>0.27917533718689785</v>
      </c>
      <c r="E19" s="1190">
        <v>0.28954667110426979</v>
      </c>
      <c r="F19" s="1190">
        <v>0.26063906284728122</v>
      </c>
      <c r="G19" s="1190">
        <v>0.22986776156806588</v>
      </c>
      <c r="H19" s="1190">
        <v>0.22361680327868852</v>
      </c>
      <c r="I19" s="1190">
        <v>0.25351627243631375</v>
      </c>
      <c r="J19" s="1190">
        <v>0.1802849225932015</v>
      </c>
      <c r="K19" s="1190">
        <v>0.19495425649236081</v>
      </c>
      <c r="L19" s="1190">
        <v>0.22174797512369521</v>
      </c>
      <c r="M19" s="1190">
        <v>0.21216527236975175</v>
      </c>
      <c r="N19" s="1190">
        <v>0.20616250713902631</v>
      </c>
      <c r="O19" s="1190">
        <v>0.20330226098683932</v>
      </c>
      <c r="P19" s="1190">
        <v>0.27252797365252546</v>
      </c>
      <c r="Q19" s="1190">
        <v>0.26793905421867303</v>
      </c>
      <c r="R19" s="1190">
        <v>0.31083738729796734</v>
      </c>
      <c r="S19" s="1190">
        <v>0.30782541371614724</v>
      </c>
      <c r="T19" s="1190">
        <v>0.31136819849796904</v>
      </c>
      <c r="U19" s="1190">
        <v>0.30291309988758647</v>
      </c>
      <c r="V19" s="1190">
        <v>0.2921886891128973</v>
      </c>
      <c r="W19" s="1203">
        <v>0.30384897362351138</v>
      </c>
      <c r="X19" s="1203">
        <v>0.31435639410266569</v>
      </c>
      <c r="Y19" s="1203">
        <v>0.39987339533031574</v>
      </c>
    </row>
    <row r="20" spans="2:25" ht="11.25" customHeight="1" thickBot="1" x14ac:dyDescent="0.35">
      <c r="B20" s="1173"/>
      <c r="C20" s="1173"/>
      <c r="D20" s="1193"/>
      <c r="E20" s="1193"/>
      <c r="F20" s="1193"/>
      <c r="G20" s="1193"/>
      <c r="H20" s="1193"/>
      <c r="I20" s="1193"/>
      <c r="J20" s="1193"/>
      <c r="K20" s="1193"/>
      <c r="L20" s="1193"/>
      <c r="M20" s="1193"/>
      <c r="N20" s="1193"/>
      <c r="O20" s="1193"/>
      <c r="P20" s="1193"/>
      <c r="Q20" s="1193"/>
      <c r="R20" s="1193"/>
      <c r="S20" s="1193"/>
      <c r="T20" s="1193"/>
      <c r="U20" s="1193"/>
      <c r="V20" s="1193"/>
      <c r="W20" s="1193"/>
      <c r="X20" s="1204"/>
      <c r="Y20" s="1204"/>
    </row>
    <row r="21" spans="2:25" ht="15" thickBot="1" x14ac:dyDescent="0.35">
      <c r="B21" s="698"/>
      <c r="C21" s="1179" t="s">
        <v>540</v>
      </c>
      <c r="D21" s="1194">
        <v>7.5579654541892509</v>
      </c>
      <c r="E21" s="1194">
        <v>8.3135209604408598</v>
      </c>
      <c r="F21" s="1194">
        <v>6.0521724308630498</v>
      </c>
      <c r="G21" s="1194">
        <v>6.9111481018413796</v>
      </c>
      <c r="H21" s="1194">
        <v>7.7966542771101901</v>
      </c>
      <c r="I21" s="1194">
        <v>12.2871375597783</v>
      </c>
      <c r="J21" s="1194">
        <v>12.933632371774999</v>
      </c>
      <c r="K21" s="1194">
        <v>12.553687757525061</v>
      </c>
      <c r="L21" s="1194">
        <v>11.736460250710392</v>
      </c>
      <c r="M21" s="1194">
        <v>11.122211739269501</v>
      </c>
      <c r="N21" s="1194">
        <v>11.033628289397774</v>
      </c>
      <c r="O21" s="1194">
        <v>10.653244780983071</v>
      </c>
      <c r="P21" s="1194">
        <v>9.5305938057712876</v>
      </c>
      <c r="Q21" s="1194">
        <v>8.9694289703193757</v>
      </c>
      <c r="R21" s="1194">
        <v>8.0865248407514994</v>
      </c>
      <c r="S21" s="1194">
        <v>7.8052243520930293</v>
      </c>
      <c r="T21" s="1194">
        <v>7.3619324670716617</v>
      </c>
      <c r="U21" s="1194">
        <v>7.6930096532398995</v>
      </c>
      <c r="V21" s="1194">
        <v>7.3354601114460909</v>
      </c>
      <c r="W21" s="1205">
        <v>6.9359943377982551</v>
      </c>
      <c r="X21" s="1205">
        <v>6.6964529221810345</v>
      </c>
      <c r="Y21" s="1205">
        <v>6.1398620117809397</v>
      </c>
    </row>
    <row r="22" spans="2:25" ht="11.25" customHeight="1" thickBot="1" x14ac:dyDescent="0.35">
      <c r="B22" s="1173"/>
      <c r="C22" s="1173"/>
      <c r="D22" s="1193"/>
      <c r="E22" s="1193"/>
      <c r="F22" s="1193"/>
      <c r="G22" s="1193"/>
      <c r="H22" s="1193"/>
      <c r="I22" s="1193"/>
      <c r="J22" s="1193"/>
      <c r="K22" s="1193"/>
      <c r="L22" s="1193"/>
      <c r="M22" s="1193"/>
      <c r="N22" s="1193"/>
      <c r="O22" s="1193"/>
      <c r="P22" s="1193"/>
      <c r="Q22" s="1193"/>
      <c r="R22" s="1193"/>
      <c r="S22" s="1193"/>
      <c r="T22" s="1193"/>
      <c r="U22" s="1193"/>
      <c r="V22" s="1193"/>
      <c r="W22" s="1204"/>
      <c r="X22" s="1204"/>
      <c r="Y22" s="1204"/>
    </row>
    <row r="23" spans="2:25" x14ac:dyDescent="0.3">
      <c r="B23" s="1479" t="s">
        <v>541</v>
      </c>
      <c r="C23" s="1195" t="s">
        <v>535</v>
      </c>
      <c r="D23" s="1183">
        <v>6.5188340399253057</v>
      </c>
      <c r="E23" s="1183">
        <v>7.0635610347615199</v>
      </c>
      <c r="F23" s="1183">
        <v>11.548396334478809</v>
      </c>
      <c r="G23" s="1183">
        <v>9.5956512500885331</v>
      </c>
      <c r="H23" s="1183">
        <v>7.3620075333401198</v>
      </c>
      <c r="I23" s="1183">
        <v>2.3676318695017273</v>
      </c>
      <c r="J23" s="1183">
        <v>2.2216811811343136</v>
      </c>
      <c r="K23" s="1183">
        <v>1.6535459112959112</v>
      </c>
      <c r="L23" s="1183">
        <v>1.6525880877851069</v>
      </c>
      <c r="M23" s="1183">
        <v>1.657935490973754</v>
      </c>
      <c r="N23" s="1183">
        <v>1.8506645181073711</v>
      </c>
      <c r="O23" s="1183">
        <v>2.3185793990487511</v>
      </c>
      <c r="P23" s="1183">
        <v>2.6889447291913564</v>
      </c>
      <c r="Q23" s="1183">
        <v>4.1022927227429129</v>
      </c>
      <c r="R23" s="1183">
        <v>4.5755119592036282</v>
      </c>
      <c r="S23" s="1183">
        <v>5.8240829513021559</v>
      </c>
      <c r="T23" s="1183">
        <v>4.6401642669364875</v>
      </c>
      <c r="U23" s="1183">
        <v>3.9557086736632487</v>
      </c>
      <c r="V23" s="1183">
        <v>3.8136016450527266</v>
      </c>
      <c r="W23" s="1202">
        <v>5.5614286988967265</v>
      </c>
      <c r="X23" s="1202">
        <v>6.4514055143016362</v>
      </c>
      <c r="Y23" s="1202">
        <v>6.3784296397090978</v>
      </c>
    </row>
    <row r="24" spans="2:25" ht="15" thickBot="1" x14ac:dyDescent="0.35">
      <c r="B24" s="1480"/>
      <c r="C24" s="1196" t="s">
        <v>633</v>
      </c>
      <c r="D24" s="1190">
        <v>4.3353876931933639</v>
      </c>
      <c r="E24" s="1190">
        <v>4.272646413223975</v>
      </c>
      <c r="F24" s="1190">
        <v>8.3623982879974221</v>
      </c>
      <c r="G24" s="1190">
        <v>7.2248434476790848</v>
      </c>
      <c r="H24" s="1190">
        <v>5.6819601585824593</v>
      </c>
      <c r="I24" s="1190">
        <v>2.1699497896196709</v>
      </c>
      <c r="J24" s="1190">
        <v>1.7556914904788705</v>
      </c>
      <c r="K24" s="1190">
        <v>1.3457836330992634</v>
      </c>
      <c r="L24" s="1190">
        <v>1.201517684963525</v>
      </c>
      <c r="M24" s="1190">
        <v>1.1467615407051481</v>
      </c>
      <c r="N24" s="1190">
        <v>1.17165347487001</v>
      </c>
      <c r="O24" s="1190">
        <v>1.306383879086578</v>
      </c>
      <c r="P24" s="1190">
        <v>1.3899411526071686</v>
      </c>
      <c r="Q24" s="1190">
        <v>1.9864563754135964</v>
      </c>
      <c r="R24" s="1190">
        <v>2.1404619698025411</v>
      </c>
      <c r="S24" s="1190">
        <v>2.487179608780556</v>
      </c>
      <c r="T24" s="1190">
        <v>2.3734318977619657</v>
      </c>
      <c r="U24" s="1190">
        <v>2.3549678733243438</v>
      </c>
      <c r="V24" s="1190">
        <v>2.4493347106159931</v>
      </c>
      <c r="W24" s="1203">
        <v>3.4807478822627225</v>
      </c>
      <c r="X24" s="1203">
        <v>3.8622628669947949</v>
      </c>
      <c r="Y24" s="1203">
        <v>3.642371985622443</v>
      </c>
    </row>
    <row r="25" spans="2:25" ht="11.25" customHeight="1" thickBot="1" x14ac:dyDescent="0.35">
      <c r="B25" s="1173"/>
      <c r="C25" s="1197"/>
      <c r="D25" s="1198"/>
      <c r="E25" s="1198"/>
      <c r="F25" s="1198"/>
      <c r="G25" s="1198"/>
      <c r="H25" s="1198"/>
      <c r="I25" s="1198"/>
      <c r="J25" s="1198"/>
      <c r="K25" s="1198"/>
      <c r="L25" s="1198"/>
      <c r="M25" s="1198"/>
      <c r="N25" s="1198"/>
      <c r="O25" s="1198"/>
      <c r="P25" s="1198"/>
      <c r="Q25" s="1198"/>
      <c r="R25" s="1198"/>
      <c r="S25" s="1198"/>
      <c r="T25" s="1198"/>
      <c r="U25" s="1198"/>
      <c r="V25" s="1198"/>
      <c r="W25" s="1198"/>
      <c r="X25" s="1198"/>
      <c r="Y25" s="1198"/>
    </row>
    <row r="26" spans="2:25" x14ac:dyDescent="0.3">
      <c r="B26" s="1479" t="s">
        <v>542</v>
      </c>
      <c r="C26" s="1195" t="s">
        <v>535</v>
      </c>
      <c r="D26" s="1183">
        <v>3.9131910701060839</v>
      </c>
      <c r="E26" s="1183">
        <v>4.485181504498879</v>
      </c>
      <c r="F26" s="1183">
        <v>4.1508609320680456</v>
      </c>
      <c r="G26" s="1183">
        <v>3.9339738486063935</v>
      </c>
      <c r="H26" s="1183">
        <v>3.6281998281370225</v>
      </c>
      <c r="I26" s="1183">
        <v>1.4137442430817435</v>
      </c>
      <c r="J26" s="1183">
        <v>1.3052991976530279</v>
      </c>
      <c r="K26" s="1183">
        <v>1.1547411045370128</v>
      </c>
      <c r="L26" s="1183">
        <v>0.9396120205617996</v>
      </c>
      <c r="M26" s="1183">
        <v>1.1988462502454251</v>
      </c>
      <c r="N26" s="1183">
        <v>1.1905500072777522</v>
      </c>
      <c r="O26" s="1183">
        <v>1.1015151033865811</v>
      </c>
      <c r="P26" s="1183">
        <v>1.2340084993169218</v>
      </c>
      <c r="Q26" s="1183">
        <v>1.4002383381836434</v>
      </c>
      <c r="R26" s="1183">
        <v>1.7579842923441797</v>
      </c>
      <c r="S26" s="1183">
        <v>2.1261864756284194</v>
      </c>
      <c r="T26" s="1183">
        <v>2.5202442801190736</v>
      </c>
      <c r="U26" s="1183">
        <v>2.9363245509602027</v>
      </c>
      <c r="V26" s="1183">
        <v>3.2531346682373643</v>
      </c>
      <c r="W26" s="1202">
        <v>3.1161662433386743</v>
      </c>
      <c r="X26" s="1202">
        <v>3.9490391805808316</v>
      </c>
      <c r="Y26" s="1202">
        <v>2.8963625724174262</v>
      </c>
    </row>
    <row r="27" spans="2:25" ht="15" thickBot="1" x14ac:dyDescent="0.35">
      <c r="B27" s="1480"/>
      <c r="C27" s="1196" t="s">
        <v>634</v>
      </c>
      <c r="D27" s="1190">
        <v>2.602490000903058</v>
      </c>
      <c r="E27" s="1190">
        <v>2.7130217426517427</v>
      </c>
      <c r="F27" s="1190">
        <v>3.0057119055056889</v>
      </c>
      <c r="G27" s="1190">
        <v>2.9620027283903778</v>
      </c>
      <c r="H27" s="1190">
        <v>2.8002262667472704</v>
      </c>
      <c r="I27" s="1190">
        <v>1.2957056636920774</v>
      </c>
      <c r="J27" s="1190">
        <v>1.0315169629068868</v>
      </c>
      <c r="K27" s="1190">
        <v>0.93964535301768026</v>
      </c>
      <c r="L27" s="1190">
        <v>0.68314559145905096</v>
      </c>
      <c r="M27" s="1190">
        <v>0.82922675064705831</v>
      </c>
      <c r="N27" s="1190">
        <v>0.75373577693343974</v>
      </c>
      <c r="O27" s="1190">
        <v>0.62063933382009573</v>
      </c>
      <c r="P27" s="1190">
        <v>0.63787075176640573</v>
      </c>
      <c r="Q27" s="1190">
        <v>0.67803849261240368</v>
      </c>
      <c r="R27" s="1190">
        <v>0.82239945055850883</v>
      </c>
      <c r="S27" s="1190">
        <v>0.90798975407203941</v>
      </c>
      <c r="T27" s="1190">
        <v>1.2890983638680364</v>
      </c>
      <c r="U27" s="1190">
        <v>1.7480938445249823</v>
      </c>
      <c r="V27" s="1190">
        <v>2.0893675855103253</v>
      </c>
      <c r="W27" s="1203">
        <v>1.950324213350324</v>
      </c>
      <c r="X27" s="1203">
        <v>2.364171242011277</v>
      </c>
      <c r="Y27" s="1203">
        <v>1.6539541062429475</v>
      </c>
    </row>
    <row r="28" spans="2:25" ht="11.25" customHeight="1" thickBot="1" x14ac:dyDescent="0.35">
      <c r="B28" s="1173"/>
      <c r="C28" s="1199"/>
      <c r="D28" s="1193"/>
      <c r="E28" s="1193"/>
      <c r="F28" s="1193"/>
      <c r="G28" s="1193"/>
      <c r="H28" s="1193"/>
      <c r="I28" s="1193"/>
      <c r="J28" s="1193"/>
      <c r="K28" s="1193"/>
      <c r="L28" s="1193"/>
      <c r="M28" s="1193"/>
      <c r="N28" s="1193"/>
      <c r="O28" s="1193"/>
      <c r="P28" s="1193"/>
      <c r="Q28" s="1193"/>
      <c r="R28" s="1193"/>
      <c r="S28" s="1193"/>
      <c r="T28" s="1193"/>
      <c r="U28" s="1193"/>
      <c r="V28" s="1193"/>
      <c r="W28" s="1193"/>
      <c r="X28" s="1193"/>
      <c r="Y28" s="1193"/>
    </row>
    <row r="29" spans="2:25" x14ac:dyDescent="0.3">
      <c r="B29" s="1479" t="s">
        <v>543</v>
      </c>
      <c r="C29" s="1195" t="s">
        <v>532</v>
      </c>
      <c r="D29" s="1183">
        <v>0.19665014590525423</v>
      </c>
      <c r="E29" s="1183">
        <v>0.22409333716017968</v>
      </c>
      <c r="F29" s="1183" t="s">
        <v>533</v>
      </c>
      <c r="G29" s="1183" t="s">
        <v>533</v>
      </c>
      <c r="H29" s="1183" t="s">
        <v>533</v>
      </c>
      <c r="I29" s="1183">
        <v>8.5894279811038005E-2</v>
      </c>
      <c r="J29" s="1183">
        <v>7.6940849541224335E-2</v>
      </c>
      <c r="K29" s="1183">
        <v>8.2202439171777816E-2</v>
      </c>
      <c r="L29" s="1183">
        <v>6.635319287019209E-2</v>
      </c>
      <c r="M29" s="1183">
        <v>8.0073010739679387E-2</v>
      </c>
      <c r="N29" s="1183">
        <v>5.3786825206429502E-2</v>
      </c>
      <c r="O29" s="1183">
        <v>6.587905225584495E-2</v>
      </c>
      <c r="P29" s="1183">
        <v>7.5301344753651273E-2</v>
      </c>
      <c r="Q29" s="1183">
        <v>4.8901738684901254E-2</v>
      </c>
      <c r="R29" s="1183">
        <v>6.0835300936916192E-2</v>
      </c>
      <c r="S29" s="1183">
        <v>7.8571948856032345E-2</v>
      </c>
      <c r="T29" s="1183">
        <v>8.9487749451253665E-2</v>
      </c>
      <c r="U29" s="1183">
        <v>0.11946285037561501</v>
      </c>
      <c r="V29" s="1183">
        <v>0.15191463470844724</v>
      </c>
      <c r="W29" s="1202">
        <v>0.18209345128781904</v>
      </c>
      <c r="X29" s="1202">
        <v>9.8252235893153017E-2</v>
      </c>
      <c r="Y29" s="1202">
        <v>7.0463975437732057E-2</v>
      </c>
    </row>
    <row r="30" spans="2:25" ht="15" thickBot="1" x14ac:dyDescent="0.35">
      <c r="B30" s="1480"/>
      <c r="C30" s="1196" t="s">
        <v>534</v>
      </c>
      <c r="D30" s="1190">
        <v>0.6614031134519458</v>
      </c>
      <c r="E30" s="1190">
        <v>0.90412166661026561</v>
      </c>
      <c r="F30" s="1190" t="s">
        <v>533</v>
      </c>
      <c r="G30" s="1190" t="s">
        <v>533</v>
      </c>
      <c r="H30" s="1190" t="s">
        <v>533</v>
      </c>
      <c r="I30" s="1190">
        <v>0.52916749620092041</v>
      </c>
      <c r="J30" s="1190">
        <v>0.45607475519700319</v>
      </c>
      <c r="K30" s="1190">
        <v>0.41320109076830108</v>
      </c>
      <c r="L30" s="1190">
        <v>0.31067530172817404</v>
      </c>
      <c r="M30" s="1190">
        <v>0.37034345467738283</v>
      </c>
      <c r="N30" s="1190">
        <v>0.32731451473785067</v>
      </c>
      <c r="O30" s="1190">
        <v>0.3264828345335794</v>
      </c>
      <c r="P30" s="1190">
        <v>0.30757858375744829</v>
      </c>
      <c r="Q30" s="1190">
        <v>0.30757908632450193</v>
      </c>
      <c r="R30" s="1190">
        <v>0.38768470627043494</v>
      </c>
      <c r="S30" s="1190">
        <v>0.38900044695345676</v>
      </c>
      <c r="T30" s="1190">
        <v>0.43827667414415811</v>
      </c>
      <c r="U30" s="1190">
        <v>0.6576854405581456</v>
      </c>
      <c r="V30" s="1190">
        <v>0.74374892704767914</v>
      </c>
      <c r="W30" s="1203">
        <v>0.85085657541843451</v>
      </c>
      <c r="X30" s="1203">
        <v>0.54471446678332491</v>
      </c>
      <c r="Y30" s="1203">
        <v>0.60258081858413681</v>
      </c>
    </row>
    <row r="31" spans="2:25" x14ac:dyDescent="0.3">
      <c r="B31" s="648"/>
      <c r="C31" s="648"/>
      <c r="D31" s="1200"/>
      <c r="E31" s="1200"/>
      <c r="F31" s="1200"/>
      <c r="G31" s="1200"/>
      <c r="H31" s="1200"/>
      <c r="I31" s="1200"/>
      <c r="J31" s="1200"/>
      <c r="K31" s="1173"/>
      <c r="L31" s="1173"/>
      <c r="M31" s="1173"/>
      <c r="N31" s="1173"/>
    </row>
    <row r="32" spans="2:25" x14ac:dyDescent="0.3">
      <c r="B32" s="9" t="s">
        <v>827</v>
      </c>
      <c r="K32" s="372"/>
      <c r="L32" s="1173"/>
      <c r="M32" s="1173"/>
      <c r="N32" s="1173"/>
      <c r="O32" s="1173"/>
      <c r="P32" s="1173"/>
    </row>
    <row r="33" spans="2:15" ht="11.25" customHeight="1" x14ac:dyDescent="0.3">
      <c r="K33" s="372"/>
      <c r="L33" s="1173"/>
      <c r="M33" s="1173"/>
      <c r="N33" s="1173"/>
      <c r="O33" s="1173"/>
    </row>
    <row r="34" spans="2:15" x14ac:dyDescent="0.3">
      <c r="B34" s="9" t="s">
        <v>551</v>
      </c>
      <c r="N34" s="1173"/>
      <c r="O34" s="1173"/>
    </row>
    <row r="35" spans="2:15" x14ac:dyDescent="0.3">
      <c r="B35" s="1307" t="s">
        <v>696</v>
      </c>
      <c r="C35" s="1307"/>
      <c r="D35" s="1307"/>
      <c r="E35" s="1307"/>
      <c r="F35" s="1307"/>
      <c r="G35" s="1307"/>
      <c r="H35" s="1307"/>
      <c r="I35" s="1307"/>
      <c r="J35" s="1307"/>
      <c r="K35" s="1307"/>
      <c r="L35" s="1307"/>
      <c r="M35" s="1307"/>
      <c r="N35" s="1173"/>
      <c r="O35" s="1173"/>
    </row>
    <row r="36" spans="2:15" x14ac:dyDescent="0.3">
      <c r="B36" s="9" t="s">
        <v>552</v>
      </c>
    </row>
    <row r="37" spans="2:15" x14ac:dyDescent="0.3">
      <c r="B37" s="288" t="s">
        <v>635</v>
      </c>
      <c r="H37" s="630"/>
      <c r="I37" s="630"/>
      <c r="J37" s="630"/>
      <c r="K37" s="630"/>
      <c r="L37" s="630"/>
      <c r="M37" s="630"/>
      <c r="N37" s="630"/>
      <c r="O37" s="630"/>
    </row>
    <row r="38" spans="2:15" x14ac:dyDescent="0.3">
      <c r="H38" s="630"/>
      <c r="I38" s="630"/>
      <c r="J38" s="630"/>
      <c r="K38" s="630"/>
      <c r="L38" s="630"/>
      <c r="M38" s="630"/>
      <c r="N38" s="630"/>
      <c r="O38" s="630"/>
    </row>
    <row r="39" spans="2:15" x14ac:dyDescent="0.3">
      <c r="I39" s="630"/>
      <c r="J39" s="630"/>
      <c r="K39" s="630"/>
      <c r="L39" s="630"/>
      <c r="M39" s="630"/>
      <c r="N39" s="630"/>
      <c r="O39" s="630"/>
    </row>
    <row r="40" spans="2:15" x14ac:dyDescent="0.3">
      <c r="I40" s="630"/>
      <c r="J40" s="630"/>
      <c r="K40" s="630"/>
      <c r="L40" s="630"/>
      <c r="M40" s="630"/>
      <c r="N40" s="630"/>
      <c r="O40" s="630"/>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30</vt:i4>
      </vt:variant>
    </vt:vector>
  </HeadingPairs>
  <TitlesOfParts>
    <vt:vector size="61"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Alfredo Ortiz</dc:creator>
  <cp:lastModifiedBy>Alfredo Ortiz</cp:lastModifiedBy>
  <cp:lastPrinted>2019-07-22T20:45:59Z</cp:lastPrinted>
  <dcterms:created xsi:type="dcterms:W3CDTF">1999-01-19T22:36:21Z</dcterms:created>
  <dcterms:modified xsi:type="dcterms:W3CDTF">2022-07-26T19:08:03Z</dcterms:modified>
</cp:coreProperties>
</file>